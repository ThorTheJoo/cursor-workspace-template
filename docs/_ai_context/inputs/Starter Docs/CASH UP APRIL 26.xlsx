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enjp-my.sharepoint.com/personal/admin_engenjp_co_za/Documents/Desktop/"/>
    </mc:Choice>
  </mc:AlternateContent>
  <xr:revisionPtr revIDLastSave="70" documentId="8_{A4DD504B-5EB5-4536-97C7-1BF609BF892B}" xr6:coauthVersionLast="47" xr6:coauthVersionMax="47" xr10:uidLastSave="{8FE86930-667A-4688-BB47-4904D6C72178}"/>
  <bookViews>
    <workbookView minimized="1" xWindow="13575" yWindow="4815" windowWidth="15225" windowHeight="10665" activeTab="6" xr2:uid="{AD3269E0-4BF5-4BC2-A5BB-036D8954256F}"/>
  </bookViews>
  <sheets>
    <sheet name="Input" sheetId="2" r:id="rId1"/>
    <sheet name="Summary" sheetId="1" r:id="rId2"/>
    <sheet name="Dashboard-Performance" sheetId="43" r:id="rId3"/>
    <sheet name="Dashboard-Fuel" sheetId="6" r:id="rId4"/>
    <sheet name="Dashboard-Retail" sheetId="8" r:id="rId5"/>
    <sheet name="Cashiers Report" sheetId="7" r:id="rId6"/>
    <sheet name="Petty Cash Report" sheetId="42" r:id="rId7"/>
    <sheet name="Bank" sheetId="4" r:id="rId8"/>
    <sheet name="SS26" sheetId="5" r:id="rId9"/>
    <sheet name="Daily Template" sheetId="3" r:id="rId10"/>
    <sheet name="1" sheetId="9" r:id="rId11"/>
    <sheet name="2" sheetId="10" r:id="rId12"/>
    <sheet name="3" sheetId="11" r:id="rId13"/>
    <sheet name="4" sheetId="12" r:id="rId14"/>
    <sheet name="5" sheetId="13" r:id="rId15"/>
    <sheet name="6" sheetId="14" r:id="rId16"/>
    <sheet name="7" sheetId="15" r:id="rId17"/>
    <sheet name="8" sheetId="16" r:id="rId18"/>
    <sheet name="9" sheetId="17" r:id="rId19"/>
    <sheet name="10" sheetId="18" r:id="rId20"/>
    <sheet name="11" sheetId="19" r:id="rId21"/>
    <sheet name="12" sheetId="20" r:id="rId22"/>
    <sheet name="13" sheetId="21" r:id="rId23"/>
    <sheet name="14" sheetId="22" r:id="rId24"/>
    <sheet name="15" sheetId="23" r:id="rId25"/>
    <sheet name="16" sheetId="24" r:id="rId26"/>
    <sheet name="17" sheetId="25" r:id="rId27"/>
    <sheet name="18" sheetId="26" r:id="rId28"/>
    <sheet name="19" sheetId="27" r:id="rId29"/>
    <sheet name="20" sheetId="28" r:id="rId30"/>
    <sheet name="21" sheetId="29" r:id="rId31"/>
    <sheet name="22" sheetId="30" r:id="rId32"/>
    <sheet name="23" sheetId="31" r:id="rId33"/>
    <sheet name="24" sheetId="32" r:id="rId34"/>
    <sheet name="25" sheetId="33" r:id="rId35"/>
    <sheet name="26" sheetId="34" r:id="rId36"/>
    <sheet name="27" sheetId="35" r:id="rId37"/>
    <sheet name="28" sheetId="36" r:id="rId38"/>
    <sheet name="29" sheetId="37" r:id="rId39"/>
    <sheet name="30" sheetId="38" r:id="rId40"/>
    <sheet name="31" sheetId="39" r:id="rId41"/>
    <sheet name="Sheet40" sheetId="40" r:id="rId4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42" l="1"/>
  <c r="B32" i="42"/>
  <c r="F15" i="3"/>
  <c r="B40" i="3"/>
  <c r="B29" i="42"/>
  <c r="C29" i="42"/>
  <c r="D29" i="42"/>
  <c r="E29" i="42"/>
  <c r="F29" i="42"/>
  <c r="G29" i="42"/>
  <c r="H29" i="42"/>
  <c r="I29" i="42"/>
  <c r="J29" i="42"/>
  <c r="K29" i="42"/>
  <c r="L29" i="42"/>
  <c r="M29" i="42"/>
  <c r="N29" i="42"/>
  <c r="O29" i="42"/>
  <c r="P29" i="42"/>
  <c r="Q29" i="42"/>
  <c r="R29" i="42"/>
  <c r="S29" i="42"/>
  <c r="T29" i="42"/>
  <c r="U29" i="42"/>
  <c r="V29" i="42"/>
  <c r="W29" i="42"/>
  <c r="X29" i="42"/>
  <c r="Y29" i="42"/>
  <c r="Z29" i="42"/>
  <c r="AA29" i="42"/>
  <c r="AB29" i="42"/>
  <c r="AC29" i="42"/>
  <c r="AD29" i="42"/>
  <c r="AE29" i="42"/>
  <c r="AF29" i="42"/>
  <c r="B30" i="42"/>
  <c r="C30" i="42"/>
  <c r="D30" i="42"/>
  <c r="E30" i="42"/>
  <c r="F30" i="42"/>
  <c r="G30" i="42"/>
  <c r="H30" i="42"/>
  <c r="I30" i="42"/>
  <c r="J30" i="42"/>
  <c r="K30" i="42"/>
  <c r="L30" i="42"/>
  <c r="M30" i="42"/>
  <c r="N30" i="42"/>
  <c r="O30" i="42"/>
  <c r="P30" i="42"/>
  <c r="Q30" i="42"/>
  <c r="R30" i="42"/>
  <c r="S30" i="42"/>
  <c r="T30" i="42"/>
  <c r="U30" i="42"/>
  <c r="V30" i="42"/>
  <c r="W30" i="42"/>
  <c r="X30" i="42"/>
  <c r="Y30" i="42"/>
  <c r="Z30" i="42"/>
  <c r="AA30" i="42"/>
  <c r="AB30" i="42"/>
  <c r="AC30" i="42"/>
  <c r="AD30" i="42"/>
  <c r="AE30" i="42"/>
  <c r="AF30" i="42"/>
  <c r="B31" i="42"/>
  <c r="C31" i="42"/>
  <c r="D31" i="42"/>
  <c r="E31" i="42"/>
  <c r="F31" i="42"/>
  <c r="G31" i="42"/>
  <c r="H31" i="42"/>
  <c r="I31" i="42"/>
  <c r="J31" i="42"/>
  <c r="K31" i="42"/>
  <c r="L31" i="42"/>
  <c r="M31" i="42"/>
  <c r="N31" i="42"/>
  <c r="O31" i="42"/>
  <c r="P31" i="42"/>
  <c r="Q31" i="42"/>
  <c r="R31" i="42"/>
  <c r="S31" i="42"/>
  <c r="T31" i="42"/>
  <c r="U31" i="42"/>
  <c r="V31" i="42"/>
  <c r="W31" i="42"/>
  <c r="X31" i="42"/>
  <c r="Y31" i="42"/>
  <c r="Z31" i="42"/>
  <c r="AA31" i="42"/>
  <c r="AB31" i="42"/>
  <c r="AC31" i="42"/>
  <c r="AD31" i="42"/>
  <c r="AE31" i="42"/>
  <c r="AF31" i="42"/>
  <c r="C32" i="42"/>
  <c r="D32" i="42"/>
  <c r="E32" i="42"/>
  <c r="F32" i="42"/>
  <c r="G32" i="42"/>
  <c r="H32" i="42"/>
  <c r="I32" i="42"/>
  <c r="J32" i="42"/>
  <c r="K32" i="42"/>
  <c r="L32" i="42"/>
  <c r="M32" i="42"/>
  <c r="N32" i="42"/>
  <c r="O32" i="42"/>
  <c r="P32" i="42"/>
  <c r="Q32" i="42"/>
  <c r="R32" i="42"/>
  <c r="S32" i="42"/>
  <c r="T32" i="42"/>
  <c r="U32" i="42"/>
  <c r="V32" i="42"/>
  <c r="W32" i="42"/>
  <c r="X32" i="42"/>
  <c r="Y32" i="42"/>
  <c r="Z32" i="42"/>
  <c r="AA32" i="42"/>
  <c r="AB32" i="42"/>
  <c r="AC32" i="42"/>
  <c r="AD32" i="42"/>
  <c r="AE32" i="42"/>
  <c r="AF32" i="42"/>
  <c r="B33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R33" i="42"/>
  <c r="S33" i="42"/>
  <c r="T33" i="42"/>
  <c r="U33" i="42"/>
  <c r="V33" i="42"/>
  <c r="W33" i="42"/>
  <c r="X33" i="42"/>
  <c r="Y33" i="42"/>
  <c r="Z33" i="42"/>
  <c r="AA33" i="42"/>
  <c r="AB33" i="42"/>
  <c r="AC33" i="42"/>
  <c r="AD33" i="42"/>
  <c r="AE33" i="42"/>
  <c r="AF33" i="42"/>
  <c r="B34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R34" i="42"/>
  <c r="S34" i="42"/>
  <c r="T34" i="42"/>
  <c r="U34" i="42"/>
  <c r="V34" i="42"/>
  <c r="W34" i="42"/>
  <c r="X34" i="42"/>
  <c r="Y34" i="42"/>
  <c r="Z34" i="42"/>
  <c r="AA34" i="42"/>
  <c r="AB34" i="42"/>
  <c r="AC34" i="42"/>
  <c r="AD34" i="42"/>
  <c r="AE34" i="42"/>
  <c r="AF34" i="42"/>
  <c r="B35" i="42"/>
  <c r="C35" i="42"/>
  <c r="D35" i="42"/>
  <c r="E35" i="42"/>
  <c r="F35" i="42"/>
  <c r="G35" i="42"/>
  <c r="H35" i="42"/>
  <c r="I35" i="42"/>
  <c r="J35" i="42"/>
  <c r="K35" i="42"/>
  <c r="L35" i="42"/>
  <c r="M35" i="42"/>
  <c r="N35" i="42"/>
  <c r="O35" i="42"/>
  <c r="P35" i="42"/>
  <c r="Q35" i="42"/>
  <c r="R35" i="42"/>
  <c r="S35" i="42"/>
  <c r="T35" i="42"/>
  <c r="U35" i="42"/>
  <c r="V35" i="42"/>
  <c r="W35" i="42"/>
  <c r="X35" i="42"/>
  <c r="Y35" i="42"/>
  <c r="Z35" i="42"/>
  <c r="AA35" i="42"/>
  <c r="AB35" i="42"/>
  <c r="AC35" i="42"/>
  <c r="AD35" i="42"/>
  <c r="AE35" i="42"/>
  <c r="AF35" i="42"/>
  <c r="B36" i="42"/>
  <c r="C36" i="42"/>
  <c r="D36" i="42"/>
  <c r="E36" i="42"/>
  <c r="F36" i="42"/>
  <c r="G36" i="42"/>
  <c r="H36" i="42"/>
  <c r="I36" i="42"/>
  <c r="J36" i="42"/>
  <c r="K36" i="42"/>
  <c r="L36" i="42"/>
  <c r="M36" i="42"/>
  <c r="N36" i="42"/>
  <c r="O36" i="42"/>
  <c r="P36" i="42"/>
  <c r="Q36" i="42"/>
  <c r="R36" i="42"/>
  <c r="S36" i="42"/>
  <c r="T36" i="42"/>
  <c r="U36" i="42"/>
  <c r="V36" i="42"/>
  <c r="W36" i="42"/>
  <c r="X36" i="42"/>
  <c r="Y36" i="42"/>
  <c r="Z36" i="42"/>
  <c r="AA36" i="42"/>
  <c r="AB36" i="42"/>
  <c r="AC36" i="42"/>
  <c r="AD36" i="42"/>
  <c r="AE36" i="42"/>
  <c r="AF36" i="42"/>
  <c r="B37" i="42"/>
  <c r="C37" i="42"/>
  <c r="D37" i="42"/>
  <c r="E37" i="42"/>
  <c r="F37" i="42"/>
  <c r="G37" i="42"/>
  <c r="H37" i="42"/>
  <c r="I37" i="42"/>
  <c r="J37" i="42"/>
  <c r="K37" i="42"/>
  <c r="L37" i="42"/>
  <c r="M37" i="42"/>
  <c r="N37" i="42"/>
  <c r="O37" i="42"/>
  <c r="P37" i="42"/>
  <c r="Q37" i="42"/>
  <c r="R37" i="42"/>
  <c r="S37" i="42"/>
  <c r="T37" i="42"/>
  <c r="U37" i="42"/>
  <c r="V37" i="42"/>
  <c r="W37" i="42"/>
  <c r="X37" i="42"/>
  <c r="Y37" i="42"/>
  <c r="Z37" i="42"/>
  <c r="AA37" i="42"/>
  <c r="AB37" i="42"/>
  <c r="AC37" i="42"/>
  <c r="AD37" i="42"/>
  <c r="AE37" i="42"/>
  <c r="AF37" i="42"/>
  <c r="B38" i="42"/>
  <c r="C38" i="42"/>
  <c r="D38" i="42"/>
  <c r="E38" i="42"/>
  <c r="F38" i="42"/>
  <c r="G38" i="42"/>
  <c r="H38" i="42"/>
  <c r="I38" i="42"/>
  <c r="J38" i="42"/>
  <c r="K38" i="42"/>
  <c r="L38" i="42"/>
  <c r="M38" i="42"/>
  <c r="N38" i="42"/>
  <c r="O38" i="42"/>
  <c r="P38" i="42"/>
  <c r="Q38" i="42"/>
  <c r="R38" i="42"/>
  <c r="S38" i="42"/>
  <c r="T38" i="42"/>
  <c r="U38" i="42"/>
  <c r="V38" i="42"/>
  <c r="W38" i="42"/>
  <c r="X38" i="42"/>
  <c r="Y38" i="42"/>
  <c r="Z38" i="42"/>
  <c r="AA38" i="42"/>
  <c r="AB38" i="42"/>
  <c r="AC38" i="42"/>
  <c r="AD38" i="42"/>
  <c r="AE38" i="42"/>
  <c r="AF38" i="42"/>
  <c r="B39" i="42"/>
  <c r="C39" i="42"/>
  <c r="D39" i="42"/>
  <c r="E39" i="42"/>
  <c r="F39" i="42"/>
  <c r="G39" i="42"/>
  <c r="H39" i="42"/>
  <c r="I39" i="42"/>
  <c r="J39" i="42"/>
  <c r="K39" i="42"/>
  <c r="L39" i="42"/>
  <c r="M39" i="42"/>
  <c r="N39" i="42"/>
  <c r="O39" i="42"/>
  <c r="P39" i="42"/>
  <c r="Q39" i="42"/>
  <c r="R39" i="42"/>
  <c r="S39" i="42"/>
  <c r="T39" i="42"/>
  <c r="U39" i="42"/>
  <c r="V39" i="42"/>
  <c r="W39" i="42"/>
  <c r="X39" i="42"/>
  <c r="Y39" i="42"/>
  <c r="Z39" i="42"/>
  <c r="AA39" i="42"/>
  <c r="AB39" i="42"/>
  <c r="AC39" i="42"/>
  <c r="AD39" i="42"/>
  <c r="AE39" i="42"/>
  <c r="AF39" i="42"/>
  <c r="B40" i="42"/>
  <c r="C40" i="42"/>
  <c r="D40" i="42"/>
  <c r="E40" i="42"/>
  <c r="F40" i="42"/>
  <c r="G40" i="42"/>
  <c r="H40" i="42"/>
  <c r="I40" i="42"/>
  <c r="J40" i="42"/>
  <c r="K40" i="42"/>
  <c r="L40" i="42"/>
  <c r="M40" i="42"/>
  <c r="N40" i="42"/>
  <c r="O40" i="42"/>
  <c r="P40" i="42"/>
  <c r="Q40" i="42"/>
  <c r="R40" i="42"/>
  <c r="S40" i="42"/>
  <c r="T40" i="42"/>
  <c r="U40" i="42"/>
  <c r="V40" i="42"/>
  <c r="W40" i="42"/>
  <c r="X40" i="42"/>
  <c r="Y40" i="42"/>
  <c r="Z40" i="42"/>
  <c r="AA40" i="42"/>
  <c r="AB40" i="42"/>
  <c r="AC40" i="42"/>
  <c r="AD40" i="42"/>
  <c r="AE40" i="42"/>
  <c r="AF40" i="42"/>
  <c r="B41" i="42"/>
  <c r="C41" i="42"/>
  <c r="D41" i="42"/>
  <c r="E41" i="42"/>
  <c r="F41" i="42"/>
  <c r="G41" i="42"/>
  <c r="H41" i="42"/>
  <c r="I41" i="42"/>
  <c r="J41" i="42"/>
  <c r="K41" i="42"/>
  <c r="L41" i="42"/>
  <c r="M41" i="42"/>
  <c r="N41" i="42"/>
  <c r="O41" i="42"/>
  <c r="P41" i="42"/>
  <c r="Q41" i="42"/>
  <c r="R41" i="42"/>
  <c r="S41" i="42"/>
  <c r="T41" i="42"/>
  <c r="U41" i="42"/>
  <c r="V41" i="42"/>
  <c r="W41" i="42"/>
  <c r="X41" i="42"/>
  <c r="Y41" i="42"/>
  <c r="Z41" i="42"/>
  <c r="AA41" i="42"/>
  <c r="AB41" i="42"/>
  <c r="AC41" i="42"/>
  <c r="AD41" i="42"/>
  <c r="AE41" i="42"/>
  <c r="AF41" i="42"/>
  <c r="B42" i="42"/>
  <c r="C42" i="42"/>
  <c r="D42" i="42"/>
  <c r="E42" i="42"/>
  <c r="F42" i="42"/>
  <c r="G42" i="42"/>
  <c r="H42" i="42"/>
  <c r="I42" i="42"/>
  <c r="J42" i="42"/>
  <c r="K42" i="42"/>
  <c r="L42" i="42"/>
  <c r="M42" i="42"/>
  <c r="N42" i="42"/>
  <c r="O42" i="42"/>
  <c r="P42" i="42"/>
  <c r="Q42" i="42"/>
  <c r="R42" i="42"/>
  <c r="S42" i="42"/>
  <c r="T42" i="42"/>
  <c r="U42" i="42"/>
  <c r="V42" i="42"/>
  <c r="W42" i="42"/>
  <c r="X42" i="42"/>
  <c r="Y42" i="42"/>
  <c r="Z42" i="42"/>
  <c r="AA42" i="42"/>
  <c r="AB42" i="42"/>
  <c r="AC42" i="42"/>
  <c r="AD42" i="42"/>
  <c r="AE42" i="42"/>
  <c r="AF42" i="42"/>
  <c r="B43" i="42"/>
  <c r="C43" i="42"/>
  <c r="D43" i="42"/>
  <c r="E43" i="42"/>
  <c r="F43" i="42"/>
  <c r="G43" i="42"/>
  <c r="H43" i="42"/>
  <c r="I43" i="42"/>
  <c r="J43" i="42"/>
  <c r="K43" i="42"/>
  <c r="L43" i="42"/>
  <c r="M43" i="42"/>
  <c r="N43" i="42"/>
  <c r="O43" i="42"/>
  <c r="P43" i="42"/>
  <c r="Q43" i="42"/>
  <c r="R43" i="42"/>
  <c r="S43" i="42"/>
  <c r="T43" i="42"/>
  <c r="U43" i="42"/>
  <c r="V43" i="42"/>
  <c r="W43" i="42"/>
  <c r="X43" i="42"/>
  <c r="Y43" i="42"/>
  <c r="Z43" i="42"/>
  <c r="AA43" i="42"/>
  <c r="AB43" i="42"/>
  <c r="AC43" i="42"/>
  <c r="AD43" i="42"/>
  <c r="AE43" i="42"/>
  <c r="AF43" i="42"/>
  <c r="B44" i="42"/>
  <c r="C44" i="42"/>
  <c r="D44" i="42"/>
  <c r="E44" i="42"/>
  <c r="F44" i="42"/>
  <c r="G44" i="42"/>
  <c r="H44" i="42"/>
  <c r="I44" i="42"/>
  <c r="J44" i="42"/>
  <c r="K44" i="42"/>
  <c r="L44" i="42"/>
  <c r="M44" i="42"/>
  <c r="N44" i="42"/>
  <c r="O44" i="42"/>
  <c r="P44" i="42"/>
  <c r="Q44" i="42"/>
  <c r="R44" i="42"/>
  <c r="S44" i="42"/>
  <c r="T44" i="42"/>
  <c r="U44" i="42"/>
  <c r="V44" i="42"/>
  <c r="W44" i="42"/>
  <c r="X44" i="42"/>
  <c r="Y44" i="42"/>
  <c r="Z44" i="42"/>
  <c r="AA44" i="42"/>
  <c r="AB44" i="42"/>
  <c r="AC44" i="42"/>
  <c r="AD44" i="42"/>
  <c r="AE44" i="42"/>
  <c r="AF44" i="42"/>
  <c r="B45" i="42"/>
  <c r="C45" i="42"/>
  <c r="D45" i="42"/>
  <c r="E45" i="42"/>
  <c r="F45" i="42"/>
  <c r="G45" i="42"/>
  <c r="H45" i="42"/>
  <c r="I45" i="42"/>
  <c r="J45" i="42"/>
  <c r="K45" i="42"/>
  <c r="L45" i="42"/>
  <c r="M45" i="42"/>
  <c r="N45" i="42"/>
  <c r="O45" i="42"/>
  <c r="P45" i="42"/>
  <c r="Q45" i="42"/>
  <c r="R45" i="42"/>
  <c r="S45" i="42"/>
  <c r="T45" i="42"/>
  <c r="U45" i="42"/>
  <c r="V45" i="42"/>
  <c r="W45" i="42"/>
  <c r="X45" i="42"/>
  <c r="Y45" i="42"/>
  <c r="Z45" i="42"/>
  <c r="AA45" i="42"/>
  <c r="AB45" i="42"/>
  <c r="AC45" i="42"/>
  <c r="AD45" i="42"/>
  <c r="AE45" i="42"/>
  <c r="AF45" i="42"/>
  <c r="B46" i="42"/>
  <c r="C46" i="42"/>
  <c r="D46" i="42"/>
  <c r="E46" i="42"/>
  <c r="F46" i="42"/>
  <c r="G46" i="42"/>
  <c r="H46" i="42"/>
  <c r="I46" i="42"/>
  <c r="J46" i="42"/>
  <c r="K46" i="42"/>
  <c r="L46" i="42"/>
  <c r="M46" i="42"/>
  <c r="N46" i="42"/>
  <c r="O46" i="42"/>
  <c r="P46" i="42"/>
  <c r="Q46" i="42"/>
  <c r="R46" i="42"/>
  <c r="S46" i="42"/>
  <c r="T46" i="42"/>
  <c r="U46" i="42"/>
  <c r="V46" i="42"/>
  <c r="W46" i="42"/>
  <c r="X46" i="42"/>
  <c r="Y46" i="42"/>
  <c r="Z46" i="42"/>
  <c r="AA46" i="42"/>
  <c r="AB46" i="42"/>
  <c r="AC46" i="42"/>
  <c r="AD46" i="42"/>
  <c r="AE46" i="42"/>
  <c r="AF46" i="42"/>
  <c r="B47" i="42"/>
  <c r="C47" i="42"/>
  <c r="D47" i="42"/>
  <c r="E47" i="42"/>
  <c r="F47" i="42"/>
  <c r="G47" i="42"/>
  <c r="H47" i="42"/>
  <c r="I47" i="42"/>
  <c r="J47" i="42"/>
  <c r="K47" i="42"/>
  <c r="L47" i="42"/>
  <c r="M47" i="42"/>
  <c r="N47" i="42"/>
  <c r="O47" i="42"/>
  <c r="P47" i="42"/>
  <c r="Q47" i="42"/>
  <c r="R47" i="42"/>
  <c r="S47" i="42"/>
  <c r="T47" i="42"/>
  <c r="U47" i="42"/>
  <c r="V47" i="42"/>
  <c r="W47" i="42"/>
  <c r="X47" i="42"/>
  <c r="Y47" i="42"/>
  <c r="Z47" i="42"/>
  <c r="AA47" i="42"/>
  <c r="AB47" i="42"/>
  <c r="AC47" i="42"/>
  <c r="AD47" i="42"/>
  <c r="AE47" i="42"/>
  <c r="AF47" i="42"/>
  <c r="B48" i="42"/>
  <c r="C48" i="42"/>
  <c r="D48" i="42"/>
  <c r="E48" i="42"/>
  <c r="F48" i="42"/>
  <c r="G48" i="42"/>
  <c r="H48" i="42"/>
  <c r="I48" i="42"/>
  <c r="J48" i="42"/>
  <c r="K48" i="42"/>
  <c r="L48" i="42"/>
  <c r="M48" i="42"/>
  <c r="N48" i="42"/>
  <c r="O48" i="42"/>
  <c r="P48" i="42"/>
  <c r="Q48" i="42"/>
  <c r="R48" i="42"/>
  <c r="S48" i="42"/>
  <c r="T48" i="42"/>
  <c r="U48" i="42"/>
  <c r="V48" i="42"/>
  <c r="W48" i="42"/>
  <c r="X48" i="42"/>
  <c r="Y48" i="42"/>
  <c r="Z48" i="42"/>
  <c r="AA48" i="42"/>
  <c r="AB48" i="42"/>
  <c r="AC48" i="42"/>
  <c r="AD48" i="42"/>
  <c r="AE48" i="42"/>
  <c r="AF48" i="42"/>
  <c r="B49" i="42"/>
  <c r="C49" i="42"/>
  <c r="D49" i="42"/>
  <c r="E49" i="42"/>
  <c r="F49" i="42"/>
  <c r="G49" i="42"/>
  <c r="H49" i="42"/>
  <c r="I49" i="42"/>
  <c r="J49" i="42"/>
  <c r="K49" i="42"/>
  <c r="L49" i="42"/>
  <c r="M49" i="42"/>
  <c r="N49" i="42"/>
  <c r="O49" i="42"/>
  <c r="P49" i="42"/>
  <c r="Q49" i="42"/>
  <c r="R49" i="42"/>
  <c r="S49" i="42"/>
  <c r="T49" i="42"/>
  <c r="U49" i="42"/>
  <c r="V49" i="42"/>
  <c r="W49" i="42"/>
  <c r="X49" i="42"/>
  <c r="Y49" i="42"/>
  <c r="Z49" i="42"/>
  <c r="AA49" i="42"/>
  <c r="AB49" i="42"/>
  <c r="AC49" i="42"/>
  <c r="AD49" i="42"/>
  <c r="AE49" i="42"/>
  <c r="AF49" i="42"/>
  <c r="B50" i="42"/>
  <c r="C50" i="42"/>
  <c r="D50" i="42"/>
  <c r="E50" i="42"/>
  <c r="F50" i="42"/>
  <c r="G50" i="42"/>
  <c r="H50" i="42"/>
  <c r="I50" i="42"/>
  <c r="J50" i="42"/>
  <c r="K50" i="42"/>
  <c r="L50" i="42"/>
  <c r="M50" i="42"/>
  <c r="N50" i="42"/>
  <c r="O50" i="42"/>
  <c r="P50" i="42"/>
  <c r="Q50" i="42"/>
  <c r="R50" i="42"/>
  <c r="S50" i="42"/>
  <c r="T50" i="42"/>
  <c r="U50" i="42"/>
  <c r="V50" i="42"/>
  <c r="W50" i="42"/>
  <c r="X50" i="42"/>
  <c r="Y50" i="42"/>
  <c r="Z50" i="42"/>
  <c r="AA50" i="42"/>
  <c r="AB50" i="42"/>
  <c r="AC50" i="42"/>
  <c r="AD50" i="42"/>
  <c r="AE50" i="42"/>
  <c r="AF50" i="42"/>
  <c r="B51" i="42"/>
  <c r="C51" i="42"/>
  <c r="D51" i="42"/>
  <c r="E51" i="42"/>
  <c r="F51" i="42"/>
  <c r="G51" i="42"/>
  <c r="H51" i="42"/>
  <c r="I51" i="42"/>
  <c r="J51" i="42"/>
  <c r="K51" i="42"/>
  <c r="L51" i="42"/>
  <c r="M51" i="42"/>
  <c r="N51" i="42"/>
  <c r="O51" i="42"/>
  <c r="P51" i="42"/>
  <c r="Q51" i="42"/>
  <c r="R51" i="42"/>
  <c r="S51" i="42"/>
  <c r="T51" i="42"/>
  <c r="U51" i="42"/>
  <c r="V51" i="42"/>
  <c r="W51" i="42"/>
  <c r="X51" i="42"/>
  <c r="Y51" i="42"/>
  <c r="Z51" i="42"/>
  <c r="AA51" i="42"/>
  <c r="AB51" i="42"/>
  <c r="AC51" i="42"/>
  <c r="AD51" i="42"/>
  <c r="AE51" i="42"/>
  <c r="AF51" i="42"/>
  <c r="B52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R52" i="42"/>
  <c r="S52" i="42"/>
  <c r="T52" i="42"/>
  <c r="U52" i="42"/>
  <c r="V52" i="42"/>
  <c r="W52" i="42"/>
  <c r="X52" i="42"/>
  <c r="Y52" i="42"/>
  <c r="Z52" i="42"/>
  <c r="AA52" i="42"/>
  <c r="AB52" i="42"/>
  <c r="AC52" i="42"/>
  <c r="AD52" i="42"/>
  <c r="AE52" i="42"/>
  <c r="AF52" i="42"/>
  <c r="B53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R53" i="42"/>
  <c r="S53" i="42"/>
  <c r="T53" i="42"/>
  <c r="U53" i="42"/>
  <c r="V53" i="42"/>
  <c r="W53" i="42"/>
  <c r="X53" i="42"/>
  <c r="Y53" i="42"/>
  <c r="Z53" i="42"/>
  <c r="AA53" i="42"/>
  <c r="AB53" i="42"/>
  <c r="AC53" i="42"/>
  <c r="AD53" i="42"/>
  <c r="AE53" i="42"/>
  <c r="AF53" i="42"/>
  <c r="B54" i="42"/>
  <c r="C54" i="42"/>
  <c r="D54" i="42"/>
  <c r="E54" i="42"/>
  <c r="F54" i="42"/>
  <c r="G54" i="42"/>
  <c r="H54" i="42"/>
  <c r="I54" i="42"/>
  <c r="J54" i="42"/>
  <c r="K54" i="42"/>
  <c r="L54" i="42"/>
  <c r="M54" i="42"/>
  <c r="N54" i="42"/>
  <c r="O54" i="42"/>
  <c r="P54" i="42"/>
  <c r="Q54" i="42"/>
  <c r="R54" i="42"/>
  <c r="S54" i="42"/>
  <c r="T54" i="42"/>
  <c r="U54" i="42"/>
  <c r="V54" i="42"/>
  <c r="W54" i="42"/>
  <c r="X54" i="42"/>
  <c r="Y54" i="42"/>
  <c r="Z54" i="42"/>
  <c r="AA54" i="42"/>
  <c r="AB54" i="42"/>
  <c r="AC54" i="42"/>
  <c r="AD54" i="42"/>
  <c r="AE54" i="42"/>
  <c r="AF54" i="42"/>
  <c r="C55" i="42"/>
  <c r="D55" i="42"/>
  <c r="E55" i="42"/>
  <c r="F55" i="42"/>
  <c r="G55" i="42"/>
  <c r="H55" i="42"/>
  <c r="I55" i="42"/>
  <c r="J55" i="42"/>
  <c r="K55" i="42"/>
  <c r="L55" i="42"/>
  <c r="M55" i="42"/>
  <c r="N55" i="42"/>
  <c r="O55" i="42"/>
  <c r="P55" i="42"/>
  <c r="Q55" i="42"/>
  <c r="R55" i="42"/>
  <c r="S55" i="42"/>
  <c r="T55" i="42"/>
  <c r="U55" i="42"/>
  <c r="V55" i="42"/>
  <c r="W55" i="42"/>
  <c r="X55" i="42"/>
  <c r="Y55" i="42"/>
  <c r="Z55" i="42"/>
  <c r="AA55" i="42"/>
  <c r="AB55" i="42"/>
  <c r="AC55" i="42"/>
  <c r="AD55" i="42"/>
  <c r="AE55" i="42"/>
  <c r="AF55" i="42"/>
  <c r="B56" i="42"/>
  <c r="C56" i="42"/>
  <c r="D56" i="42"/>
  <c r="E56" i="42"/>
  <c r="F56" i="42"/>
  <c r="G56" i="42"/>
  <c r="H56" i="42"/>
  <c r="I56" i="42"/>
  <c r="J56" i="42"/>
  <c r="K56" i="42"/>
  <c r="L56" i="42"/>
  <c r="M56" i="42"/>
  <c r="N56" i="42"/>
  <c r="O56" i="42"/>
  <c r="P56" i="42"/>
  <c r="Q56" i="42"/>
  <c r="R56" i="42"/>
  <c r="S56" i="42"/>
  <c r="T56" i="42"/>
  <c r="U56" i="42"/>
  <c r="V56" i="42"/>
  <c r="W56" i="42"/>
  <c r="X56" i="42"/>
  <c r="Y56" i="42"/>
  <c r="Z56" i="42"/>
  <c r="AA56" i="42"/>
  <c r="AB56" i="42"/>
  <c r="AC56" i="42"/>
  <c r="AD56" i="42"/>
  <c r="AE56" i="42"/>
  <c r="AF56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27" i="42"/>
  <c r="D100" i="8"/>
  <c r="F100" i="8"/>
  <c r="P100" i="8"/>
  <c r="K100" i="8"/>
  <c r="C37" i="43" s="1"/>
  <c r="C30" i="43"/>
  <c r="C23" i="43"/>
  <c r="C16" i="43"/>
  <c r="C9" i="43"/>
  <c r="V136" i="6"/>
  <c r="T136" i="6"/>
  <c r="P136" i="6"/>
  <c r="L136" i="6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04" i="28"/>
  <c r="H105" i="28"/>
  <c r="H106" i="28"/>
  <c r="H107" i="28"/>
  <c r="H108" i="28"/>
  <c r="H109" i="28"/>
  <c r="H110" i="28"/>
  <c r="H111" i="28"/>
  <c r="H112" i="28"/>
  <c r="H113" i="28"/>
  <c r="H114" i="28"/>
  <c r="H115" i="28"/>
  <c r="H116" i="28"/>
  <c r="H117" i="28"/>
  <c r="H118" i="28"/>
  <c r="H119" i="28"/>
  <c r="H120" i="28"/>
  <c r="H121" i="28"/>
  <c r="H104" i="29"/>
  <c r="H105" i="29"/>
  <c r="H106" i="29"/>
  <c r="H107" i="29"/>
  <c r="H108" i="29"/>
  <c r="H109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04" i="30"/>
  <c r="H105" i="30"/>
  <c r="H106" i="30"/>
  <c r="H107" i="30"/>
  <c r="H108" i="30"/>
  <c r="H109" i="30"/>
  <c r="H110" i="30"/>
  <c r="H111" i="30"/>
  <c r="H112" i="30"/>
  <c r="H113" i="30"/>
  <c r="H114" i="30"/>
  <c r="H115" i="30"/>
  <c r="H116" i="30"/>
  <c r="H117" i="30"/>
  <c r="H118" i="30"/>
  <c r="H119" i="30"/>
  <c r="H120" i="30"/>
  <c r="H121" i="30"/>
  <c r="H104" i="31"/>
  <c r="H105" i="31"/>
  <c r="H106" i="31"/>
  <c r="H107" i="31"/>
  <c r="H108" i="31"/>
  <c r="H109" i="31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04" i="32"/>
  <c r="H105" i="32"/>
  <c r="H106" i="32"/>
  <c r="H107" i="32"/>
  <c r="H108" i="32"/>
  <c r="H109" i="32"/>
  <c r="H110" i="32"/>
  <c r="H111" i="32"/>
  <c r="H112" i="32"/>
  <c r="H113" i="32"/>
  <c r="H114" i="32"/>
  <c r="H115" i="32"/>
  <c r="H116" i="32"/>
  <c r="H117" i="32"/>
  <c r="H118" i="32"/>
  <c r="H119" i="32"/>
  <c r="H120" i="32"/>
  <c r="H121" i="32"/>
  <c r="H104" i="33"/>
  <c r="H105" i="33"/>
  <c r="H106" i="33"/>
  <c r="H107" i="33"/>
  <c r="H108" i="33"/>
  <c r="H109" i="33"/>
  <c r="H110" i="33"/>
  <c r="H111" i="33"/>
  <c r="H112" i="33"/>
  <c r="H113" i="33"/>
  <c r="H114" i="33"/>
  <c r="H115" i="33"/>
  <c r="H116" i="33"/>
  <c r="H117" i="33"/>
  <c r="H118" i="33"/>
  <c r="H119" i="33"/>
  <c r="H120" i="33"/>
  <c r="H121" i="33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6" i="34"/>
  <c r="H117" i="34"/>
  <c r="H118" i="34"/>
  <c r="H119" i="34"/>
  <c r="H120" i="34"/>
  <c r="H121" i="34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04" i="36"/>
  <c r="H105" i="36"/>
  <c r="H106" i="36"/>
  <c r="H107" i="36"/>
  <c r="H108" i="36"/>
  <c r="H109" i="36"/>
  <c r="H110" i="36"/>
  <c r="H111" i="36"/>
  <c r="H112" i="36"/>
  <c r="H113" i="36"/>
  <c r="H114" i="36"/>
  <c r="H115" i="36"/>
  <c r="H116" i="36"/>
  <c r="H117" i="36"/>
  <c r="H118" i="36"/>
  <c r="H119" i="36"/>
  <c r="H120" i="36"/>
  <c r="H121" i="36"/>
  <c r="H104" i="37"/>
  <c r="H105" i="37"/>
  <c r="H106" i="37"/>
  <c r="H107" i="37"/>
  <c r="H108" i="37"/>
  <c r="H109" i="37"/>
  <c r="H110" i="37"/>
  <c r="H111" i="37"/>
  <c r="H112" i="37"/>
  <c r="H113" i="37"/>
  <c r="H114" i="37"/>
  <c r="H115" i="37"/>
  <c r="H116" i="37"/>
  <c r="H117" i="37"/>
  <c r="H118" i="37"/>
  <c r="H119" i="37"/>
  <c r="H120" i="37"/>
  <c r="H121" i="37"/>
  <c r="H104" i="38"/>
  <c r="H105" i="38"/>
  <c r="H106" i="38"/>
  <c r="H107" i="38"/>
  <c r="H108" i="38"/>
  <c r="H109" i="38"/>
  <c r="H110" i="38"/>
  <c r="H111" i="38"/>
  <c r="H112" i="38"/>
  <c r="H113" i="38"/>
  <c r="H114" i="38"/>
  <c r="H115" i="38"/>
  <c r="H116" i="38"/>
  <c r="H117" i="38"/>
  <c r="H118" i="38"/>
  <c r="H119" i="38"/>
  <c r="H120" i="38"/>
  <c r="H121" i="38"/>
  <c r="H104" i="39"/>
  <c r="H105" i="39"/>
  <c r="H106" i="39"/>
  <c r="H107" i="39"/>
  <c r="H108" i="39"/>
  <c r="H109" i="39"/>
  <c r="H110" i="39"/>
  <c r="H111" i="39"/>
  <c r="H112" i="39"/>
  <c r="H113" i="39"/>
  <c r="H114" i="39"/>
  <c r="H115" i="39"/>
  <c r="H116" i="39"/>
  <c r="H117" i="39"/>
  <c r="H118" i="39"/>
  <c r="H119" i="39"/>
  <c r="H120" i="39"/>
  <c r="H121" i="3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03" i="9"/>
  <c r="H103" i="39"/>
  <c r="H103" i="38"/>
  <c r="H103" i="37"/>
  <c r="H103" i="36"/>
  <c r="H103" i="35"/>
  <c r="H103" i="34"/>
  <c r="H103" i="33"/>
  <c r="H103" i="32"/>
  <c r="H103" i="31"/>
  <c r="H103" i="30"/>
  <c r="H103" i="29"/>
  <c r="H103" i="28"/>
  <c r="H103" i="27"/>
  <c r="H103" i="26"/>
  <c r="H103" i="25"/>
  <c r="H103" i="24"/>
  <c r="H103" i="23"/>
  <c r="H103" i="22"/>
  <c r="H103" i="21"/>
  <c r="H103" i="20"/>
  <c r="H103" i="19"/>
  <c r="H103" i="18"/>
  <c r="H103" i="17"/>
  <c r="H103" i="16"/>
  <c r="H103" i="15"/>
  <c r="H103" i="14"/>
  <c r="H103" i="13"/>
  <c r="H103" i="12"/>
  <c r="H103" i="11"/>
  <c r="H103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30" i="20"/>
  <c r="A131" i="20"/>
  <c r="A132" i="20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A121" i="23"/>
  <c r="A122" i="23"/>
  <c r="A123" i="23"/>
  <c r="A124" i="23"/>
  <c r="A125" i="23"/>
  <c r="A126" i="23"/>
  <c r="A127" i="23"/>
  <c r="A128" i="23"/>
  <c r="A129" i="23"/>
  <c r="A130" i="23"/>
  <c r="A131" i="23"/>
  <c r="A132" i="23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03" i="29"/>
  <c r="A104" i="29"/>
  <c r="A105" i="29"/>
  <c r="A106" i="29"/>
  <c r="A107" i="29"/>
  <c r="A108" i="29"/>
  <c r="A109" i="29"/>
  <c r="A110" i="29"/>
  <c r="A111" i="29"/>
  <c r="A112" i="29"/>
  <c r="A113" i="29"/>
  <c r="A114" i="29"/>
  <c r="A115" i="29"/>
  <c r="A116" i="29"/>
  <c r="A117" i="29"/>
  <c r="A118" i="29"/>
  <c r="A119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03" i="30"/>
  <c r="A104" i="30"/>
  <c r="A105" i="30"/>
  <c r="A106" i="30"/>
  <c r="A107" i="30"/>
  <c r="A108" i="30"/>
  <c r="A109" i="30"/>
  <c r="A110" i="30"/>
  <c r="A111" i="30"/>
  <c r="A112" i="30"/>
  <c r="A113" i="30"/>
  <c r="A114" i="30"/>
  <c r="A115" i="30"/>
  <c r="A116" i="30"/>
  <c r="A117" i="30"/>
  <c r="A118" i="30"/>
  <c r="A119" i="30"/>
  <c r="A120" i="30"/>
  <c r="A121" i="30"/>
  <c r="A122" i="30"/>
  <c r="A123" i="30"/>
  <c r="A124" i="30"/>
  <c r="A125" i="30"/>
  <c r="A126" i="30"/>
  <c r="A127" i="30"/>
  <c r="A128" i="30"/>
  <c r="A129" i="30"/>
  <c r="A130" i="30"/>
  <c r="A131" i="30"/>
  <c r="A132" i="30"/>
  <c r="A103" i="31"/>
  <c r="A104" i="31"/>
  <c r="A105" i="31"/>
  <c r="A106" i="31"/>
  <c r="A107" i="31"/>
  <c r="A108" i="31"/>
  <c r="A109" i="31"/>
  <c r="A110" i="31"/>
  <c r="A111" i="31"/>
  <c r="A112" i="31"/>
  <c r="A113" i="31"/>
  <c r="A114" i="31"/>
  <c r="A115" i="31"/>
  <c r="A116" i="31"/>
  <c r="A117" i="31"/>
  <c r="A118" i="31"/>
  <c r="A119" i="31"/>
  <c r="A120" i="31"/>
  <c r="A121" i="31"/>
  <c r="A122" i="31"/>
  <c r="A123" i="31"/>
  <c r="A124" i="31"/>
  <c r="A125" i="31"/>
  <c r="A126" i="31"/>
  <c r="A127" i="31"/>
  <c r="A128" i="31"/>
  <c r="A129" i="31"/>
  <c r="A130" i="31"/>
  <c r="A131" i="31"/>
  <c r="A132" i="31"/>
  <c r="A103" i="32"/>
  <c r="A104" i="32"/>
  <c r="A105" i="32"/>
  <c r="A106" i="32"/>
  <c r="A107" i="32"/>
  <c r="A108" i="32"/>
  <c r="A109" i="32"/>
  <c r="A110" i="32"/>
  <c r="A111" i="32"/>
  <c r="A112" i="32"/>
  <c r="A113" i="32"/>
  <c r="A114" i="32"/>
  <c r="A115" i="32"/>
  <c r="A116" i="32"/>
  <c r="A117" i="32"/>
  <c r="A118" i="32"/>
  <c r="A119" i="32"/>
  <c r="A120" i="32"/>
  <c r="A121" i="32"/>
  <c r="A122" i="32"/>
  <c r="A123" i="32"/>
  <c r="A124" i="32"/>
  <c r="A125" i="32"/>
  <c r="A126" i="32"/>
  <c r="A127" i="32"/>
  <c r="A128" i="32"/>
  <c r="A129" i="32"/>
  <c r="A130" i="32"/>
  <c r="A131" i="32"/>
  <c r="A132" i="32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03" i="35"/>
  <c r="A104" i="35"/>
  <c r="A105" i="35"/>
  <c r="A106" i="35"/>
  <c r="A107" i="35"/>
  <c r="A108" i="35"/>
  <c r="A109" i="35"/>
  <c r="A110" i="35"/>
  <c r="A111" i="35"/>
  <c r="A112" i="35"/>
  <c r="A113" i="35"/>
  <c r="A114" i="35"/>
  <c r="A115" i="35"/>
  <c r="A116" i="35"/>
  <c r="A117" i="35"/>
  <c r="A118" i="35"/>
  <c r="A119" i="35"/>
  <c r="A120" i="35"/>
  <c r="A121" i="35"/>
  <c r="A122" i="35"/>
  <c r="A123" i="35"/>
  <c r="A124" i="35"/>
  <c r="A125" i="35"/>
  <c r="A126" i="35"/>
  <c r="A127" i="35"/>
  <c r="A128" i="35"/>
  <c r="A129" i="35"/>
  <c r="A130" i="35"/>
  <c r="A131" i="35"/>
  <c r="A132" i="35"/>
  <c r="A103" i="36"/>
  <c r="A104" i="36"/>
  <c r="A105" i="36"/>
  <c r="A106" i="36"/>
  <c r="A107" i="36"/>
  <c r="A108" i="36"/>
  <c r="A109" i="36"/>
  <c r="A110" i="36"/>
  <c r="A111" i="36"/>
  <c r="A112" i="36"/>
  <c r="A113" i="36"/>
  <c r="A114" i="36"/>
  <c r="A115" i="36"/>
  <c r="A116" i="36"/>
  <c r="A117" i="36"/>
  <c r="A118" i="36"/>
  <c r="A119" i="36"/>
  <c r="A120" i="36"/>
  <c r="A121" i="36"/>
  <c r="A122" i="36"/>
  <c r="A123" i="36"/>
  <c r="A124" i="36"/>
  <c r="A125" i="36"/>
  <c r="A126" i="36"/>
  <c r="A127" i="36"/>
  <c r="A128" i="36"/>
  <c r="A129" i="36"/>
  <c r="A130" i="36"/>
  <c r="A131" i="36"/>
  <c r="A132" i="36"/>
  <c r="A103" i="37"/>
  <c r="A104" i="37"/>
  <c r="A105" i="37"/>
  <c r="A106" i="37"/>
  <c r="A107" i="37"/>
  <c r="A108" i="37"/>
  <c r="A109" i="37"/>
  <c r="A110" i="37"/>
  <c r="A111" i="37"/>
  <c r="A112" i="37"/>
  <c r="A113" i="37"/>
  <c r="A114" i="37"/>
  <c r="A115" i="37"/>
  <c r="A116" i="37"/>
  <c r="A117" i="37"/>
  <c r="A118" i="37"/>
  <c r="A119" i="37"/>
  <c r="A120" i="37"/>
  <c r="A121" i="37"/>
  <c r="A122" i="37"/>
  <c r="A123" i="37"/>
  <c r="A124" i="37"/>
  <c r="A125" i="37"/>
  <c r="A126" i="37"/>
  <c r="A127" i="37"/>
  <c r="A128" i="37"/>
  <c r="A129" i="37"/>
  <c r="A130" i="37"/>
  <c r="A131" i="37"/>
  <c r="A132" i="37"/>
  <c r="A103" i="38"/>
  <c r="A104" i="38"/>
  <c r="A105" i="38"/>
  <c r="A106" i="38"/>
  <c r="A107" i="38"/>
  <c r="A108" i="38"/>
  <c r="A109" i="38"/>
  <c r="A110" i="38"/>
  <c r="A111" i="38"/>
  <c r="A112" i="38"/>
  <c r="A113" i="38"/>
  <c r="A114" i="38"/>
  <c r="A115" i="38"/>
  <c r="A116" i="38"/>
  <c r="A117" i="38"/>
  <c r="A118" i="38"/>
  <c r="A119" i="38"/>
  <c r="A120" i="38"/>
  <c r="A121" i="38"/>
  <c r="A122" i="38"/>
  <c r="A123" i="38"/>
  <c r="A124" i="38"/>
  <c r="A125" i="38"/>
  <c r="A126" i="38"/>
  <c r="A127" i="38"/>
  <c r="A128" i="38"/>
  <c r="A129" i="38"/>
  <c r="A130" i="38"/>
  <c r="A131" i="38"/>
  <c r="A132" i="38"/>
  <c r="A103" i="39"/>
  <c r="A104" i="39"/>
  <c r="A105" i="39"/>
  <c r="A106" i="39"/>
  <c r="A107" i="39"/>
  <c r="A108" i="39"/>
  <c r="A109" i="39"/>
  <c r="A110" i="39"/>
  <c r="A111" i="39"/>
  <c r="A112" i="39"/>
  <c r="A113" i="39"/>
  <c r="A114" i="39"/>
  <c r="A115" i="39"/>
  <c r="A116" i="39"/>
  <c r="A117" i="39"/>
  <c r="A118" i="39"/>
  <c r="A119" i="39"/>
  <c r="A120" i="39"/>
  <c r="A121" i="39"/>
  <c r="A122" i="39"/>
  <c r="A123" i="39"/>
  <c r="A124" i="39"/>
  <c r="A125" i="39"/>
  <c r="A126" i="39"/>
  <c r="A127" i="39"/>
  <c r="A128" i="39"/>
  <c r="A129" i="39"/>
  <c r="A130" i="39"/>
  <c r="A131" i="39"/>
  <c r="A132" i="3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02" i="10"/>
  <c r="A102" i="11"/>
  <c r="A102" i="12"/>
  <c r="A102" i="13"/>
  <c r="A102" i="14"/>
  <c r="A102" i="15"/>
  <c r="A102" i="16"/>
  <c r="A102" i="17"/>
  <c r="A102" i="18"/>
  <c r="A102" i="19"/>
  <c r="A102" i="20"/>
  <c r="A102" i="21"/>
  <c r="A102" i="22"/>
  <c r="A102" i="23"/>
  <c r="A102" i="24"/>
  <c r="A102" i="25"/>
  <c r="A102" i="26"/>
  <c r="A102" i="27"/>
  <c r="A102" i="28"/>
  <c r="A102" i="29"/>
  <c r="A102" i="30"/>
  <c r="A102" i="31"/>
  <c r="A102" i="32"/>
  <c r="A102" i="33"/>
  <c r="A102" i="34"/>
  <c r="A102" i="35"/>
  <c r="A102" i="36"/>
  <c r="A102" i="37"/>
  <c r="A102" i="38"/>
  <c r="A102" i="39"/>
  <c r="A102" i="9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02" i="3"/>
  <c r="T3" i="43" l="1"/>
  <c r="B1" i="43"/>
  <c r="B3" i="8" l="1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69" i="8"/>
  <c r="I69" i="8"/>
  <c r="C71" i="8"/>
  <c r="E71" i="8"/>
  <c r="C72" i="8"/>
  <c r="E72" i="8"/>
  <c r="C73" i="8"/>
  <c r="E73" i="8"/>
  <c r="C74" i="8"/>
  <c r="E74" i="8"/>
  <c r="C75" i="8"/>
  <c r="E75" i="8"/>
  <c r="C76" i="8"/>
  <c r="E76" i="8"/>
  <c r="C77" i="8"/>
  <c r="E77" i="8"/>
  <c r="C78" i="8"/>
  <c r="E78" i="8"/>
  <c r="C79" i="8"/>
  <c r="E79" i="8"/>
  <c r="C80" i="8"/>
  <c r="E80" i="8"/>
  <c r="C81" i="8"/>
  <c r="E81" i="8"/>
  <c r="C82" i="8"/>
  <c r="E82" i="8"/>
  <c r="C83" i="8"/>
  <c r="E83" i="8"/>
  <c r="C84" i="8"/>
  <c r="E84" i="8"/>
  <c r="C85" i="8"/>
  <c r="E85" i="8"/>
  <c r="C86" i="8"/>
  <c r="E86" i="8"/>
  <c r="C87" i="8"/>
  <c r="E87" i="8"/>
  <c r="C88" i="8"/>
  <c r="E88" i="8"/>
  <c r="C89" i="8"/>
  <c r="E89" i="8"/>
  <c r="C90" i="8"/>
  <c r="E90" i="8"/>
  <c r="C91" i="8"/>
  <c r="E91" i="8"/>
  <c r="C92" i="8"/>
  <c r="E92" i="8"/>
  <c r="C93" i="8"/>
  <c r="E93" i="8"/>
  <c r="C94" i="8"/>
  <c r="E94" i="8"/>
  <c r="C95" i="8"/>
  <c r="E95" i="8"/>
  <c r="C96" i="8"/>
  <c r="E96" i="8"/>
  <c r="C97" i="8"/>
  <c r="E97" i="8"/>
  <c r="C98" i="8"/>
  <c r="E98" i="8"/>
  <c r="C99" i="8"/>
  <c r="E99" i="8"/>
  <c r="C70" i="8" l="1"/>
  <c r="E70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A70" i="8"/>
  <c r="B69" i="8"/>
  <c r="AG65" i="4"/>
  <c r="AG63" i="4"/>
  <c r="AG59" i="4"/>
  <c r="AG57" i="4"/>
  <c r="AG53" i="4"/>
  <c r="AG51" i="4"/>
  <c r="AG47" i="4"/>
  <c r="AG45" i="4"/>
  <c r="AG42" i="4"/>
  <c r="AG23" i="4"/>
  <c r="AG38" i="4"/>
  <c r="AG36" i="4"/>
  <c r="AG34" i="4"/>
  <c r="AG32" i="4"/>
  <c r="AG30" i="4"/>
  <c r="AG28" i="4"/>
  <c r="AG26" i="4"/>
  <c r="AG18" i="4"/>
  <c r="AG15" i="4"/>
  <c r="AG11" i="4"/>
  <c r="AG7" i="4"/>
  <c r="C60" i="8"/>
  <c r="D60" i="8" s="1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1" i="8"/>
  <c r="B3" i="42"/>
  <c r="C5" i="42"/>
  <c r="D5" i="42" s="1"/>
  <c r="E5" i="42" s="1"/>
  <c r="F5" i="42" s="1"/>
  <c r="G5" i="42" s="1"/>
  <c r="H5" i="42" s="1"/>
  <c r="I5" i="42" s="1"/>
  <c r="J5" i="42" s="1"/>
  <c r="K5" i="42" s="1"/>
  <c r="L5" i="42" s="1"/>
  <c r="M5" i="42" s="1"/>
  <c r="N5" i="42" s="1"/>
  <c r="O5" i="42" s="1"/>
  <c r="P5" i="42" s="1"/>
  <c r="Q5" i="42" s="1"/>
  <c r="R5" i="42" s="1"/>
  <c r="S5" i="42" s="1"/>
  <c r="T5" i="42" s="1"/>
  <c r="U5" i="42" s="1"/>
  <c r="V5" i="42" s="1"/>
  <c r="W5" i="42" s="1"/>
  <c r="X5" i="42" s="1"/>
  <c r="Y5" i="42" s="1"/>
  <c r="Z5" i="42" s="1"/>
  <c r="AA5" i="42" s="1"/>
  <c r="AB5" i="42" s="1"/>
  <c r="AC5" i="42" s="1"/>
  <c r="AD5" i="42" s="1"/>
  <c r="AE5" i="42" s="1"/>
  <c r="AF5" i="42" s="1"/>
  <c r="A72" i="42"/>
  <c r="A71" i="42"/>
  <c r="A70" i="42"/>
  <c r="A69" i="42"/>
  <c r="A68" i="42"/>
  <c r="A67" i="42"/>
  <c r="A66" i="42"/>
  <c r="A65" i="42"/>
  <c r="A64" i="42"/>
  <c r="A63" i="42"/>
  <c r="A1" i="42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8" i="4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B3" i="4"/>
  <c r="B202" i="5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C3" i="7"/>
  <c r="J79" i="8" l="1"/>
  <c r="F96" i="8"/>
  <c r="P96" i="8" s="1"/>
  <c r="D96" i="8"/>
  <c r="K96" i="8" s="1"/>
  <c r="F88" i="8"/>
  <c r="P88" i="8" s="1"/>
  <c r="D88" i="8"/>
  <c r="K88" i="8" s="1"/>
  <c r="F80" i="8"/>
  <c r="P80" i="8" s="1"/>
  <c r="D80" i="8"/>
  <c r="K80" i="8" s="1"/>
  <c r="F72" i="8"/>
  <c r="P72" i="8" s="1"/>
  <c r="D72" i="8"/>
  <c r="K72" i="8" s="1"/>
  <c r="F95" i="8"/>
  <c r="P95" i="8" s="1"/>
  <c r="D95" i="8"/>
  <c r="K95" i="8" s="1"/>
  <c r="D87" i="8"/>
  <c r="K87" i="8" s="1"/>
  <c r="F87" i="8"/>
  <c r="P87" i="8" s="1"/>
  <c r="D79" i="8"/>
  <c r="K79" i="8" s="1"/>
  <c r="F79" i="8"/>
  <c r="P79" i="8" s="1"/>
  <c r="F71" i="8"/>
  <c r="P71" i="8" s="1"/>
  <c r="D71" i="8"/>
  <c r="K71" i="8" s="1"/>
  <c r="F70" i="8"/>
  <c r="D70" i="8"/>
  <c r="K70" i="8" s="1"/>
  <c r="F69" i="8"/>
  <c r="P69" i="8" s="1"/>
  <c r="D69" i="8"/>
  <c r="K69" i="8" s="1"/>
  <c r="D93" i="8"/>
  <c r="K93" i="8" s="1"/>
  <c r="F93" i="8"/>
  <c r="P93" i="8" s="1"/>
  <c r="D85" i="8"/>
  <c r="K85" i="8" s="1"/>
  <c r="F85" i="8"/>
  <c r="P85" i="8" s="1"/>
  <c r="D77" i="8"/>
  <c r="K77" i="8" s="1"/>
  <c r="F77" i="8"/>
  <c r="P77" i="8" s="1"/>
  <c r="F78" i="8"/>
  <c r="P78" i="8" s="1"/>
  <c r="D78" i="8"/>
  <c r="K78" i="8" s="1"/>
  <c r="J99" i="8"/>
  <c r="J83" i="8"/>
  <c r="A71" i="8"/>
  <c r="I70" i="8"/>
  <c r="F92" i="8"/>
  <c r="P92" i="8" s="1"/>
  <c r="D92" i="8"/>
  <c r="K92" i="8" s="1"/>
  <c r="F84" i="8"/>
  <c r="P84" i="8" s="1"/>
  <c r="D84" i="8"/>
  <c r="K84" i="8" s="1"/>
  <c r="F76" i="8"/>
  <c r="P76" i="8" s="1"/>
  <c r="D76" i="8"/>
  <c r="K76" i="8" s="1"/>
  <c r="F86" i="8"/>
  <c r="P86" i="8" s="1"/>
  <c r="D86" i="8"/>
  <c r="K86" i="8" s="1"/>
  <c r="F99" i="8"/>
  <c r="P99" i="8" s="1"/>
  <c r="D99" i="8"/>
  <c r="K99" i="8" s="1"/>
  <c r="D91" i="8"/>
  <c r="K91" i="8" s="1"/>
  <c r="F91" i="8"/>
  <c r="P91" i="8" s="1"/>
  <c r="F83" i="8"/>
  <c r="P83" i="8" s="1"/>
  <c r="D83" i="8"/>
  <c r="K83" i="8" s="1"/>
  <c r="D75" i="8"/>
  <c r="K75" i="8" s="1"/>
  <c r="F75" i="8"/>
  <c r="P75" i="8" s="1"/>
  <c r="F98" i="8"/>
  <c r="P98" i="8" s="1"/>
  <c r="D98" i="8"/>
  <c r="K98" i="8" s="1"/>
  <c r="F90" i="8"/>
  <c r="P90" i="8" s="1"/>
  <c r="D90" i="8"/>
  <c r="K90" i="8" s="1"/>
  <c r="F82" i="8"/>
  <c r="P82" i="8" s="1"/>
  <c r="D82" i="8"/>
  <c r="K82" i="8" s="1"/>
  <c r="F74" i="8"/>
  <c r="P74" i="8" s="1"/>
  <c r="D74" i="8"/>
  <c r="K74" i="8" s="1"/>
  <c r="F94" i="8"/>
  <c r="P94" i="8" s="1"/>
  <c r="D94" i="8"/>
  <c r="K94" i="8" s="1"/>
  <c r="J96" i="8"/>
  <c r="J80" i="8"/>
  <c r="F97" i="8"/>
  <c r="P97" i="8" s="1"/>
  <c r="D97" i="8"/>
  <c r="K97" i="8" s="1"/>
  <c r="D89" i="8"/>
  <c r="K89" i="8" s="1"/>
  <c r="F89" i="8"/>
  <c r="P89" i="8" s="1"/>
  <c r="F81" i="8"/>
  <c r="P81" i="8" s="1"/>
  <c r="D81" i="8"/>
  <c r="K81" i="8" s="1"/>
  <c r="D73" i="8"/>
  <c r="K73" i="8" s="1"/>
  <c r="F73" i="8"/>
  <c r="P73" i="8" s="1"/>
  <c r="F173" i="6"/>
  <c r="F174" i="6"/>
  <c r="F175" i="6"/>
  <c r="F177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G173" i="6"/>
  <c r="G177" i="6"/>
  <c r="G175" i="6" s="1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K177" i="6"/>
  <c r="K175" i="6" s="1"/>
  <c r="I177" i="6"/>
  <c r="I175" i="6" s="1"/>
  <c r="V105" i="6"/>
  <c r="V106" i="6"/>
  <c r="V107" i="6"/>
  <c r="D177" i="6" s="1"/>
  <c r="D175" i="6" s="1"/>
  <c r="V108" i="6"/>
  <c r="E177" i="6" s="1"/>
  <c r="E175" i="6" s="1"/>
  <c r="V109" i="6"/>
  <c r="V110" i="6"/>
  <c r="V111" i="6"/>
  <c r="V112" i="6"/>
  <c r="V113" i="6"/>
  <c r="V114" i="6"/>
  <c r="V115" i="6"/>
  <c r="L177" i="6" s="1"/>
  <c r="L175" i="6" s="1"/>
  <c r="V116" i="6"/>
  <c r="M177" i="6" s="1"/>
  <c r="M175" i="6" s="1"/>
  <c r="V117" i="6"/>
  <c r="V118" i="6"/>
  <c r="V119" i="6"/>
  <c r="P177" i="6" s="1"/>
  <c r="P175" i="6" s="1"/>
  <c r="V120" i="6"/>
  <c r="V121" i="6"/>
  <c r="R177" i="6" s="1"/>
  <c r="R175" i="6" s="1"/>
  <c r="V122" i="6"/>
  <c r="V123" i="6"/>
  <c r="T177" i="6" s="1"/>
  <c r="T175" i="6" s="1"/>
  <c r="V124" i="6"/>
  <c r="U177" i="6" s="1"/>
  <c r="U175" i="6" s="1"/>
  <c r="V125" i="6"/>
  <c r="V126" i="6"/>
  <c r="W177" i="6" s="1"/>
  <c r="W175" i="6" s="1"/>
  <c r="V127" i="6"/>
  <c r="X177" i="6" s="1"/>
  <c r="X175" i="6" s="1"/>
  <c r="V128" i="6"/>
  <c r="V129" i="6"/>
  <c r="Z177" i="6" s="1"/>
  <c r="Z175" i="6" s="1"/>
  <c r="V130" i="6"/>
  <c r="V131" i="6"/>
  <c r="AB177" i="6" s="1"/>
  <c r="AB175" i="6" s="1"/>
  <c r="V132" i="6"/>
  <c r="AC177" i="6" s="1"/>
  <c r="AC175" i="6" s="1"/>
  <c r="V133" i="6"/>
  <c r="V134" i="6"/>
  <c r="AE177" i="6" s="1"/>
  <c r="AE175" i="6" s="1"/>
  <c r="V135" i="6"/>
  <c r="AF177" i="6" s="1"/>
  <c r="AF175" i="6" s="1"/>
  <c r="J177" i="6"/>
  <c r="J175" i="6" s="1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C182" i="6"/>
  <c r="D182" i="6"/>
  <c r="C183" i="6"/>
  <c r="D183" i="6"/>
  <c r="C184" i="6"/>
  <c r="D184" i="6"/>
  <c r="C185" i="6"/>
  <c r="D185" i="6"/>
  <c r="C186" i="6"/>
  <c r="D186" i="6"/>
  <c r="C187" i="6"/>
  <c r="D187" i="6"/>
  <c r="C188" i="6"/>
  <c r="D188" i="6"/>
  <c r="C189" i="6"/>
  <c r="D189" i="6"/>
  <c r="C190" i="6"/>
  <c r="D190" i="6"/>
  <c r="C191" i="6"/>
  <c r="D191" i="6"/>
  <c r="C192" i="6"/>
  <c r="D192" i="6"/>
  <c r="C193" i="6"/>
  <c r="D193" i="6"/>
  <c r="C194" i="6"/>
  <c r="D194" i="6"/>
  <c r="C195" i="6"/>
  <c r="D195" i="6"/>
  <c r="C196" i="6"/>
  <c r="D196" i="6"/>
  <c r="C197" i="6"/>
  <c r="D197" i="6"/>
  <c r="C198" i="6"/>
  <c r="D198" i="6"/>
  <c r="C199" i="6"/>
  <c r="D199" i="6"/>
  <c r="C200" i="6"/>
  <c r="D200" i="6"/>
  <c r="C201" i="6"/>
  <c r="D201" i="6"/>
  <c r="C202" i="6"/>
  <c r="D202" i="6"/>
  <c r="C203" i="6"/>
  <c r="D203" i="6"/>
  <c r="C204" i="6"/>
  <c r="D204" i="6"/>
  <c r="C205" i="6"/>
  <c r="D205" i="6"/>
  <c r="C206" i="6"/>
  <c r="D206" i="6"/>
  <c r="C207" i="6"/>
  <c r="D207" i="6"/>
  <c r="C208" i="6"/>
  <c r="D208" i="6"/>
  <c r="C209" i="6"/>
  <c r="D209" i="6"/>
  <c r="C210" i="6"/>
  <c r="D210" i="6"/>
  <c r="C211" i="6"/>
  <c r="D211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H181" i="6"/>
  <c r="C181" i="6"/>
  <c r="D181" i="6"/>
  <c r="B181" i="6"/>
  <c r="A181" i="6"/>
  <c r="C22" i="1"/>
  <c r="D22" i="1"/>
  <c r="E22" i="1"/>
  <c r="D61" i="8" s="1"/>
  <c r="J71" i="8" s="1"/>
  <c r="F22" i="1"/>
  <c r="G22" i="1"/>
  <c r="H22" i="1"/>
  <c r="I22" i="1"/>
  <c r="J22" i="1"/>
  <c r="K22" i="1"/>
  <c r="L22" i="1"/>
  <c r="M22" i="1"/>
  <c r="L61" i="8" s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C177" i="6"/>
  <c r="C175" i="6" s="1"/>
  <c r="H177" i="6"/>
  <c r="H175" i="6" s="1"/>
  <c r="N177" i="6"/>
  <c r="N175" i="6" s="1"/>
  <c r="O177" i="6"/>
  <c r="O175" i="6" s="1"/>
  <c r="Q177" i="6"/>
  <c r="Q175" i="6" s="1"/>
  <c r="S177" i="6"/>
  <c r="S175" i="6" s="1"/>
  <c r="V177" i="6"/>
  <c r="V175" i="6" s="1"/>
  <c r="Y177" i="6"/>
  <c r="Y175" i="6" s="1"/>
  <c r="AA177" i="6"/>
  <c r="AA175" i="6" s="1"/>
  <c r="AD177" i="6"/>
  <c r="AD175" i="6" s="1"/>
  <c r="B177" i="6"/>
  <c r="B175" i="6" s="1"/>
  <c r="C173" i="6"/>
  <c r="D173" i="6" s="1"/>
  <c r="E173" i="6" s="1"/>
  <c r="H173" i="6" s="1"/>
  <c r="J105" i="6"/>
  <c r="N105" i="6" s="1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05" i="6"/>
  <c r="D141" i="6"/>
  <c r="D142" i="6"/>
  <c r="D143" i="6"/>
  <c r="D144" i="6"/>
  <c r="D145" i="6"/>
  <c r="D146" i="6"/>
  <c r="B147" i="6"/>
  <c r="D147" i="6"/>
  <c r="D148" i="6"/>
  <c r="D149" i="6"/>
  <c r="D150" i="6"/>
  <c r="D151" i="6"/>
  <c r="C152" i="6"/>
  <c r="D152" i="6"/>
  <c r="D153" i="6"/>
  <c r="D154" i="6"/>
  <c r="B155" i="6"/>
  <c r="D155" i="6"/>
  <c r="D156" i="6"/>
  <c r="D157" i="6"/>
  <c r="D158" i="6"/>
  <c r="D159" i="6"/>
  <c r="C160" i="6"/>
  <c r="D160" i="6"/>
  <c r="D161" i="6"/>
  <c r="D162" i="6"/>
  <c r="B163" i="6"/>
  <c r="D163" i="6"/>
  <c r="D164" i="6"/>
  <c r="D165" i="6"/>
  <c r="D166" i="6"/>
  <c r="D167" i="6"/>
  <c r="C168" i="6"/>
  <c r="D168" i="6"/>
  <c r="D169" i="6"/>
  <c r="D170" i="6"/>
  <c r="D140" i="6"/>
  <c r="A141" i="6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211" i="6" s="1"/>
  <c r="A106" i="6"/>
  <c r="J106" i="6" s="1"/>
  <c r="D108" i="6"/>
  <c r="S108" i="6" s="1"/>
  <c r="D112" i="6"/>
  <c r="S112" i="6" s="1"/>
  <c r="D116" i="6"/>
  <c r="S116" i="6" s="1"/>
  <c r="D120" i="6"/>
  <c r="S120" i="6" s="1"/>
  <c r="D124" i="6"/>
  <c r="S124" i="6" s="1"/>
  <c r="D128" i="6"/>
  <c r="S128" i="6" s="1"/>
  <c r="D132" i="6"/>
  <c r="B134" i="6"/>
  <c r="K134" i="6" s="1"/>
  <c r="B126" i="6"/>
  <c r="K126" i="6" s="1"/>
  <c r="B118" i="6"/>
  <c r="K118" i="6" s="1"/>
  <c r="B110" i="6"/>
  <c r="K110" i="6" s="1"/>
  <c r="B3" i="6"/>
  <c r="A1" i="6"/>
  <c r="B3" i="1"/>
  <c r="D21" i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D26" i="1"/>
  <c r="C174" i="6" s="1"/>
  <c r="E26" i="1"/>
  <c r="D174" i="6" s="1"/>
  <c r="F26" i="1"/>
  <c r="E174" i="6" s="1"/>
  <c r="G26" i="1"/>
  <c r="H26" i="1"/>
  <c r="G174" i="6" s="1"/>
  <c r="I26" i="1"/>
  <c r="H174" i="6" s="1"/>
  <c r="J26" i="1"/>
  <c r="I174" i="6" s="1"/>
  <c r="K26" i="1"/>
  <c r="J174" i="6" s="1"/>
  <c r="L26" i="1"/>
  <c r="K174" i="6" s="1"/>
  <c r="M26" i="1"/>
  <c r="L174" i="6" s="1"/>
  <c r="N26" i="1"/>
  <c r="M174" i="6" s="1"/>
  <c r="O26" i="1"/>
  <c r="N174" i="6" s="1"/>
  <c r="P26" i="1"/>
  <c r="O174" i="6" s="1"/>
  <c r="Q26" i="1"/>
  <c r="P174" i="6" s="1"/>
  <c r="R26" i="1"/>
  <c r="Q174" i="6" s="1"/>
  <c r="S26" i="1"/>
  <c r="R174" i="6" s="1"/>
  <c r="T26" i="1"/>
  <c r="S174" i="6" s="1"/>
  <c r="U26" i="1"/>
  <c r="T174" i="6" s="1"/>
  <c r="V26" i="1"/>
  <c r="U174" i="6" s="1"/>
  <c r="W26" i="1"/>
  <c r="V174" i="6" s="1"/>
  <c r="X26" i="1"/>
  <c r="W174" i="6" s="1"/>
  <c r="Y26" i="1"/>
  <c r="X174" i="6" s="1"/>
  <c r="Z26" i="1"/>
  <c r="Y174" i="6" s="1"/>
  <c r="AA26" i="1"/>
  <c r="Z174" i="6" s="1"/>
  <c r="AB26" i="1"/>
  <c r="AA174" i="6" s="1"/>
  <c r="AC26" i="1"/>
  <c r="AB174" i="6" s="1"/>
  <c r="AD26" i="1"/>
  <c r="AC174" i="6" s="1"/>
  <c r="AE26" i="1"/>
  <c r="AD174" i="6" s="1"/>
  <c r="AF26" i="1"/>
  <c r="AE174" i="6" s="1"/>
  <c r="AG26" i="1"/>
  <c r="AF174" i="6" s="1"/>
  <c r="D27" i="1"/>
  <c r="C62" i="8" s="1"/>
  <c r="E27" i="1"/>
  <c r="D62" i="8" s="1"/>
  <c r="F27" i="1"/>
  <c r="E62" i="8" s="1"/>
  <c r="G27" i="1"/>
  <c r="F62" i="8" s="1"/>
  <c r="H27" i="1"/>
  <c r="I27" i="1"/>
  <c r="H62" i="8" s="1"/>
  <c r="J27" i="1"/>
  <c r="I62" i="8" s="1"/>
  <c r="K27" i="1"/>
  <c r="J62" i="8" s="1"/>
  <c r="L27" i="1"/>
  <c r="K62" i="8" s="1"/>
  <c r="M27" i="1"/>
  <c r="L62" i="8" s="1"/>
  <c r="N27" i="1"/>
  <c r="M62" i="8" s="1"/>
  <c r="O27" i="1"/>
  <c r="N62" i="8" s="1"/>
  <c r="P27" i="1"/>
  <c r="O62" i="8" s="1"/>
  <c r="Q27" i="1"/>
  <c r="P62" i="8" s="1"/>
  <c r="R27" i="1"/>
  <c r="Q62" i="8" s="1"/>
  <c r="S27" i="1"/>
  <c r="R62" i="8" s="1"/>
  <c r="T27" i="1"/>
  <c r="S62" i="8" s="1"/>
  <c r="U27" i="1"/>
  <c r="T62" i="8" s="1"/>
  <c r="V27" i="1"/>
  <c r="U62" i="8" s="1"/>
  <c r="W27" i="1"/>
  <c r="V62" i="8" s="1"/>
  <c r="X27" i="1"/>
  <c r="W62" i="8" s="1"/>
  <c r="Y27" i="1"/>
  <c r="X62" i="8" s="1"/>
  <c r="Z27" i="1"/>
  <c r="Y62" i="8" s="1"/>
  <c r="AA27" i="1"/>
  <c r="Z62" i="8" s="1"/>
  <c r="AB27" i="1"/>
  <c r="AA62" i="8" s="1"/>
  <c r="AC27" i="1"/>
  <c r="AB62" i="8" s="1"/>
  <c r="AD27" i="1"/>
  <c r="AC62" i="8" s="1"/>
  <c r="AE27" i="1"/>
  <c r="AD62" i="8" s="1"/>
  <c r="AF27" i="1"/>
  <c r="AE62" i="8" s="1"/>
  <c r="AG27" i="1"/>
  <c r="AF62" i="8" s="1"/>
  <c r="AG22" i="1"/>
  <c r="AF61" i="8" s="1"/>
  <c r="AF22" i="1"/>
  <c r="AE22" i="1"/>
  <c r="AD22" i="1"/>
  <c r="AC61" i="8" s="1"/>
  <c r="AC22" i="1"/>
  <c r="AB61" i="8" s="1"/>
  <c r="AB22" i="1"/>
  <c r="AA22" i="1"/>
  <c r="Z61" i="8" s="1"/>
  <c r="Z22" i="1"/>
  <c r="Y61" i="8" s="1"/>
  <c r="J92" i="8" s="1"/>
  <c r="Y22" i="1"/>
  <c r="X61" i="8" s="1"/>
  <c r="X22" i="1"/>
  <c r="W22" i="1"/>
  <c r="V22" i="1"/>
  <c r="U61" i="8" s="1"/>
  <c r="U22" i="1"/>
  <c r="T61" i="8" s="1"/>
  <c r="T22" i="1"/>
  <c r="S22" i="1"/>
  <c r="R61" i="8" s="1"/>
  <c r="R22" i="1"/>
  <c r="Q61" i="8" s="1"/>
  <c r="Q22" i="1"/>
  <c r="P61" i="8" s="1"/>
  <c r="P22" i="1"/>
  <c r="O22" i="1"/>
  <c r="N22" i="1"/>
  <c r="M61" i="8" s="1"/>
  <c r="C27" i="1"/>
  <c r="B62" i="8" s="1"/>
  <c r="C26" i="1"/>
  <c r="B174" i="6" s="1"/>
  <c r="C24" i="1"/>
  <c r="C23" i="1"/>
  <c r="D15" i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G16" i="1"/>
  <c r="AF16" i="1"/>
  <c r="AE16" i="1"/>
  <c r="AD16" i="1"/>
  <c r="AC16" i="1"/>
  <c r="AC18" i="1" s="1"/>
  <c r="AB16" i="1"/>
  <c r="AA16" i="1"/>
  <c r="Z16" i="1"/>
  <c r="Y16" i="1"/>
  <c r="X16" i="1"/>
  <c r="W16" i="1"/>
  <c r="V16" i="1"/>
  <c r="U16" i="1"/>
  <c r="U18" i="1" s="1"/>
  <c r="T16" i="1"/>
  <c r="S16" i="1"/>
  <c r="R16" i="1"/>
  <c r="Q16" i="1"/>
  <c r="P16" i="1"/>
  <c r="O16" i="1"/>
  <c r="N16" i="1"/>
  <c r="M16" i="1"/>
  <c r="M18" i="1" s="1"/>
  <c r="L16" i="1"/>
  <c r="K16" i="1"/>
  <c r="J16" i="1"/>
  <c r="I16" i="1"/>
  <c r="H16" i="1"/>
  <c r="G16" i="1"/>
  <c r="F16" i="1"/>
  <c r="E16" i="1"/>
  <c r="E18" i="1" s="1"/>
  <c r="D16" i="1"/>
  <c r="C17" i="1"/>
  <c r="C16" i="1"/>
  <c r="C9" i="1"/>
  <c r="D9" i="1"/>
  <c r="C10" i="1"/>
  <c r="C11" i="1" s="1"/>
  <c r="C12" i="1" s="1"/>
  <c r="D10" i="1"/>
  <c r="B10" i="1"/>
  <c r="B9" i="1"/>
  <c r="A1" i="1"/>
  <c r="H5" i="7"/>
  <c r="G5" i="7"/>
  <c r="F5" i="7"/>
  <c r="E5" i="7"/>
  <c r="D5" i="7"/>
  <c r="C5" i="7"/>
  <c r="A1" i="7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M35" i="5"/>
  <c r="L35" i="5"/>
  <c r="E35" i="5"/>
  <c r="D35" i="5"/>
  <c r="M71" i="5"/>
  <c r="L71" i="5"/>
  <c r="T71" i="5" s="1"/>
  <c r="E71" i="5"/>
  <c r="D71" i="5"/>
  <c r="D105" i="5"/>
  <c r="D104" i="5"/>
  <c r="D103" i="5"/>
  <c r="D102" i="5"/>
  <c r="D101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U80" i="5" s="1"/>
  <c r="M79" i="5"/>
  <c r="M78" i="5"/>
  <c r="M77" i="5"/>
  <c r="M76" i="5"/>
  <c r="M75" i="5"/>
  <c r="M74" i="5"/>
  <c r="M73" i="5"/>
  <c r="M72" i="5"/>
  <c r="M70" i="5"/>
  <c r="M69" i="5"/>
  <c r="M68" i="5"/>
  <c r="M67" i="5"/>
  <c r="M6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T75" i="5" s="1"/>
  <c r="L74" i="5"/>
  <c r="L73" i="5"/>
  <c r="L72" i="5"/>
  <c r="L70" i="5"/>
  <c r="L69" i="5"/>
  <c r="L68" i="5"/>
  <c r="L67" i="5"/>
  <c r="L66" i="5"/>
  <c r="M65" i="5"/>
  <c r="L65" i="5"/>
  <c r="E95" i="5"/>
  <c r="E94" i="5"/>
  <c r="E93" i="5"/>
  <c r="U93" i="5" s="1"/>
  <c r="E92" i="5"/>
  <c r="E91" i="5"/>
  <c r="U91" i="5" s="1"/>
  <c r="E90" i="5"/>
  <c r="E89" i="5"/>
  <c r="E88" i="5"/>
  <c r="E87" i="5"/>
  <c r="E86" i="5"/>
  <c r="E85" i="5"/>
  <c r="U85" i="5" s="1"/>
  <c r="E84" i="5"/>
  <c r="E83" i="5"/>
  <c r="U83" i="5" s="1"/>
  <c r="E82" i="5"/>
  <c r="E81" i="5"/>
  <c r="E80" i="5"/>
  <c r="E79" i="5"/>
  <c r="E78" i="5"/>
  <c r="E77" i="5"/>
  <c r="U77" i="5" s="1"/>
  <c r="E76" i="5"/>
  <c r="E75" i="5"/>
  <c r="E74" i="5"/>
  <c r="E73" i="5"/>
  <c r="E72" i="5"/>
  <c r="E70" i="5"/>
  <c r="E69" i="5"/>
  <c r="E68" i="5"/>
  <c r="E67" i="5"/>
  <c r="E66" i="5"/>
  <c r="E65" i="5"/>
  <c r="D95" i="5"/>
  <c r="D94" i="5"/>
  <c r="T94" i="5" s="1"/>
  <c r="D93" i="5"/>
  <c r="D92" i="5"/>
  <c r="T92" i="5" s="1"/>
  <c r="D91" i="5"/>
  <c r="D90" i="5"/>
  <c r="T90" i="5" s="1"/>
  <c r="D89" i="5"/>
  <c r="D88" i="5"/>
  <c r="D87" i="5"/>
  <c r="D86" i="5"/>
  <c r="D85" i="5"/>
  <c r="D84" i="5"/>
  <c r="D83" i="5"/>
  <c r="D82" i="5"/>
  <c r="T82" i="5" s="1"/>
  <c r="D81" i="5"/>
  <c r="D80" i="5"/>
  <c r="T80" i="5" s="1"/>
  <c r="D79" i="5"/>
  <c r="D78" i="5"/>
  <c r="D77" i="5"/>
  <c r="D76" i="5"/>
  <c r="D75" i="5"/>
  <c r="D74" i="5"/>
  <c r="D73" i="5"/>
  <c r="D72" i="5"/>
  <c r="T72" i="5" s="1"/>
  <c r="D70" i="5"/>
  <c r="D69" i="5"/>
  <c r="D68" i="5"/>
  <c r="D67" i="5"/>
  <c r="D66" i="5"/>
  <c r="D65" i="5"/>
  <c r="M59" i="5"/>
  <c r="M58" i="5"/>
  <c r="M57" i="5"/>
  <c r="M56" i="5"/>
  <c r="M55" i="5"/>
  <c r="M54" i="5"/>
  <c r="U54" i="5" s="1"/>
  <c r="M53" i="5"/>
  <c r="M52" i="5"/>
  <c r="M51" i="5"/>
  <c r="M50" i="5"/>
  <c r="M49" i="5"/>
  <c r="M48" i="5"/>
  <c r="M47" i="5"/>
  <c r="M46" i="5"/>
  <c r="M45" i="5"/>
  <c r="U45" i="5" s="1"/>
  <c r="M44" i="5"/>
  <c r="M43" i="5"/>
  <c r="M42" i="5"/>
  <c r="M41" i="5"/>
  <c r="M40" i="5"/>
  <c r="M39" i="5"/>
  <c r="M38" i="5"/>
  <c r="U38" i="5" s="1"/>
  <c r="M37" i="5"/>
  <c r="U37" i="5" s="1"/>
  <c r="M36" i="5"/>
  <c r="M34" i="5"/>
  <c r="M33" i="5"/>
  <c r="M32" i="5"/>
  <c r="M31" i="5"/>
  <c r="M30" i="5"/>
  <c r="U30" i="5" s="1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T42" i="5" s="1"/>
  <c r="L41" i="5"/>
  <c r="L40" i="5"/>
  <c r="L39" i="5"/>
  <c r="L38" i="5"/>
  <c r="L37" i="5"/>
  <c r="L36" i="5"/>
  <c r="L34" i="5"/>
  <c r="L33" i="5"/>
  <c r="T33" i="5" s="1"/>
  <c r="L32" i="5"/>
  <c r="L31" i="5"/>
  <c r="L30" i="5"/>
  <c r="M29" i="5"/>
  <c r="L29" i="5"/>
  <c r="T45" i="5"/>
  <c r="E59" i="5"/>
  <c r="E58" i="5"/>
  <c r="U58" i="5" s="1"/>
  <c r="E57" i="5"/>
  <c r="U57" i="5" s="1"/>
  <c r="E56" i="5"/>
  <c r="E55" i="5"/>
  <c r="E54" i="5"/>
  <c r="E53" i="5"/>
  <c r="E52" i="5"/>
  <c r="E51" i="5"/>
  <c r="U51" i="5" s="1"/>
  <c r="E50" i="5"/>
  <c r="E49" i="5"/>
  <c r="U49" i="5" s="1"/>
  <c r="E48" i="5"/>
  <c r="E47" i="5"/>
  <c r="E46" i="5"/>
  <c r="E45" i="5"/>
  <c r="E44" i="5"/>
  <c r="E43" i="5"/>
  <c r="U43" i="5" s="1"/>
  <c r="E42" i="5"/>
  <c r="E41" i="5"/>
  <c r="U41" i="5" s="1"/>
  <c r="E40" i="5"/>
  <c r="E39" i="5"/>
  <c r="E38" i="5"/>
  <c r="E37" i="5"/>
  <c r="E36" i="5"/>
  <c r="E34" i="5"/>
  <c r="U34" i="5" s="1"/>
  <c r="E33" i="5"/>
  <c r="U33" i="5" s="1"/>
  <c r="E32" i="5"/>
  <c r="E31" i="5"/>
  <c r="E30" i="5"/>
  <c r="E29" i="5"/>
  <c r="D59" i="5"/>
  <c r="D58" i="5"/>
  <c r="D57" i="5"/>
  <c r="T57" i="5" s="1"/>
  <c r="D56" i="5"/>
  <c r="D55" i="5"/>
  <c r="D54" i="5"/>
  <c r="D53" i="5"/>
  <c r="D52" i="5"/>
  <c r="D51" i="5"/>
  <c r="D50" i="5"/>
  <c r="D49" i="5"/>
  <c r="T49" i="5" s="1"/>
  <c r="D48" i="5"/>
  <c r="D47" i="5"/>
  <c r="D46" i="5"/>
  <c r="D45" i="5"/>
  <c r="D44" i="5"/>
  <c r="D43" i="5"/>
  <c r="T43" i="5" s="1"/>
  <c r="D42" i="5"/>
  <c r="D41" i="5"/>
  <c r="D40" i="5"/>
  <c r="T40" i="5" s="1"/>
  <c r="D39" i="5"/>
  <c r="T39" i="5" s="1"/>
  <c r="D38" i="5"/>
  <c r="T38" i="5" s="1"/>
  <c r="D37" i="5"/>
  <c r="D36" i="5"/>
  <c r="D34" i="5"/>
  <c r="D33" i="5"/>
  <c r="D32" i="5"/>
  <c r="T32" i="5" s="1"/>
  <c r="D31" i="5"/>
  <c r="D30" i="5"/>
  <c r="T30" i="5" s="1"/>
  <c r="U65" i="5"/>
  <c r="D29" i="5"/>
  <c r="K12" i="9"/>
  <c r="D105" i="6" s="1"/>
  <c r="K12" i="10"/>
  <c r="D106" i="6" s="1"/>
  <c r="S106" i="6" s="1"/>
  <c r="K12" i="11"/>
  <c r="D107" i="6" s="1"/>
  <c r="S107" i="6" s="1"/>
  <c r="K12" i="12"/>
  <c r="K12" i="13"/>
  <c r="D109" i="6" s="1"/>
  <c r="S109" i="6" s="1"/>
  <c r="K12" i="14"/>
  <c r="D110" i="6" s="1"/>
  <c r="S110" i="6" s="1"/>
  <c r="K12" i="15"/>
  <c r="D111" i="6" s="1"/>
  <c r="S111" i="6" s="1"/>
  <c r="K12" i="16"/>
  <c r="K12" i="17"/>
  <c r="D113" i="6" s="1"/>
  <c r="S113" i="6" s="1"/>
  <c r="K12" i="18"/>
  <c r="D114" i="6" s="1"/>
  <c r="S114" i="6" s="1"/>
  <c r="K12" i="19"/>
  <c r="D115" i="6" s="1"/>
  <c r="S115" i="6" s="1"/>
  <c r="K12" i="20"/>
  <c r="K12" i="21"/>
  <c r="D117" i="6" s="1"/>
  <c r="S117" i="6" s="1"/>
  <c r="K12" i="22"/>
  <c r="D118" i="6" s="1"/>
  <c r="K12" i="23"/>
  <c r="D119" i="6" s="1"/>
  <c r="S119" i="6" s="1"/>
  <c r="K12" i="24"/>
  <c r="K12" i="25"/>
  <c r="D121" i="6" s="1"/>
  <c r="S121" i="6" s="1"/>
  <c r="K12" i="26"/>
  <c r="D122" i="6" s="1"/>
  <c r="S122" i="6" s="1"/>
  <c r="K12" i="27"/>
  <c r="D123" i="6" s="1"/>
  <c r="S123" i="6" s="1"/>
  <c r="K12" i="28"/>
  <c r="K12" i="29"/>
  <c r="D125" i="6" s="1"/>
  <c r="S125" i="6" s="1"/>
  <c r="K12" i="30"/>
  <c r="D126" i="6" s="1"/>
  <c r="S126" i="6" s="1"/>
  <c r="K12" i="31"/>
  <c r="D127" i="6" s="1"/>
  <c r="S127" i="6" s="1"/>
  <c r="K12" i="32"/>
  <c r="K12" i="33"/>
  <c r="D129" i="6" s="1"/>
  <c r="S129" i="6" s="1"/>
  <c r="K12" i="34"/>
  <c r="D130" i="6" s="1"/>
  <c r="S130" i="6" s="1"/>
  <c r="K12" i="35"/>
  <c r="D131" i="6" s="1"/>
  <c r="S131" i="6" s="1"/>
  <c r="K12" i="36"/>
  <c r="K12" i="37"/>
  <c r="D133" i="6" s="1"/>
  <c r="S133" i="6" s="1"/>
  <c r="K12" i="38"/>
  <c r="D134" i="6" s="1"/>
  <c r="S134" i="6" s="1"/>
  <c r="K12" i="39"/>
  <c r="D135" i="6" s="1"/>
  <c r="S135" i="6" s="1"/>
  <c r="K12" i="3"/>
  <c r="J12" i="9"/>
  <c r="C105" i="6" s="1"/>
  <c r="J12" i="10"/>
  <c r="C106" i="6" s="1"/>
  <c r="O106" i="6" s="1"/>
  <c r="J12" i="11"/>
  <c r="C107" i="6" s="1"/>
  <c r="O107" i="6" s="1"/>
  <c r="J12" i="12"/>
  <c r="C108" i="6" s="1"/>
  <c r="O108" i="6" s="1"/>
  <c r="J12" i="13"/>
  <c r="C109" i="6" s="1"/>
  <c r="O109" i="6" s="1"/>
  <c r="J12" i="14"/>
  <c r="C110" i="6" s="1"/>
  <c r="O110" i="6" s="1"/>
  <c r="J12" i="15"/>
  <c r="C111" i="6" s="1"/>
  <c r="J12" i="16"/>
  <c r="C112" i="6" s="1"/>
  <c r="O112" i="6" s="1"/>
  <c r="J12" i="17"/>
  <c r="C113" i="6" s="1"/>
  <c r="O113" i="6" s="1"/>
  <c r="J12" i="18"/>
  <c r="C114" i="6" s="1"/>
  <c r="O114" i="6" s="1"/>
  <c r="J12" i="19"/>
  <c r="C115" i="6" s="1"/>
  <c r="O115" i="6" s="1"/>
  <c r="J12" i="20"/>
  <c r="C116" i="6" s="1"/>
  <c r="O116" i="6" s="1"/>
  <c r="J12" i="21"/>
  <c r="C117" i="6" s="1"/>
  <c r="O117" i="6" s="1"/>
  <c r="J12" i="22"/>
  <c r="C118" i="6" s="1"/>
  <c r="O118" i="6" s="1"/>
  <c r="J12" i="23"/>
  <c r="C119" i="6" s="1"/>
  <c r="O119" i="6" s="1"/>
  <c r="J12" i="24"/>
  <c r="C120" i="6" s="1"/>
  <c r="O120" i="6" s="1"/>
  <c r="J12" i="25"/>
  <c r="C121" i="6" s="1"/>
  <c r="O121" i="6" s="1"/>
  <c r="J12" i="26"/>
  <c r="C122" i="6" s="1"/>
  <c r="O122" i="6" s="1"/>
  <c r="J12" i="27"/>
  <c r="C123" i="6" s="1"/>
  <c r="O123" i="6" s="1"/>
  <c r="J12" i="28"/>
  <c r="C124" i="6" s="1"/>
  <c r="O124" i="6" s="1"/>
  <c r="J12" i="29"/>
  <c r="C125" i="6" s="1"/>
  <c r="O125" i="6" s="1"/>
  <c r="J12" i="30"/>
  <c r="C126" i="6" s="1"/>
  <c r="O126" i="6" s="1"/>
  <c r="J12" i="31"/>
  <c r="C127" i="6" s="1"/>
  <c r="O127" i="6" s="1"/>
  <c r="J12" i="32"/>
  <c r="C128" i="6" s="1"/>
  <c r="O128" i="6" s="1"/>
  <c r="J12" i="33"/>
  <c r="C129" i="6" s="1"/>
  <c r="O129" i="6" s="1"/>
  <c r="J12" i="34"/>
  <c r="C130" i="6" s="1"/>
  <c r="O130" i="6" s="1"/>
  <c r="J12" i="35"/>
  <c r="C131" i="6" s="1"/>
  <c r="O131" i="6" s="1"/>
  <c r="J12" i="36"/>
  <c r="C132" i="6" s="1"/>
  <c r="O132" i="6" s="1"/>
  <c r="J12" i="37"/>
  <c r="C133" i="6" s="1"/>
  <c r="J12" i="38"/>
  <c r="C134" i="6" s="1"/>
  <c r="O134" i="6" s="1"/>
  <c r="J12" i="39"/>
  <c r="C135" i="6" s="1"/>
  <c r="O135" i="6" s="1"/>
  <c r="J12" i="3"/>
  <c r="I12" i="9"/>
  <c r="B105" i="6" s="1"/>
  <c r="K105" i="6" s="1"/>
  <c r="I12" i="10"/>
  <c r="B106" i="6" s="1"/>
  <c r="K106" i="6" s="1"/>
  <c r="I12" i="11"/>
  <c r="B107" i="6" s="1"/>
  <c r="K107" i="6" s="1"/>
  <c r="I12" i="12"/>
  <c r="B108" i="6" s="1"/>
  <c r="K108" i="6" s="1"/>
  <c r="I12" i="13"/>
  <c r="B109" i="6" s="1"/>
  <c r="K109" i="6" s="1"/>
  <c r="I12" i="14"/>
  <c r="I12" i="15"/>
  <c r="B111" i="6" s="1"/>
  <c r="K111" i="6" s="1"/>
  <c r="I12" i="16"/>
  <c r="B112" i="6" s="1"/>
  <c r="K112" i="6" s="1"/>
  <c r="I12" i="17"/>
  <c r="B113" i="6" s="1"/>
  <c r="K113" i="6" s="1"/>
  <c r="I12" i="18"/>
  <c r="B114" i="6" s="1"/>
  <c r="K114" i="6" s="1"/>
  <c r="I12" i="19"/>
  <c r="B115" i="6" s="1"/>
  <c r="K115" i="6" s="1"/>
  <c r="I12" i="20"/>
  <c r="B116" i="6" s="1"/>
  <c r="K116" i="6" s="1"/>
  <c r="I12" i="21"/>
  <c r="B117" i="6" s="1"/>
  <c r="K117" i="6" s="1"/>
  <c r="I12" i="22"/>
  <c r="I12" i="23"/>
  <c r="B119" i="6" s="1"/>
  <c r="K119" i="6" s="1"/>
  <c r="I12" i="24"/>
  <c r="I12" i="25"/>
  <c r="B121" i="6" s="1"/>
  <c r="K121" i="6" s="1"/>
  <c r="I12" i="26"/>
  <c r="B122" i="6" s="1"/>
  <c r="K122" i="6" s="1"/>
  <c r="I12" i="27"/>
  <c r="B123" i="6" s="1"/>
  <c r="K123" i="6" s="1"/>
  <c r="I12" i="28"/>
  <c r="B124" i="6" s="1"/>
  <c r="K124" i="6" s="1"/>
  <c r="I12" i="29"/>
  <c r="B125" i="6" s="1"/>
  <c r="K125" i="6" s="1"/>
  <c r="I12" i="30"/>
  <c r="I12" i="31"/>
  <c r="B127" i="6" s="1"/>
  <c r="K127" i="6" s="1"/>
  <c r="I12" i="32"/>
  <c r="B128" i="6" s="1"/>
  <c r="K128" i="6" s="1"/>
  <c r="I12" i="33"/>
  <c r="B129" i="6" s="1"/>
  <c r="K129" i="6" s="1"/>
  <c r="I12" i="34"/>
  <c r="B130" i="6" s="1"/>
  <c r="K130" i="6" s="1"/>
  <c r="I12" i="35"/>
  <c r="B131" i="6" s="1"/>
  <c r="K131" i="6" s="1"/>
  <c r="I12" i="36"/>
  <c r="B132" i="6" s="1"/>
  <c r="K132" i="6" s="1"/>
  <c r="I12" i="37"/>
  <c r="B133" i="6" s="1"/>
  <c r="K133" i="6" s="1"/>
  <c r="I12" i="38"/>
  <c r="I12" i="39"/>
  <c r="B135" i="6" s="1"/>
  <c r="K135" i="6" s="1"/>
  <c r="I12" i="3"/>
  <c r="D11" i="5"/>
  <c r="D8" i="1" s="1"/>
  <c r="C11" i="5"/>
  <c r="C8" i="1" s="1"/>
  <c r="B11" i="5"/>
  <c r="E11" i="5" s="1"/>
  <c r="G22" i="5"/>
  <c r="O60" i="5"/>
  <c r="O96" i="5"/>
  <c r="G96" i="5"/>
  <c r="G132" i="5"/>
  <c r="G60" i="5"/>
  <c r="W60" i="5" s="1"/>
  <c r="A102" i="5"/>
  <c r="B102" i="5"/>
  <c r="A103" i="5"/>
  <c r="B103" i="5"/>
  <c r="A104" i="5"/>
  <c r="B104" i="5"/>
  <c r="A105" i="5"/>
  <c r="B105" i="5"/>
  <c r="A106" i="5"/>
  <c r="B106" i="5"/>
  <c r="A107" i="5"/>
  <c r="B107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A115" i="5"/>
  <c r="B115" i="5"/>
  <c r="A116" i="5"/>
  <c r="B116" i="5"/>
  <c r="A117" i="5"/>
  <c r="B117" i="5"/>
  <c r="A118" i="5"/>
  <c r="B118" i="5"/>
  <c r="A119" i="5"/>
  <c r="B119" i="5"/>
  <c r="A120" i="5"/>
  <c r="B120" i="5"/>
  <c r="A121" i="5"/>
  <c r="B121" i="5"/>
  <c r="A122" i="5"/>
  <c r="B122" i="5"/>
  <c r="A123" i="5"/>
  <c r="B123" i="5"/>
  <c r="A124" i="5"/>
  <c r="B124" i="5"/>
  <c r="A125" i="5"/>
  <c r="B125" i="5"/>
  <c r="A126" i="5"/>
  <c r="B126" i="5"/>
  <c r="A127" i="5"/>
  <c r="B127" i="5"/>
  <c r="A128" i="5"/>
  <c r="B128" i="5"/>
  <c r="A129" i="5"/>
  <c r="B129" i="5"/>
  <c r="A130" i="5"/>
  <c r="B130" i="5"/>
  <c r="A131" i="5"/>
  <c r="B131" i="5"/>
  <c r="B101" i="5"/>
  <c r="A101" i="5"/>
  <c r="W95" i="5"/>
  <c r="C170" i="6" s="1"/>
  <c r="W94" i="5"/>
  <c r="C169" i="6" s="1"/>
  <c r="W93" i="5"/>
  <c r="W92" i="5"/>
  <c r="C167" i="6" s="1"/>
  <c r="W91" i="5"/>
  <c r="C166" i="6" s="1"/>
  <c r="W90" i="5"/>
  <c r="C165" i="6" s="1"/>
  <c r="W89" i="5"/>
  <c r="C164" i="6" s="1"/>
  <c r="W88" i="5"/>
  <c r="C163" i="6" s="1"/>
  <c r="W87" i="5"/>
  <c r="C162" i="6" s="1"/>
  <c r="W86" i="5"/>
  <c r="C161" i="6" s="1"/>
  <c r="W85" i="5"/>
  <c r="W84" i="5"/>
  <c r="C159" i="6" s="1"/>
  <c r="W83" i="5"/>
  <c r="C158" i="6" s="1"/>
  <c r="W82" i="5"/>
  <c r="C157" i="6" s="1"/>
  <c r="W81" i="5"/>
  <c r="C156" i="6" s="1"/>
  <c r="W80" i="5"/>
  <c r="C155" i="6" s="1"/>
  <c r="W79" i="5"/>
  <c r="C154" i="6" s="1"/>
  <c r="W78" i="5"/>
  <c r="C153" i="6" s="1"/>
  <c r="W77" i="5"/>
  <c r="W76" i="5"/>
  <c r="C151" i="6" s="1"/>
  <c r="W75" i="5"/>
  <c r="C150" i="6" s="1"/>
  <c r="W74" i="5"/>
  <c r="C149" i="6" s="1"/>
  <c r="W73" i="5"/>
  <c r="C148" i="6" s="1"/>
  <c r="W72" i="5"/>
  <c r="C147" i="6" s="1"/>
  <c r="W71" i="5"/>
  <c r="C146" i="6" s="1"/>
  <c r="W70" i="5"/>
  <c r="C145" i="6" s="1"/>
  <c r="W69" i="5"/>
  <c r="C144" i="6" s="1"/>
  <c r="W68" i="5"/>
  <c r="C143" i="6" s="1"/>
  <c r="U68" i="5"/>
  <c r="W67" i="5"/>
  <c r="C142" i="6" s="1"/>
  <c r="U67" i="5"/>
  <c r="W66" i="5"/>
  <c r="C141" i="6" s="1"/>
  <c r="W65" i="5"/>
  <c r="C140" i="6" s="1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5" i="5"/>
  <c r="B95" i="5"/>
  <c r="B65" i="5"/>
  <c r="A65" i="5"/>
  <c r="W30" i="5"/>
  <c r="B141" i="6" s="1"/>
  <c r="W31" i="5"/>
  <c r="B142" i="6" s="1"/>
  <c r="W32" i="5"/>
  <c r="B143" i="6" s="1"/>
  <c r="W33" i="5"/>
  <c r="B144" i="6" s="1"/>
  <c r="W34" i="5"/>
  <c r="B145" i="6" s="1"/>
  <c r="W35" i="5"/>
  <c r="B146" i="6" s="1"/>
  <c r="W36" i="5"/>
  <c r="W37" i="5"/>
  <c r="B148" i="6" s="1"/>
  <c r="W38" i="5"/>
  <c r="B149" i="6" s="1"/>
  <c r="U39" i="5"/>
  <c r="W39" i="5"/>
  <c r="B150" i="6" s="1"/>
  <c r="W40" i="5"/>
  <c r="B151" i="6" s="1"/>
  <c r="W41" i="5"/>
  <c r="B152" i="6" s="1"/>
  <c r="W42" i="5"/>
  <c r="B153" i="6" s="1"/>
  <c r="W43" i="5"/>
  <c r="B154" i="6" s="1"/>
  <c r="W44" i="5"/>
  <c r="W45" i="5"/>
  <c r="B156" i="6" s="1"/>
  <c r="W46" i="5"/>
  <c r="B157" i="6" s="1"/>
  <c r="U47" i="5"/>
  <c r="W47" i="5"/>
  <c r="B158" i="6" s="1"/>
  <c r="W48" i="5"/>
  <c r="B159" i="6" s="1"/>
  <c r="W49" i="5"/>
  <c r="B160" i="6" s="1"/>
  <c r="W50" i="5"/>
  <c r="B161" i="6" s="1"/>
  <c r="W51" i="5"/>
  <c r="B162" i="6" s="1"/>
  <c r="W52" i="5"/>
  <c r="W53" i="5"/>
  <c r="B164" i="6" s="1"/>
  <c r="W54" i="5"/>
  <c r="B165" i="6" s="1"/>
  <c r="W55" i="5"/>
  <c r="B166" i="6" s="1"/>
  <c r="W56" i="5"/>
  <c r="B167" i="6" s="1"/>
  <c r="W57" i="5"/>
  <c r="B168" i="6" s="1"/>
  <c r="W58" i="5"/>
  <c r="B169" i="6" s="1"/>
  <c r="W59" i="5"/>
  <c r="B170" i="6" s="1"/>
  <c r="W29" i="5"/>
  <c r="B140" i="6" s="1"/>
  <c r="K65" i="5"/>
  <c r="K96" i="5" s="1"/>
  <c r="C65" i="5"/>
  <c r="C101" i="5"/>
  <c r="C132" i="5" s="1"/>
  <c r="K29" i="5"/>
  <c r="C29" i="5"/>
  <c r="C3" i="5"/>
  <c r="C6" i="39"/>
  <c r="B6" i="39"/>
  <c r="C6" i="38"/>
  <c r="B6" i="38"/>
  <c r="C6" i="37"/>
  <c r="B6" i="37"/>
  <c r="C6" i="36"/>
  <c r="B6" i="36"/>
  <c r="C6" i="35"/>
  <c r="B6" i="35"/>
  <c r="C6" i="34"/>
  <c r="B6" i="34"/>
  <c r="C6" i="33"/>
  <c r="B6" i="33"/>
  <c r="C6" i="32"/>
  <c r="B6" i="32"/>
  <c r="C6" i="31"/>
  <c r="B6" i="31"/>
  <c r="C6" i="30"/>
  <c r="B6" i="30"/>
  <c r="C6" i="29"/>
  <c r="B6" i="29"/>
  <c r="C6" i="28"/>
  <c r="B6" i="28"/>
  <c r="C6" i="27"/>
  <c r="B6" i="27"/>
  <c r="C6" i="26"/>
  <c r="B6" i="26"/>
  <c r="C6" i="25"/>
  <c r="B6" i="25"/>
  <c r="C6" i="24"/>
  <c r="B6" i="24"/>
  <c r="C6" i="23"/>
  <c r="B6" i="23"/>
  <c r="C6" i="22"/>
  <c r="B6" i="22"/>
  <c r="C6" i="21"/>
  <c r="B6" i="21"/>
  <c r="C6" i="20"/>
  <c r="B6" i="20"/>
  <c r="C6" i="19"/>
  <c r="B6" i="19"/>
  <c r="C6" i="18"/>
  <c r="B6" i="18"/>
  <c r="C6" i="17"/>
  <c r="B6" i="17"/>
  <c r="C6" i="16"/>
  <c r="B6" i="16"/>
  <c r="B6" i="15"/>
  <c r="C6" i="13"/>
  <c r="B6" i="13"/>
  <c r="C6" i="12"/>
  <c r="B6" i="12"/>
  <c r="C6" i="11"/>
  <c r="B6" i="11"/>
  <c r="C6" i="15"/>
  <c r="C6" i="10"/>
  <c r="B6" i="10"/>
  <c r="H145" i="11"/>
  <c r="D72" i="42" s="1"/>
  <c r="A145" i="11"/>
  <c r="H144" i="11"/>
  <c r="D71" i="42" s="1"/>
  <c r="A144" i="11"/>
  <c r="H143" i="11"/>
  <c r="D70" i="42" s="1"/>
  <c r="A143" i="11"/>
  <c r="H142" i="11"/>
  <c r="D69" i="42" s="1"/>
  <c r="A142" i="11"/>
  <c r="H141" i="11"/>
  <c r="D68" i="42" s="1"/>
  <c r="A141" i="11"/>
  <c r="H140" i="11"/>
  <c r="D67" i="42" s="1"/>
  <c r="A140" i="11"/>
  <c r="H139" i="11"/>
  <c r="D66" i="42" s="1"/>
  <c r="A139" i="11"/>
  <c r="H138" i="11"/>
  <c r="D65" i="42" s="1"/>
  <c r="A138" i="11"/>
  <c r="H137" i="11"/>
  <c r="D64" i="42" s="1"/>
  <c r="A137" i="11"/>
  <c r="H136" i="11"/>
  <c r="D63" i="42" s="1"/>
  <c r="A136" i="11"/>
  <c r="G135" i="11"/>
  <c r="F135" i="11"/>
  <c r="E135" i="11"/>
  <c r="E85" i="11" s="1"/>
  <c r="D135" i="11"/>
  <c r="D85" i="11" s="1"/>
  <c r="C135" i="11"/>
  <c r="C85" i="11" s="1"/>
  <c r="B135" i="11"/>
  <c r="B85" i="11" s="1"/>
  <c r="H132" i="11"/>
  <c r="D57" i="42" s="1"/>
  <c r="H131" i="11"/>
  <c r="H130" i="11"/>
  <c r="H129" i="11"/>
  <c r="H128" i="11"/>
  <c r="H127" i="11"/>
  <c r="H126" i="11"/>
  <c r="H125" i="11"/>
  <c r="H124" i="11"/>
  <c r="H123" i="11"/>
  <c r="H122" i="11"/>
  <c r="D28" i="42"/>
  <c r="H102" i="11"/>
  <c r="D27" i="42" s="1"/>
  <c r="G101" i="11"/>
  <c r="G84" i="11" s="1"/>
  <c r="F101" i="11"/>
  <c r="E101" i="11"/>
  <c r="E84" i="11" s="1"/>
  <c r="D101" i="11"/>
  <c r="D84" i="11" s="1"/>
  <c r="C101" i="11"/>
  <c r="C84" i="11" s="1"/>
  <c r="B101" i="11"/>
  <c r="B84" i="11" s="1"/>
  <c r="H98" i="11"/>
  <c r="D21" i="42" s="1"/>
  <c r="H97" i="11"/>
  <c r="D20" i="42" s="1"/>
  <c r="H96" i="11"/>
  <c r="D19" i="42" s="1"/>
  <c r="H95" i="11"/>
  <c r="D18" i="42" s="1"/>
  <c r="H94" i="11"/>
  <c r="D17" i="42" s="1"/>
  <c r="H93" i="11"/>
  <c r="D16" i="42" s="1"/>
  <c r="H92" i="11"/>
  <c r="D15" i="42" s="1"/>
  <c r="H91" i="11"/>
  <c r="D14" i="42" s="1"/>
  <c r="H90" i="11"/>
  <c r="D13" i="42" s="1"/>
  <c r="H89" i="11"/>
  <c r="D12" i="42" s="1"/>
  <c r="H88" i="11"/>
  <c r="D11" i="42" s="1"/>
  <c r="H87" i="11"/>
  <c r="D10" i="42" s="1"/>
  <c r="H86" i="11"/>
  <c r="D9" i="42" s="1"/>
  <c r="G85" i="11"/>
  <c r="F85" i="11"/>
  <c r="F84" i="11"/>
  <c r="F82" i="11" s="1"/>
  <c r="F52" i="11" s="1"/>
  <c r="H83" i="11"/>
  <c r="D6" i="42" s="1"/>
  <c r="H79" i="11"/>
  <c r="D64" i="4" s="1"/>
  <c r="D66" i="4" s="1"/>
  <c r="E63" i="4" s="1"/>
  <c r="H78" i="11"/>
  <c r="H77" i="11"/>
  <c r="D58" i="4" s="1"/>
  <c r="D60" i="4" s="1"/>
  <c r="E57" i="4" s="1"/>
  <c r="H76" i="11"/>
  <c r="H75" i="11"/>
  <c r="H74" i="11"/>
  <c r="D52" i="4" s="1"/>
  <c r="D54" i="4" s="1"/>
  <c r="E51" i="4" s="1"/>
  <c r="G73" i="11"/>
  <c r="F73" i="11"/>
  <c r="F51" i="11" s="1"/>
  <c r="E73" i="11"/>
  <c r="D73" i="11"/>
  <c r="D51" i="11" s="1"/>
  <c r="C73" i="11"/>
  <c r="C51" i="11" s="1"/>
  <c r="B73" i="11"/>
  <c r="B51" i="11" s="1"/>
  <c r="H70" i="11"/>
  <c r="H69" i="11"/>
  <c r="D43" i="4" s="1"/>
  <c r="G68" i="11"/>
  <c r="F68" i="11"/>
  <c r="E68" i="11"/>
  <c r="D68" i="11"/>
  <c r="C68" i="11"/>
  <c r="B68" i="11"/>
  <c r="G65" i="11"/>
  <c r="F65" i="11"/>
  <c r="E65" i="11"/>
  <c r="D65" i="11"/>
  <c r="C65" i="11"/>
  <c r="B65" i="11"/>
  <c r="H64" i="11"/>
  <c r="H63" i="11"/>
  <c r="H60" i="11"/>
  <c r="D16" i="4" s="1"/>
  <c r="G59" i="11"/>
  <c r="F59" i="11"/>
  <c r="E59" i="11"/>
  <c r="E56" i="11" s="1"/>
  <c r="D59" i="11"/>
  <c r="D56" i="11" s="1"/>
  <c r="C59" i="11"/>
  <c r="C56" i="11" s="1"/>
  <c r="B59" i="11"/>
  <c r="B56" i="11" s="1"/>
  <c r="H58" i="11"/>
  <c r="D9" i="4" s="1"/>
  <c r="H57" i="11"/>
  <c r="G56" i="11"/>
  <c r="F56" i="11"/>
  <c r="G51" i="11"/>
  <c r="E51" i="11"/>
  <c r="G46" i="11"/>
  <c r="G49" i="11" s="1"/>
  <c r="F46" i="11"/>
  <c r="F49" i="11" s="1"/>
  <c r="E46" i="11"/>
  <c r="E49" i="11" s="1"/>
  <c r="D46" i="11"/>
  <c r="D49" i="11" s="1"/>
  <c r="C46" i="11"/>
  <c r="C49" i="11" s="1"/>
  <c r="B46" i="11"/>
  <c r="B49" i="11" s="1"/>
  <c r="H45" i="11"/>
  <c r="H44" i="11"/>
  <c r="G40" i="11"/>
  <c r="F40" i="11"/>
  <c r="E40" i="11"/>
  <c r="D40" i="11"/>
  <c r="C40" i="11"/>
  <c r="B40" i="11"/>
  <c r="B23" i="11"/>
  <c r="D16" i="11"/>
  <c r="D17" i="11" s="1"/>
  <c r="C16" i="11"/>
  <c r="C17" i="11" s="1"/>
  <c r="B16" i="11"/>
  <c r="B17" i="11" s="1"/>
  <c r="F15" i="11"/>
  <c r="E15" i="11"/>
  <c r="F14" i="11"/>
  <c r="E14" i="11"/>
  <c r="G13" i="11"/>
  <c r="G12" i="11"/>
  <c r="L12" i="11"/>
  <c r="K13" i="11" s="1"/>
  <c r="G11" i="11"/>
  <c r="A1" i="11"/>
  <c r="H145" i="12"/>
  <c r="E72" i="42" s="1"/>
  <c r="A145" i="12"/>
  <c r="H144" i="12"/>
  <c r="E71" i="42" s="1"/>
  <c r="A144" i="12"/>
  <c r="H143" i="12"/>
  <c r="E70" i="42" s="1"/>
  <c r="A143" i="12"/>
  <c r="H142" i="12"/>
  <c r="E69" i="42" s="1"/>
  <c r="A142" i="12"/>
  <c r="H141" i="12"/>
  <c r="E68" i="42" s="1"/>
  <c r="A141" i="12"/>
  <c r="H140" i="12"/>
  <c r="E67" i="42" s="1"/>
  <c r="A140" i="12"/>
  <c r="H139" i="12"/>
  <c r="E66" i="42" s="1"/>
  <c r="A139" i="12"/>
  <c r="H138" i="12"/>
  <c r="E65" i="42" s="1"/>
  <c r="A138" i="12"/>
  <c r="H137" i="12"/>
  <c r="E64" i="42" s="1"/>
  <c r="A137" i="12"/>
  <c r="H136" i="12"/>
  <c r="E63" i="42" s="1"/>
  <c r="A136" i="12"/>
  <c r="G135" i="12"/>
  <c r="F135" i="12"/>
  <c r="F85" i="12" s="1"/>
  <c r="E135" i="12"/>
  <c r="E85" i="12" s="1"/>
  <c r="D135" i="12"/>
  <c r="C135" i="12"/>
  <c r="B135" i="12"/>
  <c r="B85" i="12" s="1"/>
  <c r="H132" i="12"/>
  <c r="E57" i="42" s="1"/>
  <c r="H131" i="12"/>
  <c r="H130" i="12"/>
  <c r="H129" i="12"/>
  <c r="H128" i="12"/>
  <c r="H127" i="12"/>
  <c r="H126" i="12"/>
  <c r="H125" i="12"/>
  <c r="H124" i="12"/>
  <c r="H123" i="12"/>
  <c r="H122" i="12"/>
  <c r="E28" i="42"/>
  <c r="H102" i="12"/>
  <c r="E27" i="42" s="1"/>
  <c r="G101" i="12"/>
  <c r="G84" i="12" s="1"/>
  <c r="F101" i="12"/>
  <c r="F84" i="12" s="1"/>
  <c r="E101" i="12"/>
  <c r="E84" i="12" s="1"/>
  <c r="D101" i="12"/>
  <c r="D84" i="12" s="1"/>
  <c r="C101" i="12"/>
  <c r="C84" i="12" s="1"/>
  <c r="C82" i="12" s="1"/>
  <c r="C52" i="12" s="1"/>
  <c r="B101" i="12"/>
  <c r="B84" i="12" s="1"/>
  <c r="H98" i="12"/>
  <c r="E21" i="42" s="1"/>
  <c r="H97" i="12"/>
  <c r="E20" i="42" s="1"/>
  <c r="H96" i="12"/>
  <c r="E19" i="42" s="1"/>
  <c r="H95" i="12"/>
  <c r="E18" i="42" s="1"/>
  <c r="H94" i="12"/>
  <c r="E17" i="42" s="1"/>
  <c r="H93" i="12"/>
  <c r="E16" i="42" s="1"/>
  <c r="H92" i="12"/>
  <c r="E15" i="42" s="1"/>
  <c r="H91" i="12"/>
  <c r="E14" i="42" s="1"/>
  <c r="H90" i="12"/>
  <c r="E13" i="42" s="1"/>
  <c r="H89" i="12"/>
  <c r="E12" i="42" s="1"/>
  <c r="H88" i="12"/>
  <c r="E11" i="42" s="1"/>
  <c r="H87" i="12"/>
  <c r="E10" i="42" s="1"/>
  <c r="H86" i="12"/>
  <c r="E9" i="42" s="1"/>
  <c r="G85" i="12"/>
  <c r="D85" i="12"/>
  <c r="C85" i="12"/>
  <c r="H83" i="12"/>
  <c r="E6" i="42" s="1"/>
  <c r="H79" i="12"/>
  <c r="E64" i="4" s="1"/>
  <c r="E66" i="4" s="1"/>
  <c r="F63" i="4" s="1"/>
  <c r="H78" i="12"/>
  <c r="H77" i="12"/>
  <c r="E58" i="4" s="1"/>
  <c r="E60" i="4" s="1"/>
  <c r="F57" i="4" s="1"/>
  <c r="H76" i="12"/>
  <c r="H75" i="12"/>
  <c r="H74" i="12"/>
  <c r="E52" i="4" s="1"/>
  <c r="E54" i="4" s="1"/>
  <c r="F51" i="4" s="1"/>
  <c r="G73" i="12"/>
  <c r="G51" i="12" s="1"/>
  <c r="F73" i="12"/>
  <c r="F51" i="12" s="1"/>
  <c r="E73" i="12"/>
  <c r="E51" i="12" s="1"/>
  <c r="D73" i="12"/>
  <c r="C73" i="12"/>
  <c r="C51" i="12" s="1"/>
  <c r="B73" i="12"/>
  <c r="H70" i="12"/>
  <c r="E44" i="4" s="1"/>
  <c r="H69" i="12"/>
  <c r="G68" i="12"/>
  <c r="G50" i="12" s="1"/>
  <c r="F68" i="12"/>
  <c r="E68" i="12"/>
  <c r="D68" i="12"/>
  <c r="C68" i="12"/>
  <c r="B68" i="12"/>
  <c r="G65" i="12"/>
  <c r="F65" i="12"/>
  <c r="E65" i="12"/>
  <c r="D65" i="12"/>
  <c r="C65" i="12"/>
  <c r="B65" i="12"/>
  <c r="H64" i="12"/>
  <c r="H63" i="12"/>
  <c r="H60" i="12"/>
  <c r="E16" i="4" s="1"/>
  <c r="G59" i="12"/>
  <c r="F59" i="12"/>
  <c r="E59" i="12"/>
  <c r="E56" i="12" s="1"/>
  <c r="D59" i="12"/>
  <c r="D56" i="12" s="1"/>
  <c r="C59" i="12"/>
  <c r="B59" i="12"/>
  <c r="B56" i="12" s="1"/>
  <c r="B50" i="12" s="1"/>
  <c r="H58" i="12"/>
  <c r="E9" i="4" s="1"/>
  <c r="H57" i="12"/>
  <c r="E8" i="4" s="1"/>
  <c r="G56" i="12"/>
  <c r="F56" i="12"/>
  <c r="C56" i="12"/>
  <c r="D51" i="12"/>
  <c r="B51" i="12"/>
  <c r="G46" i="12"/>
  <c r="G49" i="12" s="1"/>
  <c r="F46" i="12"/>
  <c r="F49" i="12" s="1"/>
  <c r="E46" i="12"/>
  <c r="E49" i="12" s="1"/>
  <c r="D46" i="12"/>
  <c r="D49" i="12" s="1"/>
  <c r="C46" i="12"/>
  <c r="C49" i="12" s="1"/>
  <c r="B46" i="12"/>
  <c r="B49" i="12" s="1"/>
  <c r="H45" i="12"/>
  <c r="H44" i="12"/>
  <c r="G40" i="12"/>
  <c r="F40" i="12"/>
  <c r="E40" i="12"/>
  <c r="D40" i="12"/>
  <c r="C40" i="12"/>
  <c r="B40" i="12"/>
  <c r="B23" i="12"/>
  <c r="D16" i="12"/>
  <c r="D17" i="12" s="1"/>
  <c r="C16" i="12"/>
  <c r="C17" i="12" s="1"/>
  <c r="B16" i="12"/>
  <c r="B17" i="12" s="1"/>
  <c r="F15" i="12"/>
  <c r="E15" i="12"/>
  <c r="F14" i="12"/>
  <c r="F16" i="12" s="1"/>
  <c r="F17" i="12" s="1"/>
  <c r="E14" i="12"/>
  <c r="G13" i="12"/>
  <c r="G12" i="12"/>
  <c r="G11" i="12"/>
  <c r="A1" i="12"/>
  <c r="H145" i="13"/>
  <c r="F72" i="42" s="1"/>
  <c r="A145" i="13"/>
  <c r="H144" i="13"/>
  <c r="F71" i="42" s="1"/>
  <c r="A144" i="13"/>
  <c r="H143" i="13"/>
  <c r="F70" i="42" s="1"/>
  <c r="A143" i="13"/>
  <c r="H142" i="13"/>
  <c r="F69" i="42" s="1"/>
  <c r="A142" i="13"/>
  <c r="H141" i="13"/>
  <c r="F68" i="42" s="1"/>
  <c r="A141" i="13"/>
  <c r="H140" i="13"/>
  <c r="F67" i="42" s="1"/>
  <c r="A140" i="13"/>
  <c r="H139" i="13"/>
  <c r="F66" i="42" s="1"/>
  <c r="A139" i="13"/>
  <c r="H138" i="13"/>
  <c r="F65" i="42" s="1"/>
  <c r="A138" i="13"/>
  <c r="H137" i="13"/>
  <c r="F64" i="42" s="1"/>
  <c r="A137" i="13"/>
  <c r="H136" i="13"/>
  <c r="F63" i="42" s="1"/>
  <c r="A136" i="13"/>
  <c r="G135" i="13"/>
  <c r="F135" i="13"/>
  <c r="F85" i="13" s="1"/>
  <c r="E135" i="13"/>
  <c r="E85" i="13" s="1"/>
  <c r="D135" i="13"/>
  <c r="D85" i="13" s="1"/>
  <c r="C135" i="13"/>
  <c r="C85" i="13" s="1"/>
  <c r="B135" i="13"/>
  <c r="B85" i="13" s="1"/>
  <c r="H132" i="13"/>
  <c r="F57" i="42" s="1"/>
  <c r="H131" i="13"/>
  <c r="H130" i="13"/>
  <c r="H129" i="13"/>
  <c r="H128" i="13"/>
  <c r="H127" i="13"/>
  <c r="H126" i="13"/>
  <c r="H125" i="13"/>
  <c r="H124" i="13"/>
  <c r="H123" i="13"/>
  <c r="H122" i="13"/>
  <c r="F28" i="42"/>
  <c r="H102" i="13"/>
  <c r="F27" i="42" s="1"/>
  <c r="G101" i="13"/>
  <c r="G84" i="13" s="1"/>
  <c r="F101" i="13"/>
  <c r="E101" i="13"/>
  <c r="E84" i="13" s="1"/>
  <c r="D101" i="13"/>
  <c r="D84" i="13" s="1"/>
  <c r="C101" i="13"/>
  <c r="C84" i="13" s="1"/>
  <c r="B101" i="13"/>
  <c r="B84" i="13" s="1"/>
  <c r="H98" i="13"/>
  <c r="F21" i="42" s="1"/>
  <c r="H97" i="13"/>
  <c r="F20" i="42" s="1"/>
  <c r="H96" i="13"/>
  <c r="F19" i="42" s="1"/>
  <c r="H95" i="13"/>
  <c r="F18" i="42" s="1"/>
  <c r="H94" i="13"/>
  <c r="F17" i="42" s="1"/>
  <c r="H93" i="13"/>
  <c r="F16" i="42" s="1"/>
  <c r="H92" i="13"/>
  <c r="F15" i="42" s="1"/>
  <c r="H91" i="13"/>
  <c r="F14" i="42" s="1"/>
  <c r="H90" i="13"/>
  <c r="F13" i="42" s="1"/>
  <c r="H89" i="13"/>
  <c r="F12" i="42" s="1"/>
  <c r="H88" i="13"/>
  <c r="F11" i="42" s="1"/>
  <c r="H87" i="13"/>
  <c r="F10" i="42" s="1"/>
  <c r="H86" i="13"/>
  <c r="F9" i="42" s="1"/>
  <c r="G85" i="13"/>
  <c r="F84" i="13"/>
  <c r="H83" i="13"/>
  <c r="F6" i="42" s="1"/>
  <c r="H79" i="13"/>
  <c r="F64" i="4" s="1"/>
  <c r="F66" i="4" s="1"/>
  <c r="G63" i="4" s="1"/>
  <c r="H78" i="13"/>
  <c r="H77" i="13"/>
  <c r="F58" i="4" s="1"/>
  <c r="F60" i="4" s="1"/>
  <c r="G57" i="4" s="1"/>
  <c r="H76" i="13"/>
  <c r="H75" i="13"/>
  <c r="H74" i="13"/>
  <c r="F52" i="4" s="1"/>
  <c r="F54" i="4" s="1"/>
  <c r="G51" i="4" s="1"/>
  <c r="G73" i="13"/>
  <c r="G51" i="13" s="1"/>
  <c r="F73" i="13"/>
  <c r="F51" i="13" s="1"/>
  <c r="E73" i="13"/>
  <c r="E51" i="13" s="1"/>
  <c r="D73" i="13"/>
  <c r="C73" i="13"/>
  <c r="C51" i="13" s="1"/>
  <c r="B73" i="13"/>
  <c r="H70" i="13"/>
  <c r="F44" i="4" s="1"/>
  <c r="H69" i="13"/>
  <c r="G68" i="13"/>
  <c r="F68" i="13"/>
  <c r="E68" i="13"/>
  <c r="D68" i="13"/>
  <c r="C68" i="13"/>
  <c r="B68" i="13"/>
  <c r="G65" i="13"/>
  <c r="F65" i="13"/>
  <c r="E65" i="13"/>
  <c r="D65" i="13"/>
  <c r="C65" i="13"/>
  <c r="B65" i="13"/>
  <c r="H64" i="13"/>
  <c r="H63" i="13"/>
  <c r="F24" i="4" s="1"/>
  <c r="H60" i="13"/>
  <c r="F16" i="4" s="1"/>
  <c r="G59" i="13"/>
  <c r="G56" i="13" s="1"/>
  <c r="G50" i="13" s="1"/>
  <c r="F59" i="13"/>
  <c r="E59" i="13"/>
  <c r="E56" i="13" s="1"/>
  <c r="D59" i="13"/>
  <c r="D56" i="13" s="1"/>
  <c r="C59" i="13"/>
  <c r="C56" i="13" s="1"/>
  <c r="B59" i="13"/>
  <c r="B56" i="13" s="1"/>
  <c r="B50" i="13" s="1"/>
  <c r="H58" i="13"/>
  <c r="F9" i="4" s="1"/>
  <c r="H57" i="13"/>
  <c r="F56" i="13"/>
  <c r="D51" i="13"/>
  <c r="B51" i="13"/>
  <c r="G46" i="13"/>
  <c r="G49" i="13" s="1"/>
  <c r="F46" i="13"/>
  <c r="F49" i="13" s="1"/>
  <c r="E46" i="13"/>
  <c r="E49" i="13" s="1"/>
  <c r="D46" i="13"/>
  <c r="D49" i="13" s="1"/>
  <c r="C46" i="13"/>
  <c r="C49" i="13" s="1"/>
  <c r="B46" i="13"/>
  <c r="B49" i="13" s="1"/>
  <c r="H45" i="13"/>
  <c r="H44" i="13"/>
  <c r="G40" i="13"/>
  <c r="F40" i="13"/>
  <c r="E40" i="13"/>
  <c r="D40" i="13"/>
  <c r="C40" i="13"/>
  <c r="B40" i="13"/>
  <c r="B23" i="13"/>
  <c r="B33" i="13" s="1"/>
  <c r="G28" i="1" s="1"/>
  <c r="F63" i="8" s="1"/>
  <c r="O73" i="8" s="1"/>
  <c r="D16" i="13"/>
  <c r="D17" i="13" s="1"/>
  <c r="C16" i="13"/>
  <c r="C17" i="13" s="1"/>
  <c r="B16" i="13"/>
  <c r="B17" i="13" s="1"/>
  <c r="F15" i="13"/>
  <c r="E15" i="13"/>
  <c r="F14" i="13"/>
  <c r="E14" i="13"/>
  <c r="G13" i="13"/>
  <c r="G12" i="13"/>
  <c r="G11" i="13"/>
  <c r="A1" i="13"/>
  <c r="H145" i="14"/>
  <c r="G72" i="42" s="1"/>
  <c r="A145" i="14"/>
  <c r="H144" i="14"/>
  <c r="G71" i="42" s="1"/>
  <c r="A144" i="14"/>
  <c r="H143" i="14"/>
  <c r="G70" i="42" s="1"/>
  <c r="A143" i="14"/>
  <c r="H142" i="14"/>
  <c r="G69" i="42" s="1"/>
  <c r="A142" i="14"/>
  <c r="H141" i="14"/>
  <c r="G68" i="42" s="1"/>
  <c r="A141" i="14"/>
  <c r="H140" i="14"/>
  <c r="G67" i="42" s="1"/>
  <c r="A140" i="14"/>
  <c r="H139" i="14"/>
  <c r="G66" i="42" s="1"/>
  <c r="A139" i="14"/>
  <c r="H138" i="14"/>
  <c r="G65" i="42" s="1"/>
  <c r="A138" i="14"/>
  <c r="H137" i="14"/>
  <c r="G64" i="42" s="1"/>
  <c r="A137" i="14"/>
  <c r="H136" i="14"/>
  <c r="G63" i="42" s="1"/>
  <c r="A136" i="14"/>
  <c r="G135" i="14"/>
  <c r="G85" i="14" s="1"/>
  <c r="F135" i="14"/>
  <c r="F85" i="14" s="1"/>
  <c r="E135" i="14"/>
  <c r="E85" i="14" s="1"/>
  <c r="D135" i="14"/>
  <c r="D85" i="14" s="1"/>
  <c r="C135" i="14"/>
  <c r="C85" i="14" s="1"/>
  <c r="B135" i="14"/>
  <c r="B85" i="14" s="1"/>
  <c r="H132" i="14"/>
  <c r="G57" i="42" s="1"/>
  <c r="H131" i="14"/>
  <c r="H130" i="14"/>
  <c r="H129" i="14"/>
  <c r="H128" i="14"/>
  <c r="H127" i="14"/>
  <c r="H126" i="14"/>
  <c r="H125" i="14"/>
  <c r="H124" i="14"/>
  <c r="H123" i="14"/>
  <c r="H122" i="14"/>
  <c r="G28" i="42"/>
  <c r="H102" i="14"/>
  <c r="G27" i="42" s="1"/>
  <c r="G101" i="14"/>
  <c r="G84" i="14" s="1"/>
  <c r="F101" i="14"/>
  <c r="F84" i="14" s="1"/>
  <c r="E101" i="14"/>
  <c r="E84" i="14" s="1"/>
  <c r="D101" i="14"/>
  <c r="D84" i="14" s="1"/>
  <c r="C101" i="14"/>
  <c r="C84" i="14" s="1"/>
  <c r="B101" i="14"/>
  <c r="B84" i="14" s="1"/>
  <c r="H98" i="14"/>
  <c r="G21" i="42" s="1"/>
  <c r="H97" i="14"/>
  <c r="G20" i="42" s="1"/>
  <c r="H96" i="14"/>
  <c r="G19" i="42" s="1"/>
  <c r="H95" i="14"/>
  <c r="G18" i="42" s="1"/>
  <c r="H94" i="14"/>
  <c r="G17" i="42" s="1"/>
  <c r="H93" i="14"/>
  <c r="G16" i="42" s="1"/>
  <c r="H92" i="14"/>
  <c r="G15" i="42" s="1"/>
  <c r="H91" i="14"/>
  <c r="G14" i="42" s="1"/>
  <c r="H90" i="14"/>
  <c r="G13" i="42" s="1"/>
  <c r="H89" i="14"/>
  <c r="G12" i="42" s="1"/>
  <c r="H88" i="14"/>
  <c r="G11" i="42" s="1"/>
  <c r="H87" i="14"/>
  <c r="G10" i="42" s="1"/>
  <c r="H86" i="14"/>
  <c r="G9" i="42" s="1"/>
  <c r="H83" i="14"/>
  <c r="G6" i="42" s="1"/>
  <c r="H79" i="14"/>
  <c r="G64" i="4" s="1"/>
  <c r="G66" i="4" s="1"/>
  <c r="H63" i="4" s="1"/>
  <c r="H78" i="14"/>
  <c r="H77" i="14"/>
  <c r="G58" i="4" s="1"/>
  <c r="G60" i="4" s="1"/>
  <c r="H57" i="4" s="1"/>
  <c r="H76" i="14"/>
  <c r="H75" i="14"/>
  <c r="H74" i="14"/>
  <c r="G52" i="4" s="1"/>
  <c r="G54" i="4" s="1"/>
  <c r="H51" i="4" s="1"/>
  <c r="G73" i="14"/>
  <c r="F73" i="14"/>
  <c r="E73" i="14"/>
  <c r="E51" i="14" s="1"/>
  <c r="D73" i="14"/>
  <c r="D51" i="14" s="1"/>
  <c r="C73" i="14"/>
  <c r="C51" i="14" s="1"/>
  <c r="B73" i="14"/>
  <c r="B51" i="14" s="1"/>
  <c r="H70" i="14"/>
  <c r="G44" i="4" s="1"/>
  <c r="H69" i="14"/>
  <c r="G68" i="14"/>
  <c r="F68" i="14"/>
  <c r="E68" i="14"/>
  <c r="D68" i="14"/>
  <c r="C68" i="14"/>
  <c r="B68" i="14"/>
  <c r="G65" i="14"/>
  <c r="F65" i="14"/>
  <c r="E65" i="14"/>
  <c r="D65" i="14"/>
  <c r="C65" i="14"/>
  <c r="B65" i="14"/>
  <c r="H64" i="14"/>
  <c r="H63" i="14"/>
  <c r="H60" i="14"/>
  <c r="G16" i="4" s="1"/>
  <c r="G59" i="14"/>
  <c r="G56" i="14" s="1"/>
  <c r="F59" i="14"/>
  <c r="F56" i="14" s="1"/>
  <c r="E59" i="14"/>
  <c r="D59" i="14"/>
  <c r="D56" i="14" s="1"/>
  <c r="C59" i="14"/>
  <c r="C56" i="14" s="1"/>
  <c r="B59" i="14"/>
  <c r="B56" i="14" s="1"/>
  <c r="H58" i="14"/>
  <c r="G9" i="4" s="1"/>
  <c r="H57" i="14"/>
  <c r="G8" i="4" s="1"/>
  <c r="E56" i="14"/>
  <c r="G51" i="14"/>
  <c r="F51" i="14"/>
  <c r="G50" i="14"/>
  <c r="G46" i="14"/>
  <c r="G49" i="14" s="1"/>
  <c r="F46" i="14"/>
  <c r="F49" i="14" s="1"/>
  <c r="E46" i="14"/>
  <c r="E49" i="14" s="1"/>
  <c r="D46" i="14"/>
  <c r="D49" i="14" s="1"/>
  <c r="C46" i="14"/>
  <c r="C49" i="14" s="1"/>
  <c r="B46" i="14"/>
  <c r="B49" i="14" s="1"/>
  <c r="H45" i="14"/>
  <c r="H44" i="14"/>
  <c r="G40" i="14"/>
  <c r="F40" i="14"/>
  <c r="E40" i="14"/>
  <c r="D40" i="14"/>
  <c r="C40" i="14"/>
  <c r="B40" i="14"/>
  <c r="B23" i="14"/>
  <c r="D16" i="14"/>
  <c r="D17" i="14" s="1"/>
  <c r="C16" i="14"/>
  <c r="C17" i="14" s="1"/>
  <c r="B16" i="14"/>
  <c r="B17" i="14" s="1"/>
  <c r="F15" i="14"/>
  <c r="E15" i="14"/>
  <c r="F14" i="14"/>
  <c r="E14" i="14"/>
  <c r="G13" i="14"/>
  <c r="G12" i="14"/>
  <c r="G11" i="14"/>
  <c r="A1" i="14"/>
  <c r="H145" i="15"/>
  <c r="H72" i="42" s="1"/>
  <c r="A145" i="15"/>
  <c r="H144" i="15"/>
  <c r="H71" i="42" s="1"/>
  <c r="A144" i="15"/>
  <c r="H143" i="15"/>
  <c r="H70" i="42" s="1"/>
  <c r="A143" i="15"/>
  <c r="H142" i="15"/>
  <c r="H69" i="42" s="1"/>
  <c r="A142" i="15"/>
  <c r="H141" i="15"/>
  <c r="H68" i="42" s="1"/>
  <c r="A141" i="15"/>
  <c r="H140" i="15"/>
  <c r="H67" i="42" s="1"/>
  <c r="A140" i="15"/>
  <c r="H139" i="15"/>
  <c r="H66" i="42" s="1"/>
  <c r="A139" i="15"/>
  <c r="H138" i="15"/>
  <c r="H65" i="42" s="1"/>
  <c r="A138" i="15"/>
  <c r="H137" i="15"/>
  <c r="H64" i="42" s="1"/>
  <c r="A137" i="15"/>
  <c r="H136" i="15"/>
  <c r="H63" i="42" s="1"/>
  <c r="A136" i="15"/>
  <c r="G135" i="15"/>
  <c r="G85" i="15" s="1"/>
  <c r="F135" i="15"/>
  <c r="F85" i="15" s="1"/>
  <c r="E135" i="15"/>
  <c r="E85" i="15" s="1"/>
  <c r="D135" i="15"/>
  <c r="D85" i="15" s="1"/>
  <c r="C135" i="15"/>
  <c r="C85" i="15" s="1"/>
  <c r="B135" i="15"/>
  <c r="B85" i="15" s="1"/>
  <c r="H132" i="15"/>
  <c r="H57" i="42" s="1"/>
  <c r="H131" i="15"/>
  <c r="H130" i="15"/>
  <c r="H129" i="15"/>
  <c r="H128" i="15"/>
  <c r="H127" i="15"/>
  <c r="H126" i="15"/>
  <c r="H125" i="15"/>
  <c r="H124" i="15"/>
  <c r="H123" i="15"/>
  <c r="H122" i="15"/>
  <c r="H28" i="42"/>
  <c r="H102" i="15"/>
  <c r="H27" i="42" s="1"/>
  <c r="G101" i="15"/>
  <c r="G84" i="15" s="1"/>
  <c r="G82" i="15" s="1"/>
  <c r="G52" i="15" s="1"/>
  <c r="F101" i="15"/>
  <c r="F84" i="15" s="1"/>
  <c r="E101" i="15"/>
  <c r="E84" i="15" s="1"/>
  <c r="E82" i="15" s="1"/>
  <c r="E52" i="15" s="1"/>
  <c r="D101" i="15"/>
  <c r="D84" i="15" s="1"/>
  <c r="C101" i="15"/>
  <c r="C84" i="15" s="1"/>
  <c r="B101" i="15"/>
  <c r="B84" i="15" s="1"/>
  <c r="H98" i="15"/>
  <c r="H21" i="42" s="1"/>
  <c r="H97" i="15"/>
  <c r="H20" i="42" s="1"/>
  <c r="H96" i="15"/>
  <c r="H19" i="42" s="1"/>
  <c r="H95" i="15"/>
  <c r="H18" i="42" s="1"/>
  <c r="H94" i="15"/>
  <c r="H17" i="42" s="1"/>
  <c r="H93" i="15"/>
  <c r="H16" i="42" s="1"/>
  <c r="H92" i="15"/>
  <c r="H15" i="42" s="1"/>
  <c r="H91" i="15"/>
  <c r="H14" i="42" s="1"/>
  <c r="H90" i="15"/>
  <c r="H13" i="42" s="1"/>
  <c r="H89" i="15"/>
  <c r="H12" i="42" s="1"/>
  <c r="H88" i="15"/>
  <c r="H11" i="42" s="1"/>
  <c r="H87" i="15"/>
  <c r="H10" i="42" s="1"/>
  <c r="H86" i="15"/>
  <c r="H9" i="42" s="1"/>
  <c r="H83" i="15"/>
  <c r="H6" i="42" s="1"/>
  <c r="H79" i="15"/>
  <c r="H64" i="4" s="1"/>
  <c r="H66" i="4" s="1"/>
  <c r="I63" i="4" s="1"/>
  <c r="H78" i="15"/>
  <c r="H77" i="15"/>
  <c r="H58" i="4" s="1"/>
  <c r="H60" i="4" s="1"/>
  <c r="I57" i="4" s="1"/>
  <c r="H76" i="15"/>
  <c r="H75" i="15"/>
  <c r="H74" i="15"/>
  <c r="H52" i="4" s="1"/>
  <c r="H54" i="4" s="1"/>
  <c r="I51" i="4" s="1"/>
  <c r="G73" i="15"/>
  <c r="G51" i="15" s="1"/>
  <c r="F73" i="15"/>
  <c r="F51" i="15" s="1"/>
  <c r="E73" i="15"/>
  <c r="E51" i="15" s="1"/>
  <c r="D73" i="15"/>
  <c r="D51" i="15" s="1"/>
  <c r="C73" i="15"/>
  <c r="B73" i="15"/>
  <c r="B51" i="15" s="1"/>
  <c r="H70" i="15"/>
  <c r="H44" i="4" s="1"/>
  <c r="H69" i="15"/>
  <c r="G68" i="15"/>
  <c r="F68" i="15"/>
  <c r="E68" i="15"/>
  <c r="D68" i="15"/>
  <c r="C68" i="15"/>
  <c r="B68" i="15"/>
  <c r="G65" i="15"/>
  <c r="F65" i="15"/>
  <c r="E65" i="15"/>
  <c r="D65" i="15"/>
  <c r="C65" i="15"/>
  <c r="B65" i="15"/>
  <c r="H64" i="15"/>
  <c r="H63" i="15"/>
  <c r="H24" i="4" s="1"/>
  <c r="H60" i="15"/>
  <c r="H16" i="4" s="1"/>
  <c r="G59" i="15"/>
  <c r="G56" i="15" s="1"/>
  <c r="F59" i="15"/>
  <c r="F56" i="15" s="1"/>
  <c r="F50" i="15" s="1"/>
  <c r="E59" i="15"/>
  <c r="E56" i="15" s="1"/>
  <c r="E50" i="15" s="1"/>
  <c r="D59" i="15"/>
  <c r="D56" i="15" s="1"/>
  <c r="D50" i="15" s="1"/>
  <c r="C59" i="15"/>
  <c r="B59" i="15"/>
  <c r="B56" i="15" s="1"/>
  <c r="H58" i="15"/>
  <c r="H9" i="4" s="1"/>
  <c r="H57" i="15"/>
  <c r="H8" i="4" s="1"/>
  <c r="C56" i="15"/>
  <c r="C51" i="15"/>
  <c r="G46" i="15"/>
  <c r="G49" i="15" s="1"/>
  <c r="F46" i="15"/>
  <c r="F49" i="15" s="1"/>
  <c r="E46" i="15"/>
  <c r="E49" i="15" s="1"/>
  <c r="D46" i="15"/>
  <c r="D49" i="15" s="1"/>
  <c r="C46" i="15"/>
  <c r="C49" i="15" s="1"/>
  <c r="B46" i="15"/>
  <c r="B49" i="15" s="1"/>
  <c r="H45" i="15"/>
  <c r="H44" i="15"/>
  <c r="G40" i="15"/>
  <c r="F40" i="15"/>
  <c r="E40" i="15"/>
  <c r="D40" i="15"/>
  <c r="C40" i="15"/>
  <c r="B40" i="15"/>
  <c r="B23" i="15"/>
  <c r="B33" i="15" s="1"/>
  <c r="B17" i="15"/>
  <c r="D16" i="15"/>
  <c r="D17" i="15" s="1"/>
  <c r="C16" i="15"/>
  <c r="C17" i="15" s="1"/>
  <c r="B16" i="15"/>
  <c r="F15" i="15"/>
  <c r="E15" i="15"/>
  <c r="F14" i="15"/>
  <c r="E14" i="15"/>
  <c r="E16" i="15" s="1"/>
  <c r="E17" i="15" s="1"/>
  <c r="G13" i="15"/>
  <c r="G12" i="15"/>
  <c r="G11" i="15"/>
  <c r="A1" i="15"/>
  <c r="H145" i="16"/>
  <c r="I72" i="42" s="1"/>
  <c r="A145" i="16"/>
  <c r="H144" i="16"/>
  <c r="I71" i="42" s="1"/>
  <c r="A144" i="16"/>
  <c r="H143" i="16"/>
  <c r="I70" i="42" s="1"/>
  <c r="A143" i="16"/>
  <c r="H142" i="16"/>
  <c r="I69" i="42" s="1"/>
  <c r="A142" i="16"/>
  <c r="H141" i="16"/>
  <c r="I68" i="42" s="1"/>
  <c r="A141" i="16"/>
  <c r="H140" i="16"/>
  <c r="I67" i="42" s="1"/>
  <c r="A140" i="16"/>
  <c r="H139" i="16"/>
  <c r="I66" i="42" s="1"/>
  <c r="A139" i="16"/>
  <c r="H138" i="16"/>
  <c r="I65" i="42" s="1"/>
  <c r="A138" i="16"/>
  <c r="H137" i="16"/>
  <c r="I64" i="42" s="1"/>
  <c r="A137" i="16"/>
  <c r="H136" i="16"/>
  <c r="I63" i="42" s="1"/>
  <c r="I73" i="42" s="1"/>
  <c r="A136" i="16"/>
  <c r="G135" i="16"/>
  <c r="F135" i="16"/>
  <c r="E135" i="16"/>
  <c r="E85" i="16" s="1"/>
  <c r="D135" i="16"/>
  <c r="D85" i="16" s="1"/>
  <c r="C135" i="16"/>
  <c r="B135" i="16"/>
  <c r="B85" i="16" s="1"/>
  <c r="H132" i="16"/>
  <c r="I57" i="42" s="1"/>
  <c r="H131" i="16"/>
  <c r="H130" i="16"/>
  <c r="H129" i="16"/>
  <c r="H128" i="16"/>
  <c r="H127" i="16"/>
  <c r="H126" i="16"/>
  <c r="H125" i="16"/>
  <c r="H124" i="16"/>
  <c r="H123" i="16"/>
  <c r="H122" i="16"/>
  <c r="H102" i="16"/>
  <c r="I27" i="42" s="1"/>
  <c r="G101" i="16"/>
  <c r="G84" i="16" s="1"/>
  <c r="F101" i="16"/>
  <c r="F84" i="16" s="1"/>
  <c r="F82" i="16" s="1"/>
  <c r="F52" i="16" s="1"/>
  <c r="E101" i="16"/>
  <c r="E84" i="16" s="1"/>
  <c r="D101" i="16"/>
  <c r="D84" i="16" s="1"/>
  <c r="C101" i="16"/>
  <c r="C84" i="16" s="1"/>
  <c r="B101" i="16"/>
  <c r="B84" i="16" s="1"/>
  <c r="H98" i="16"/>
  <c r="I21" i="42" s="1"/>
  <c r="H97" i="16"/>
  <c r="I20" i="42" s="1"/>
  <c r="H96" i="16"/>
  <c r="I19" i="42" s="1"/>
  <c r="H95" i="16"/>
  <c r="I18" i="42" s="1"/>
  <c r="H94" i="16"/>
  <c r="I17" i="42" s="1"/>
  <c r="H93" i="16"/>
  <c r="I16" i="42" s="1"/>
  <c r="H92" i="16"/>
  <c r="I15" i="42" s="1"/>
  <c r="H91" i="16"/>
  <c r="I14" i="42" s="1"/>
  <c r="H90" i="16"/>
  <c r="I13" i="42" s="1"/>
  <c r="H89" i="16"/>
  <c r="I12" i="42" s="1"/>
  <c r="H88" i="16"/>
  <c r="I11" i="42" s="1"/>
  <c r="H87" i="16"/>
  <c r="I10" i="42" s="1"/>
  <c r="H86" i="16"/>
  <c r="I9" i="42" s="1"/>
  <c r="G85" i="16"/>
  <c r="F85" i="16"/>
  <c r="C85" i="16"/>
  <c r="H83" i="16"/>
  <c r="I6" i="42" s="1"/>
  <c r="H79" i="16"/>
  <c r="I64" i="4" s="1"/>
  <c r="I66" i="4" s="1"/>
  <c r="J63" i="4" s="1"/>
  <c r="H78" i="16"/>
  <c r="H77" i="16"/>
  <c r="I58" i="4" s="1"/>
  <c r="I60" i="4" s="1"/>
  <c r="J57" i="4" s="1"/>
  <c r="H76" i="16"/>
  <c r="H75" i="16"/>
  <c r="H74" i="16"/>
  <c r="G73" i="16"/>
  <c r="F73" i="16"/>
  <c r="F51" i="16" s="1"/>
  <c r="E73" i="16"/>
  <c r="E51" i="16" s="1"/>
  <c r="D73" i="16"/>
  <c r="D51" i="16" s="1"/>
  <c r="C73" i="16"/>
  <c r="C51" i="16" s="1"/>
  <c r="B73" i="16"/>
  <c r="B51" i="16" s="1"/>
  <c r="H70" i="16"/>
  <c r="I44" i="4" s="1"/>
  <c r="H69" i="16"/>
  <c r="G68" i="16"/>
  <c r="F68" i="16"/>
  <c r="E68" i="16"/>
  <c r="D68" i="16"/>
  <c r="C68" i="16"/>
  <c r="B68" i="16"/>
  <c r="G65" i="16"/>
  <c r="F65" i="16"/>
  <c r="E65" i="16"/>
  <c r="D65" i="16"/>
  <c r="C65" i="16"/>
  <c r="B65" i="16"/>
  <c r="H64" i="16"/>
  <c r="H63" i="16"/>
  <c r="I24" i="4" s="1"/>
  <c r="H60" i="16"/>
  <c r="I16" i="4" s="1"/>
  <c r="G59" i="16"/>
  <c r="F59" i="16"/>
  <c r="E59" i="16"/>
  <c r="D59" i="16"/>
  <c r="D56" i="16" s="1"/>
  <c r="C59" i="16"/>
  <c r="C56" i="16" s="1"/>
  <c r="C50" i="16" s="1"/>
  <c r="B59" i="16"/>
  <c r="B56" i="16" s="1"/>
  <c r="H58" i="16"/>
  <c r="I9" i="4" s="1"/>
  <c r="H57" i="16"/>
  <c r="I8" i="4" s="1"/>
  <c r="G56" i="16"/>
  <c r="F56" i="16"/>
  <c r="E56" i="16"/>
  <c r="G51" i="16"/>
  <c r="G50" i="16"/>
  <c r="F49" i="16"/>
  <c r="G46" i="16"/>
  <c r="G49" i="16" s="1"/>
  <c r="F46" i="16"/>
  <c r="E46" i="16"/>
  <c r="E49" i="16" s="1"/>
  <c r="D46" i="16"/>
  <c r="D49" i="16" s="1"/>
  <c r="C46" i="16"/>
  <c r="C49" i="16" s="1"/>
  <c r="B46" i="16"/>
  <c r="B49" i="16" s="1"/>
  <c r="H45" i="16"/>
  <c r="H44" i="16"/>
  <c r="G40" i="16"/>
  <c r="F40" i="16"/>
  <c r="E40" i="16"/>
  <c r="D40" i="16"/>
  <c r="C40" i="16"/>
  <c r="B40" i="16"/>
  <c r="B23" i="16"/>
  <c r="B33" i="16" s="1"/>
  <c r="D16" i="16"/>
  <c r="D17" i="16" s="1"/>
  <c r="C16" i="16"/>
  <c r="C17" i="16" s="1"/>
  <c r="B16" i="16"/>
  <c r="B17" i="16" s="1"/>
  <c r="F15" i="16"/>
  <c r="E15" i="16"/>
  <c r="F14" i="16"/>
  <c r="E14" i="16"/>
  <c r="G13" i="16"/>
  <c r="G12" i="16"/>
  <c r="G11" i="16"/>
  <c r="A1" i="16"/>
  <c r="H145" i="17"/>
  <c r="J72" i="42" s="1"/>
  <c r="A145" i="17"/>
  <c r="H144" i="17"/>
  <c r="J71" i="42" s="1"/>
  <c r="A144" i="17"/>
  <c r="H143" i="17"/>
  <c r="J70" i="42" s="1"/>
  <c r="A143" i="17"/>
  <c r="H142" i="17"/>
  <c r="J69" i="42" s="1"/>
  <c r="A142" i="17"/>
  <c r="H141" i="17"/>
  <c r="J68" i="42" s="1"/>
  <c r="A141" i="17"/>
  <c r="H140" i="17"/>
  <c r="J67" i="42" s="1"/>
  <c r="A140" i="17"/>
  <c r="H139" i="17"/>
  <c r="J66" i="42" s="1"/>
  <c r="A139" i="17"/>
  <c r="H138" i="17"/>
  <c r="J65" i="42" s="1"/>
  <c r="A138" i="17"/>
  <c r="H137" i="17"/>
  <c r="J64" i="42" s="1"/>
  <c r="A137" i="17"/>
  <c r="H136" i="17"/>
  <c r="J63" i="42" s="1"/>
  <c r="A136" i="17"/>
  <c r="G135" i="17"/>
  <c r="G85" i="17" s="1"/>
  <c r="F135" i="17"/>
  <c r="F85" i="17" s="1"/>
  <c r="E135" i="17"/>
  <c r="D135" i="17"/>
  <c r="C135" i="17"/>
  <c r="C85" i="17" s="1"/>
  <c r="B135" i="17"/>
  <c r="B85" i="17" s="1"/>
  <c r="H132" i="17"/>
  <c r="J57" i="42" s="1"/>
  <c r="H131" i="17"/>
  <c r="H130" i="17"/>
  <c r="H129" i="17"/>
  <c r="H128" i="17"/>
  <c r="H127" i="17"/>
  <c r="H126" i="17"/>
  <c r="H125" i="17"/>
  <c r="H124" i="17"/>
  <c r="H123" i="17"/>
  <c r="H122" i="17"/>
  <c r="J28" i="42"/>
  <c r="H102" i="17"/>
  <c r="J27" i="42" s="1"/>
  <c r="G101" i="17"/>
  <c r="G84" i="17" s="1"/>
  <c r="F101" i="17"/>
  <c r="F84" i="17" s="1"/>
  <c r="F82" i="17" s="1"/>
  <c r="F52" i="17" s="1"/>
  <c r="E101" i="17"/>
  <c r="E84" i="17" s="1"/>
  <c r="D101" i="17"/>
  <c r="D84" i="17" s="1"/>
  <c r="C101" i="17"/>
  <c r="C84" i="17" s="1"/>
  <c r="B101" i="17"/>
  <c r="B84" i="17" s="1"/>
  <c r="B82" i="17" s="1"/>
  <c r="B52" i="17" s="1"/>
  <c r="H98" i="17"/>
  <c r="J21" i="42" s="1"/>
  <c r="H97" i="17"/>
  <c r="J20" i="42" s="1"/>
  <c r="H96" i="17"/>
  <c r="J19" i="42" s="1"/>
  <c r="H95" i="17"/>
  <c r="J18" i="42" s="1"/>
  <c r="H94" i="17"/>
  <c r="J17" i="42" s="1"/>
  <c r="H93" i="17"/>
  <c r="J16" i="42" s="1"/>
  <c r="H92" i="17"/>
  <c r="J15" i="42" s="1"/>
  <c r="H91" i="17"/>
  <c r="J14" i="42" s="1"/>
  <c r="H90" i="17"/>
  <c r="J13" i="42" s="1"/>
  <c r="H89" i="17"/>
  <c r="J12" i="42" s="1"/>
  <c r="H88" i="17"/>
  <c r="J11" i="42" s="1"/>
  <c r="H87" i="17"/>
  <c r="J10" i="42" s="1"/>
  <c r="H86" i="17"/>
  <c r="J9" i="42" s="1"/>
  <c r="E85" i="17"/>
  <c r="D85" i="17"/>
  <c r="H83" i="17"/>
  <c r="J6" i="42" s="1"/>
  <c r="H79" i="17"/>
  <c r="J64" i="4" s="1"/>
  <c r="J66" i="4" s="1"/>
  <c r="K63" i="4" s="1"/>
  <c r="H78" i="17"/>
  <c r="H77" i="17"/>
  <c r="J58" i="4" s="1"/>
  <c r="J60" i="4" s="1"/>
  <c r="K57" i="4" s="1"/>
  <c r="H76" i="17"/>
  <c r="H75" i="17"/>
  <c r="H74" i="17"/>
  <c r="J52" i="4" s="1"/>
  <c r="J54" i="4" s="1"/>
  <c r="K51" i="4" s="1"/>
  <c r="G73" i="17"/>
  <c r="F73" i="17"/>
  <c r="E73" i="17"/>
  <c r="E51" i="17" s="1"/>
  <c r="D73" i="17"/>
  <c r="D51" i="17" s="1"/>
  <c r="C73" i="17"/>
  <c r="B73" i="17"/>
  <c r="B51" i="17" s="1"/>
  <c r="H70" i="17"/>
  <c r="J44" i="4" s="1"/>
  <c r="H69" i="17"/>
  <c r="J43" i="4" s="1"/>
  <c r="G68" i="17"/>
  <c r="F68" i="17"/>
  <c r="E68" i="17"/>
  <c r="D68" i="17"/>
  <c r="C68" i="17"/>
  <c r="B68" i="17"/>
  <c r="G65" i="17"/>
  <c r="F65" i="17"/>
  <c r="E65" i="17"/>
  <c r="D65" i="17"/>
  <c r="C65" i="17"/>
  <c r="B65" i="17"/>
  <c r="H64" i="17"/>
  <c r="H63" i="17"/>
  <c r="J24" i="4" s="1"/>
  <c r="H60" i="17"/>
  <c r="J16" i="4" s="1"/>
  <c r="G59" i="17"/>
  <c r="G56" i="17" s="1"/>
  <c r="G50" i="17" s="1"/>
  <c r="F59" i="17"/>
  <c r="F56" i="17" s="1"/>
  <c r="E59" i="17"/>
  <c r="E56" i="17" s="1"/>
  <c r="D59" i="17"/>
  <c r="D56" i="17" s="1"/>
  <c r="D50" i="17" s="1"/>
  <c r="C59" i="17"/>
  <c r="C56" i="17" s="1"/>
  <c r="C50" i="17" s="1"/>
  <c r="B59" i="17"/>
  <c r="B56" i="17" s="1"/>
  <c r="H58" i="17"/>
  <c r="J9" i="4" s="1"/>
  <c r="H57" i="17"/>
  <c r="G51" i="17"/>
  <c r="F51" i="17"/>
  <c r="C51" i="17"/>
  <c r="G46" i="17"/>
  <c r="G49" i="17" s="1"/>
  <c r="F46" i="17"/>
  <c r="F49" i="17" s="1"/>
  <c r="E46" i="17"/>
  <c r="E49" i="17" s="1"/>
  <c r="D46" i="17"/>
  <c r="D49" i="17" s="1"/>
  <c r="C46" i="17"/>
  <c r="C49" i="17" s="1"/>
  <c r="B46" i="17"/>
  <c r="B49" i="17" s="1"/>
  <c r="H45" i="17"/>
  <c r="H44" i="17"/>
  <c r="H46" i="17" s="1"/>
  <c r="G40" i="17"/>
  <c r="F40" i="17"/>
  <c r="E40" i="17"/>
  <c r="D40" i="17"/>
  <c r="C40" i="17"/>
  <c r="B40" i="17"/>
  <c r="B23" i="17"/>
  <c r="B33" i="17" s="1"/>
  <c r="K28" i="1" s="1"/>
  <c r="J63" i="8" s="1"/>
  <c r="O77" i="8" s="1"/>
  <c r="D16" i="17"/>
  <c r="D17" i="17" s="1"/>
  <c r="C16" i="17"/>
  <c r="C17" i="17" s="1"/>
  <c r="B16" i="17"/>
  <c r="B17" i="17" s="1"/>
  <c r="F15" i="17"/>
  <c r="E15" i="17"/>
  <c r="F14" i="17"/>
  <c r="F16" i="17" s="1"/>
  <c r="F17" i="17" s="1"/>
  <c r="E14" i="17"/>
  <c r="G13" i="17"/>
  <c r="G12" i="17"/>
  <c r="G11" i="17"/>
  <c r="A1" i="17"/>
  <c r="H145" i="18"/>
  <c r="K72" i="42" s="1"/>
  <c r="A145" i="18"/>
  <c r="H144" i="18"/>
  <c r="K71" i="42" s="1"/>
  <c r="A144" i="18"/>
  <c r="H143" i="18"/>
  <c r="K70" i="42" s="1"/>
  <c r="A143" i="18"/>
  <c r="H142" i="18"/>
  <c r="K69" i="42" s="1"/>
  <c r="A142" i="18"/>
  <c r="H141" i="18"/>
  <c r="K68" i="42" s="1"/>
  <c r="A141" i="18"/>
  <c r="H140" i="18"/>
  <c r="K67" i="42" s="1"/>
  <c r="A140" i="18"/>
  <c r="H139" i="18"/>
  <c r="K66" i="42" s="1"/>
  <c r="A139" i="18"/>
  <c r="H138" i="18"/>
  <c r="K65" i="42" s="1"/>
  <c r="A138" i="18"/>
  <c r="H137" i="18"/>
  <c r="K64" i="42" s="1"/>
  <c r="A137" i="18"/>
  <c r="H136" i="18"/>
  <c r="K63" i="42" s="1"/>
  <c r="A136" i="18"/>
  <c r="G135" i="18"/>
  <c r="F135" i="18"/>
  <c r="F85" i="18" s="1"/>
  <c r="E135" i="18"/>
  <c r="E85" i="18" s="1"/>
  <c r="D135" i="18"/>
  <c r="D85" i="18" s="1"/>
  <c r="C135" i="18"/>
  <c r="C85" i="18" s="1"/>
  <c r="B135" i="18"/>
  <c r="B85" i="18" s="1"/>
  <c r="H132" i="18"/>
  <c r="K57" i="42" s="1"/>
  <c r="H131" i="18"/>
  <c r="H130" i="18"/>
  <c r="H129" i="18"/>
  <c r="H128" i="18"/>
  <c r="H127" i="18"/>
  <c r="H126" i="18"/>
  <c r="H125" i="18"/>
  <c r="H124" i="18"/>
  <c r="H123" i="18"/>
  <c r="H122" i="18"/>
  <c r="K28" i="42"/>
  <c r="H102" i="18"/>
  <c r="K27" i="42" s="1"/>
  <c r="G101" i="18"/>
  <c r="G84" i="18" s="1"/>
  <c r="F101" i="18"/>
  <c r="F84" i="18" s="1"/>
  <c r="E101" i="18"/>
  <c r="E84" i="18" s="1"/>
  <c r="D101" i="18"/>
  <c r="D84" i="18" s="1"/>
  <c r="C101" i="18"/>
  <c r="C84" i="18" s="1"/>
  <c r="B101" i="18"/>
  <c r="B84" i="18" s="1"/>
  <c r="H98" i="18"/>
  <c r="K21" i="42" s="1"/>
  <c r="H97" i="18"/>
  <c r="K20" i="42" s="1"/>
  <c r="H96" i="18"/>
  <c r="K19" i="42" s="1"/>
  <c r="H95" i="18"/>
  <c r="K18" i="42" s="1"/>
  <c r="H94" i="18"/>
  <c r="K17" i="42" s="1"/>
  <c r="H93" i="18"/>
  <c r="K16" i="42" s="1"/>
  <c r="H92" i="18"/>
  <c r="K15" i="42" s="1"/>
  <c r="H91" i="18"/>
  <c r="K14" i="42" s="1"/>
  <c r="H90" i="18"/>
  <c r="K13" i="42" s="1"/>
  <c r="H89" i="18"/>
  <c r="K12" i="42" s="1"/>
  <c r="H88" i="18"/>
  <c r="K11" i="42" s="1"/>
  <c r="H87" i="18"/>
  <c r="K10" i="42" s="1"/>
  <c r="H86" i="18"/>
  <c r="K9" i="42" s="1"/>
  <c r="G85" i="18"/>
  <c r="H83" i="18"/>
  <c r="K6" i="42" s="1"/>
  <c r="H79" i="18"/>
  <c r="K64" i="4" s="1"/>
  <c r="K66" i="4" s="1"/>
  <c r="L63" i="4" s="1"/>
  <c r="H78" i="18"/>
  <c r="H77" i="18"/>
  <c r="K58" i="4" s="1"/>
  <c r="K60" i="4" s="1"/>
  <c r="L57" i="4" s="1"/>
  <c r="H76" i="18"/>
  <c r="H75" i="18"/>
  <c r="H74" i="18"/>
  <c r="K52" i="4" s="1"/>
  <c r="K54" i="4" s="1"/>
  <c r="L51" i="4" s="1"/>
  <c r="G73" i="18"/>
  <c r="G51" i="18" s="1"/>
  <c r="F73" i="18"/>
  <c r="F51" i="18" s="1"/>
  <c r="E73" i="18"/>
  <c r="E51" i="18" s="1"/>
  <c r="D73" i="18"/>
  <c r="C73" i="18"/>
  <c r="B73" i="18"/>
  <c r="B51" i="18" s="1"/>
  <c r="H70" i="18"/>
  <c r="K44" i="4" s="1"/>
  <c r="H69" i="18"/>
  <c r="G68" i="18"/>
  <c r="F68" i="18"/>
  <c r="E68" i="18"/>
  <c r="D68" i="18"/>
  <c r="C68" i="18"/>
  <c r="B68" i="18"/>
  <c r="G65" i="18"/>
  <c r="F65" i="18"/>
  <c r="E65" i="18"/>
  <c r="D65" i="18"/>
  <c r="C65" i="18"/>
  <c r="B65" i="18"/>
  <c r="H64" i="18"/>
  <c r="H63" i="18"/>
  <c r="H60" i="18"/>
  <c r="K16" i="4" s="1"/>
  <c r="G59" i="18"/>
  <c r="G56" i="18" s="1"/>
  <c r="F59" i="18"/>
  <c r="F56" i="18" s="1"/>
  <c r="E59" i="18"/>
  <c r="E56" i="18" s="1"/>
  <c r="D59" i="18"/>
  <c r="D56" i="18" s="1"/>
  <c r="D50" i="18" s="1"/>
  <c r="C59" i="18"/>
  <c r="C56" i="18" s="1"/>
  <c r="B59" i="18"/>
  <c r="H58" i="18"/>
  <c r="K9" i="4" s="1"/>
  <c r="H57" i="18"/>
  <c r="B56" i="18"/>
  <c r="D51" i="18"/>
  <c r="C51" i="18"/>
  <c r="C50" i="18"/>
  <c r="F49" i="18"/>
  <c r="G46" i="18"/>
  <c r="G49" i="18" s="1"/>
  <c r="F46" i="18"/>
  <c r="E46" i="18"/>
  <c r="E49" i="18" s="1"/>
  <c r="D46" i="18"/>
  <c r="D49" i="18" s="1"/>
  <c r="C46" i="18"/>
  <c r="C49" i="18" s="1"/>
  <c r="B46" i="18"/>
  <c r="B49" i="18" s="1"/>
  <c r="H45" i="18"/>
  <c r="H44" i="18"/>
  <c r="G40" i="18"/>
  <c r="F40" i="18"/>
  <c r="E40" i="18"/>
  <c r="D40" i="18"/>
  <c r="C40" i="18"/>
  <c r="B40" i="18"/>
  <c r="B23" i="18"/>
  <c r="B33" i="18" s="1"/>
  <c r="D16" i="18"/>
  <c r="D17" i="18" s="1"/>
  <c r="C16" i="18"/>
  <c r="C17" i="18" s="1"/>
  <c r="B16" i="18"/>
  <c r="B17" i="18" s="1"/>
  <c r="F15" i="18"/>
  <c r="E15" i="18"/>
  <c r="F14" i="18"/>
  <c r="E14" i="18"/>
  <c r="E16" i="18" s="1"/>
  <c r="E17" i="18" s="1"/>
  <c r="G13" i="18"/>
  <c r="G12" i="18"/>
  <c r="L12" i="18"/>
  <c r="G11" i="18"/>
  <c r="A1" i="18"/>
  <c r="H145" i="19"/>
  <c r="L72" i="42" s="1"/>
  <c r="A145" i="19"/>
  <c r="H144" i="19"/>
  <c r="L71" i="42" s="1"/>
  <c r="A144" i="19"/>
  <c r="H143" i="19"/>
  <c r="L70" i="42" s="1"/>
  <c r="A143" i="19"/>
  <c r="H142" i="19"/>
  <c r="L69" i="42" s="1"/>
  <c r="A142" i="19"/>
  <c r="H141" i="19"/>
  <c r="L68" i="42" s="1"/>
  <c r="A141" i="19"/>
  <c r="H140" i="19"/>
  <c r="L67" i="42" s="1"/>
  <c r="A140" i="19"/>
  <c r="H139" i="19"/>
  <c r="L66" i="42" s="1"/>
  <c r="A139" i="19"/>
  <c r="H138" i="19"/>
  <c r="L65" i="42" s="1"/>
  <c r="A138" i="19"/>
  <c r="H137" i="19"/>
  <c r="L64" i="42" s="1"/>
  <c r="A137" i="19"/>
  <c r="H136" i="19"/>
  <c r="L63" i="42" s="1"/>
  <c r="A136" i="19"/>
  <c r="G135" i="19"/>
  <c r="F135" i="19"/>
  <c r="E135" i="19"/>
  <c r="E85" i="19" s="1"/>
  <c r="D135" i="19"/>
  <c r="D85" i="19" s="1"/>
  <c r="C135" i="19"/>
  <c r="C85" i="19" s="1"/>
  <c r="B135" i="19"/>
  <c r="H132" i="19"/>
  <c r="L57" i="42" s="1"/>
  <c r="H131" i="19"/>
  <c r="H130" i="19"/>
  <c r="H129" i="19"/>
  <c r="H128" i="19"/>
  <c r="H127" i="19"/>
  <c r="H126" i="19"/>
  <c r="H125" i="19"/>
  <c r="H124" i="19"/>
  <c r="H123" i="19"/>
  <c r="H122" i="19"/>
  <c r="L28" i="42"/>
  <c r="H102" i="19"/>
  <c r="L27" i="42" s="1"/>
  <c r="G101" i="19"/>
  <c r="G84" i="19" s="1"/>
  <c r="F101" i="19"/>
  <c r="F84" i="19" s="1"/>
  <c r="E101" i="19"/>
  <c r="D101" i="19"/>
  <c r="D84" i="19" s="1"/>
  <c r="C101" i="19"/>
  <c r="C84" i="19" s="1"/>
  <c r="C82" i="19" s="1"/>
  <c r="C52" i="19" s="1"/>
  <c r="B101" i="19"/>
  <c r="B84" i="19" s="1"/>
  <c r="H98" i="19"/>
  <c r="L21" i="42" s="1"/>
  <c r="H97" i="19"/>
  <c r="L20" i="42" s="1"/>
  <c r="H96" i="19"/>
  <c r="L19" i="42" s="1"/>
  <c r="H95" i="19"/>
  <c r="L18" i="42" s="1"/>
  <c r="H94" i="19"/>
  <c r="L17" i="42" s="1"/>
  <c r="H93" i="19"/>
  <c r="L16" i="42" s="1"/>
  <c r="H92" i="19"/>
  <c r="L15" i="42" s="1"/>
  <c r="H91" i="19"/>
  <c r="L14" i="42" s="1"/>
  <c r="H90" i="19"/>
  <c r="L13" i="42" s="1"/>
  <c r="H89" i="19"/>
  <c r="L12" i="42" s="1"/>
  <c r="H88" i="19"/>
  <c r="L11" i="42" s="1"/>
  <c r="H87" i="19"/>
  <c r="L10" i="42" s="1"/>
  <c r="H86" i="19"/>
  <c r="L9" i="42" s="1"/>
  <c r="G85" i="19"/>
  <c r="F85" i="19"/>
  <c r="B85" i="19"/>
  <c r="E84" i="19"/>
  <c r="H83" i="19"/>
  <c r="L6" i="42" s="1"/>
  <c r="H79" i="19"/>
  <c r="L64" i="4" s="1"/>
  <c r="L66" i="4" s="1"/>
  <c r="M63" i="4" s="1"/>
  <c r="H78" i="19"/>
  <c r="H77" i="19"/>
  <c r="L58" i="4" s="1"/>
  <c r="L60" i="4" s="1"/>
  <c r="M57" i="4" s="1"/>
  <c r="H76" i="19"/>
  <c r="H75" i="19"/>
  <c r="H74" i="19"/>
  <c r="L52" i="4" s="1"/>
  <c r="L54" i="4" s="1"/>
  <c r="M51" i="4" s="1"/>
  <c r="G73" i="19"/>
  <c r="G51" i="19" s="1"/>
  <c r="F73" i="19"/>
  <c r="F51" i="19" s="1"/>
  <c r="E73" i="19"/>
  <c r="E51" i="19" s="1"/>
  <c r="D73" i="19"/>
  <c r="C73" i="19"/>
  <c r="B73" i="19"/>
  <c r="B51" i="19" s="1"/>
  <c r="H70" i="19"/>
  <c r="L44" i="4" s="1"/>
  <c r="H69" i="19"/>
  <c r="G68" i="19"/>
  <c r="F68" i="19"/>
  <c r="E68" i="19"/>
  <c r="D68" i="19"/>
  <c r="C68" i="19"/>
  <c r="B68" i="19"/>
  <c r="G65" i="19"/>
  <c r="F65" i="19"/>
  <c r="E65" i="19"/>
  <c r="D65" i="19"/>
  <c r="C65" i="19"/>
  <c r="B65" i="19"/>
  <c r="H64" i="19"/>
  <c r="H63" i="19"/>
  <c r="H60" i="19"/>
  <c r="L16" i="4" s="1"/>
  <c r="G59" i="19"/>
  <c r="F59" i="19"/>
  <c r="E59" i="19"/>
  <c r="D59" i="19"/>
  <c r="D56" i="19" s="1"/>
  <c r="D50" i="19" s="1"/>
  <c r="C59" i="19"/>
  <c r="B59" i="19"/>
  <c r="B56" i="19" s="1"/>
  <c r="H58" i="19"/>
  <c r="L9" i="4" s="1"/>
  <c r="H57" i="19"/>
  <c r="L8" i="4" s="1"/>
  <c r="G56" i="19"/>
  <c r="F56" i="19"/>
  <c r="E56" i="19"/>
  <c r="C56" i="19"/>
  <c r="D51" i="19"/>
  <c r="C51" i="19"/>
  <c r="G46" i="19"/>
  <c r="G49" i="19" s="1"/>
  <c r="F46" i="19"/>
  <c r="F49" i="19" s="1"/>
  <c r="E46" i="19"/>
  <c r="E49" i="19" s="1"/>
  <c r="D46" i="19"/>
  <c r="D49" i="19" s="1"/>
  <c r="C46" i="19"/>
  <c r="C49" i="19" s="1"/>
  <c r="B46" i="19"/>
  <c r="B49" i="19" s="1"/>
  <c r="H45" i="19"/>
  <c r="H44" i="19"/>
  <c r="H46" i="19" s="1"/>
  <c r="G40" i="19"/>
  <c r="F40" i="19"/>
  <c r="E40" i="19"/>
  <c r="D40" i="19"/>
  <c r="C40" i="19"/>
  <c r="B40" i="19"/>
  <c r="B23" i="19"/>
  <c r="F16" i="19"/>
  <c r="F17" i="19" s="1"/>
  <c r="D16" i="19"/>
  <c r="D17" i="19" s="1"/>
  <c r="C16" i="19"/>
  <c r="C17" i="19" s="1"/>
  <c r="B16" i="19"/>
  <c r="B17" i="19" s="1"/>
  <c r="F15" i="19"/>
  <c r="E15" i="19"/>
  <c r="F14" i="19"/>
  <c r="E14" i="19"/>
  <c r="G13" i="19"/>
  <c r="G12" i="19"/>
  <c r="G11" i="19"/>
  <c r="A1" i="19"/>
  <c r="H145" i="20"/>
  <c r="M72" i="42" s="1"/>
  <c r="A145" i="20"/>
  <c r="H144" i="20"/>
  <c r="M71" i="42" s="1"/>
  <c r="A144" i="20"/>
  <c r="H143" i="20"/>
  <c r="M70" i="42" s="1"/>
  <c r="A143" i="20"/>
  <c r="H142" i="20"/>
  <c r="M69" i="42" s="1"/>
  <c r="A142" i="20"/>
  <c r="H141" i="20"/>
  <c r="M68" i="42" s="1"/>
  <c r="A141" i="20"/>
  <c r="H140" i="20"/>
  <c r="M67" i="42" s="1"/>
  <c r="A140" i="20"/>
  <c r="H139" i="20"/>
  <c r="M66" i="42" s="1"/>
  <c r="A139" i="20"/>
  <c r="H138" i="20"/>
  <c r="M65" i="42" s="1"/>
  <c r="A138" i="20"/>
  <c r="H137" i="20"/>
  <c r="M64" i="42" s="1"/>
  <c r="A137" i="20"/>
  <c r="H136" i="20"/>
  <c r="A136" i="20"/>
  <c r="G135" i="20"/>
  <c r="F135" i="20"/>
  <c r="E135" i="20"/>
  <c r="E85" i="20" s="1"/>
  <c r="D135" i="20"/>
  <c r="C135" i="20"/>
  <c r="B135" i="20"/>
  <c r="B85" i="20" s="1"/>
  <c r="H132" i="20"/>
  <c r="M57" i="42" s="1"/>
  <c r="H131" i="20"/>
  <c r="H130" i="20"/>
  <c r="H129" i="20"/>
  <c r="H128" i="20"/>
  <c r="H127" i="20"/>
  <c r="H126" i="20"/>
  <c r="H125" i="20"/>
  <c r="H124" i="20"/>
  <c r="H123" i="20"/>
  <c r="H122" i="20"/>
  <c r="M28" i="42"/>
  <c r="H102" i="20"/>
  <c r="M27" i="42" s="1"/>
  <c r="G101" i="20"/>
  <c r="G84" i="20" s="1"/>
  <c r="F101" i="20"/>
  <c r="F84" i="20" s="1"/>
  <c r="E101" i="20"/>
  <c r="E84" i="20" s="1"/>
  <c r="D101" i="20"/>
  <c r="D84" i="20" s="1"/>
  <c r="C101" i="20"/>
  <c r="C84" i="20" s="1"/>
  <c r="B101" i="20"/>
  <c r="B84" i="20" s="1"/>
  <c r="B82" i="20" s="1"/>
  <c r="B52" i="20" s="1"/>
  <c r="H98" i="20"/>
  <c r="M21" i="42" s="1"/>
  <c r="H97" i="20"/>
  <c r="M20" i="42" s="1"/>
  <c r="H96" i="20"/>
  <c r="M19" i="42" s="1"/>
  <c r="H95" i="20"/>
  <c r="M18" i="42" s="1"/>
  <c r="H94" i="20"/>
  <c r="M17" i="42" s="1"/>
  <c r="H93" i="20"/>
  <c r="M16" i="42" s="1"/>
  <c r="H92" i="20"/>
  <c r="M15" i="42" s="1"/>
  <c r="H91" i="20"/>
  <c r="M14" i="42" s="1"/>
  <c r="H90" i="20"/>
  <c r="M13" i="42" s="1"/>
  <c r="H89" i="20"/>
  <c r="M12" i="42" s="1"/>
  <c r="H88" i="20"/>
  <c r="M11" i="42" s="1"/>
  <c r="H87" i="20"/>
  <c r="M10" i="42" s="1"/>
  <c r="H86" i="20"/>
  <c r="M9" i="42" s="1"/>
  <c r="G85" i="20"/>
  <c r="F85" i="20"/>
  <c r="D85" i="20"/>
  <c r="C85" i="20"/>
  <c r="H83" i="20"/>
  <c r="M6" i="42" s="1"/>
  <c r="H79" i="20"/>
  <c r="M64" i="4" s="1"/>
  <c r="M66" i="4" s="1"/>
  <c r="N63" i="4" s="1"/>
  <c r="H78" i="20"/>
  <c r="H77" i="20"/>
  <c r="M58" i="4" s="1"/>
  <c r="M60" i="4" s="1"/>
  <c r="N57" i="4" s="1"/>
  <c r="H76" i="20"/>
  <c r="H75" i="20"/>
  <c r="H74" i="20"/>
  <c r="M52" i="4" s="1"/>
  <c r="M54" i="4" s="1"/>
  <c r="N51" i="4" s="1"/>
  <c r="G73" i="20"/>
  <c r="G51" i="20" s="1"/>
  <c r="F73" i="20"/>
  <c r="F51" i="20" s="1"/>
  <c r="E73" i="20"/>
  <c r="E51" i="20" s="1"/>
  <c r="D73" i="20"/>
  <c r="C73" i="20"/>
  <c r="B73" i="20"/>
  <c r="B51" i="20" s="1"/>
  <c r="H70" i="20"/>
  <c r="M44" i="4" s="1"/>
  <c r="H69" i="20"/>
  <c r="M43" i="4" s="1"/>
  <c r="G68" i="20"/>
  <c r="F68" i="20"/>
  <c r="E68" i="20"/>
  <c r="D68" i="20"/>
  <c r="C68" i="20"/>
  <c r="B68" i="20"/>
  <c r="G65" i="20"/>
  <c r="F65" i="20"/>
  <c r="E65" i="20"/>
  <c r="D65" i="20"/>
  <c r="C65" i="20"/>
  <c r="B65" i="20"/>
  <c r="H64" i="20"/>
  <c r="H63" i="20"/>
  <c r="H60" i="20"/>
  <c r="M16" i="4" s="1"/>
  <c r="G59" i="20"/>
  <c r="G56" i="20" s="1"/>
  <c r="F59" i="20"/>
  <c r="F56" i="20" s="1"/>
  <c r="F50" i="20" s="1"/>
  <c r="E59" i="20"/>
  <c r="E56" i="20" s="1"/>
  <c r="D59" i="20"/>
  <c r="D56" i="20" s="1"/>
  <c r="C59" i="20"/>
  <c r="C56" i="20" s="1"/>
  <c r="C50" i="20" s="1"/>
  <c r="B59" i="20"/>
  <c r="B56" i="20" s="1"/>
  <c r="H58" i="20"/>
  <c r="M9" i="4" s="1"/>
  <c r="H57" i="20"/>
  <c r="D51" i="20"/>
  <c r="C51" i="20"/>
  <c r="G46" i="20"/>
  <c r="G49" i="20" s="1"/>
  <c r="F46" i="20"/>
  <c r="F49" i="20" s="1"/>
  <c r="E46" i="20"/>
  <c r="E49" i="20" s="1"/>
  <c r="D46" i="20"/>
  <c r="D49" i="20" s="1"/>
  <c r="C46" i="20"/>
  <c r="C49" i="20" s="1"/>
  <c r="B46" i="20"/>
  <c r="B49" i="20" s="1"/>
  <c r="H45" i="20"/>
  <c r="H44" i="20"/>
  <c r="G40" i="20"/>
  <c r="F40" i="20"/>
  <c r="E40" i="20"/>
  <c r="D40" i="20"/>
  <c r="C40" i="20"/>
  <c r="B40" i="20"/>
  <c r="B23" i="20"/>
  <c r="B33" i="20" s="1"/>
  <c r="N28" i="1" s="1"/>
  <c r="M63" i="8" s="1"/>
  <c r="O80" i="8" s="1"/>
  <c r="D16" i="20"/>
  <c r="D17" i="20" s="1"/>
  <c r="C16" i="20"/>
  <c r="C17" i="20" s="1"/>
  <c r="B16" i="20"/>
  <c r="B17" i="20" s="1"/>
  <c r="F15" i="20"/>
  <c r="E15" i="20"/>
  <c r="F14" i="20"/>
  <c r="E14" i="20"/>
  <c r="E16" i="20" s="1"/>
  <c r="E17" i="20" s="1"/>
  <c r="G13" i="20"/>
  <c r="G12" i="20"/>
  <c r="G11" i="20"/>
  <c r="A1" i="20"/>
  <c r="H145" i="21"/>
  <c r="N72" i="42" s="1"/>
  <c r="A145" i="21"/>
  <c r="H144" i="21"/>
  <c r="N71" i="42" s="1"/>
  <c r="A144" i="21"/>
  <c r="H143" i="21"/>
  <c r="N70" i="42" s="1"/>
  <c r="A143" i="21"/>
  <c r="H142" i="21"/>
  <c r="N69" i="42" s="1"/>
  <c r="A142" i="21"/>
  <c r="H141" i="21"/>
  <c r="N68" i="42" s="1"/>
  <c r="A141" i="21"/>
  <c r="H140" i="21"/>
  <c r="N67" i="42" s="1"/>
  <c r="A140" i="21"/>
  <c r="H139" i="21"/>
  <c r="N66" i="42" s="1"/>
  <c r="A139" i="21"/>
  <c r="H138" i="21"/>
  <c r="N65" i="42" s="1"/>
  <c r="A138" i="21"/>
  <c r="H137" i="21"/>
  <c r="N64" i="42" s="1"/>
  <c r="A137" i="21"/>
  <c r="H136" i="21"/>
  <c r="A136" i="21"/>
  <c r="G135" i="21"/>
  <c r="G85" i="21" s="1"/>
  <c r="F135" i="21"/>
  <c r="F85" i="21" s="1"/>
  <c r="E135" i="21"/>
  <c r="E85" i="21" s="1"/>
  <c r="D135" i="21"/>
  <c r="D85" i="21" s="1"/>
  <c r="C135" i="21"/>
  <c r="C85" i="21" s="1"/>
  <c r="B135" i="21"/>
  <c r="B85" i="21" s="1"/>
  <c r="H132" i="21"/>
  <c r="N57" i="42" s="1"/>
  <c r="H131" i="21"/>
  <c r="H130" i="21"/>
  <c r="H129" i="21"/>
  <c r="H128" i="21"/>
  <c r="H127" i="21"/>
  <c r="H126" i="21"/>
  <c r="H125" i="21"/>
  <c r="H124" i="21"/>
  <c r="H123" i="21"/>
  <c r="H122" i="21"/>
  <c r="N28" i="42"/>
  <c r="H102" i="21"/>
  <c r="N27" i="42" s="1"/>
  <c r="G101" i="21"/>
  <c r="G84" i="21" s="1"/>
  <c r="F101" i="21"/>
  <c r="F84" i="21" s="1"/>
  <c r="E101" i="21"/>
  <c r="E84" i="21" s="1"/>
  <c r="D101" i="21"/>
  <c r="D84" i="21" s="1"/>
  <c r="C101" i="21"/>
  <c r="C84" i="21" s="1"/>
  <c r="B101" i="21"/>
  <c r="B84" i="21" s="1"/>
  <c r="H98" i="21"/>
  <c r="N21" i="42" s="1"/>
  <c r="H97" i="21"/>
  <c r="N20" i="42" s="1"/>
  <c r="H96" i="21"/>
  <c r="N19" i="42" s="1"/>
  <c r="H95" i="21"/>
  <c r="N18" i="42" s="1"/>
  <c r="H94" i="21"/>
  <c r="N17" i="42" s="1"/>
  <c r="H93" i="21"/>
  <c r="N16" i="42" s="1"/>
  <c r="H92" i="21"/>
  <c r="N15" i="42" s="1"/>
  <c r="H91" i="21"/>
  <c r="N14" i="42" s="1"/>
  <c r="H90" i="21"/>
  <c r="N13" i="42" s="1"/>
  <c r="H89" i="21"/>
  <c r="N12" i="42" s="1"/>
  <c r="H88" i="21"/>
  <c r="N11" i="42" s="1"/>
  <c r="H87" i="21"/>
  <c r="N10" i="42" s="1"/>
  <c r="H86" i="21"/>
  <c r="N9" i="42" s="1"/>
  <c r="H83" i="21"/>
  <c r="N6" i="42" s="1"/>
  <c r="H79" i="21"/>
  <c r="N64" i="4" s="1"/>
  <c r="N66" i="4" s="1"/>
  <c r="O63" i="4" s="1"/>
  <c r="H78" i="21"/>
  <c r="H77" i="21"/>
  <c r="N58" i="4" s="1"/>
  <c r="N60" i="4" s="1"/>
  <c r="O57" i="4" s="1"/>
  <c r="H76" i="21"/>
  <c r="H75" i="21"/>
  <c r="H74" i="21"/>
  <c r="N52" i="4" s="1"/>
  <c r="N54" i="4" s="1"/>
  <c r="O51" i="4" s="1"/>
  <c r="G73" i="21"/>
  <c r="G51" i="21" s="1"/>
  <c r="F73" i="21"/>
  <c r="E73" i="21"/>
  <c r="E51" i="21" s="1"/>
  <c r="D73" i="21"/>
  <c r="D51" i="21" s="1"/>
  <c r="C73" i="21"/>
  <c r="C51" i="21" s="1"/>
  <c r="B73" i="21"/>
  <c r="H70" i="21"/>
  <c r="N44" i="4" s="1"/>
  <c r="H69" i="21"/>
  <c r="N43" i="4" s="1"/>
  <c r="G68" i="21"/>
  <c r="F68" i="21"/>
  <c r="E68" i="21"/>
  <c r="D68" i="21"/>
  <c r="C68" i="21"/>
  <c r="B68" i="21"/>
  <c r="G65" i="21"/>
  <c r="F65" i="21"/>
  <c r="E65" i="21"/>
  <c r="D65" i="21"/>
  <c r="C65" i="21"/>
  <c r="B65" i="21"/>
  <c r="H64" i="21"/>
  <c r="H63" i="21"/>
  <c r="H60" i="21"/>
  <c r="N16" i="4" s="1"/>
  <c r="G59" i="21"/>
  <c r="F59" i="21"/>
  <c r="F56" i="21" s="1"/>
  <c r="E59" i="21"/>
  <c r="E56" i="21" s="1"/>
  <c r="D59" i="21"/>
  <c r="D56" i="21" s="1"/>
  <c r="D50" i="21" s="1"/>
  <c r="C59" i="21"/>
  <c r="C56" i="21" s="1"/>
  <c r="B59" i="21"/>
  <c r="B56" i="21" s="1"/>
  <c r="H58" i="21"/>
  <c r="N9" i="4" s="1"/>
  <c r="H57" i="21"/>
  <c r="G56" i="21"/>
  <c r="F51" i="21"/>
  <c r="B51" i="21"/>
  <c r="C50" i="21"/>
  <c r="G46" i="21"/>
  <c r="G49" i="21" s="1"/>
  <c r="F46" i="21"/>
  <c r="F49" i="21" s="1"/>
  <c r="E46" i="21"/>
  <c r="E49" i="21" s="1"/>
  <c r="D46" i="21"/>
  <c r="D49" i="21" s="1"/>
  <c r="C46" i="21"/>
  <c r="C49" i="21" s="1"/>
  <c r="B46" i="21"/>
  <c r="B49" i="21" s="1"/>
  <c r="H45" i="21"/>
  <c r="H44" i="21"/>
  <c r="H46" i="21" s="1"/>
  <c r="G40" i="21"/>
  <c r="F40" i="21"/>
  <c r="E40" i="21"/>
  <c r="D40" i="21"/>
  <c r="C40" i="21"/>
  <c r="B40" i="21"/>
  <c r="B23" i="21"/>
  <c r="D17" i="21"/>
  <c r="D16" i="21"/>
  <c r="C16" i="21"/>
  <c r="C17" i="21" s="1"/>
  <c r="B16" i="21"/>
  <c r="B17" i="21" s="1"/>
  <c r="F15" i="21"/>
  <c r="E15" i="21"/>
  <c r="F14" i="21"/>
  <c r="E14" i="21"/>
  <c r="G13" i="21"/>
  <c r="G12" i="21"/>
  <c r="G11" i="21"/>
  <c r="A1" i="21"/>
  <c r="H145" i="22"/>
  <c r="O72" i="42" s="1"/>
  <c r="A145" i="22"/>
  <c r="H144" i="22"/>
  <c r="O71" i="42" s="1"/>
  <c r="A144" i="22"/>
  <c r="H143" i="22"/>
  <c r="O70" i="42" s="1"/>
  <c r="A143" i="22"/>
  <c r="H142" i="22"/>
  <c r="O69" i="42" s="1"/>
  <c r="A142" i="22"/>
  <c r="H141" i="22"/>
  <c r="O68" i="42" s="1"/>
  <c r="A141" i="22"/>
  <c r="H140" i="22"/>
  <c r="O67" i="42" s="1"/>
  <c r="A140" i="22"/>
  <c r="H139" i="22"/>
  <c r="O66" i="42" s="1"/>
  <c r="A139" i="22"/>
  <c r="H138" i="22"/>
  <c r="O65" i="42" s="1"/>
  <c r="A138" i="22"/>
  <c r="H137" i="22"/>
  <c r="O64" i="42" s="1"/>
  <c r="A137" i="22"/>
  <c r="H136" i="22"/>
  <c r="O63" i="42" s="1"/>
  <c r="A136" i="22"/>
  <c r="G135" i="22"/>
  <c r="G85" i="22" s="1"/>
  <c r="F135" i="22"/>
  <c r="F85" i="22" s="1"/>
  <c r="E135" i="22"/>
  <c r="E85" i="22" s="1"/>
  <c r="D135" i="22"/>
  <c r="D85" i="22" s="1"/>
  <c r="C135" i="22"/>
  <c r="C85" i="22" s="1"/>
  <c r="B135" i="22"/>
  <c r="B85" i="22" s="1"/>
  <c r="H132" i="22"/>
  <c r="O57" i="42" s="1"/>
  <c r="H131" i="22"/>
  <c r="H130" i="22"/>
  <c r="H129" i="22"/>
  <c r="H128" i="22"/>
  <c r="H127" i="22"/>
  <c r="H126" i="22"/>
  <c r="H125" i="22"/>
  <c r="H124" i="22"/>
  <c r="H123" i="22"/>
  <c r="H122" i="22"/>
  <c r="O28" i="42"/>
  <c r="H102" i="22"/>
  <c r="O27" i="42" s="1"/>
  <c r="G101" i="22"/>
  <c r="G84" i="22" s="1"/>
  <c r="F101" i="22"/>
  <c r="E101" i="22"/>
  <c r="E84" i="22" s="1"/>
  <c r="D101" i="22"/>
  <c r="D84" i="22" s="1"/>
  <c r="C101" i="22"/>
  <c r="C84" i="22" s="1"/>
  <c r="B101" i="22"/>
  <c r="B84" i="22" s="1"/>
  <c r="H98" i="22"/>
  <c r="O21" i="42" s="1"/>
  <c r="H97" i="22"/>
  <c r="O20" i="42" s="1"/>
  <c r="H96" i="22"/>
  <c r="O19" i="42" s="1"/>
  <c r="H95" i="22"/>
  <c r="O18" i="42" s="1"/>
  <c r="H94" i="22"/>
  <c r="O17" i="42" s="1"/>
  <c r="H93" i="22"/>
  <c r="O16" i="42" s="1"/>
  <c r="H92" i="22"/>
  <c r="O15" i="42" s="1"/>
  <c r="H91" i="22"/>
  <c r="O14" i="42" s="1"/>
  <c r="H90" i="22"/>
  <c r="O13" i="42" s="1"/>
  <c r="H89" i="22"/>
  <c r="O12" i="42" s="1"/>
  <c r="H88" i="22"/>
  <c r="O11" i="42" s="1"/>
  <c r="H87" i="22"/>
  <c r="O10" i="42" s="1"/>
  <c r="H86" i="22"/>
  <c r="O9" i="42" s="1"/>
  <c r="F84" i="22"/>
  <c r="H83" i="22"/>
  <c r="O6" i="42" s="1"/>
  <c r="H79" i="22"/>
  <c r="O64" i="4" s="1"/>
  <c r="O66" i="4" s="1"/>
  <c r="P63" i="4" s="1"/>
  <c r="H78" i="22"/>
  <c r="H77" i="22"/>
  <c r="O58" i="4" s="1"/>
  <c r="O60" i="4" s="1"/>
  <c r="P57" i="4" s="1"/>
  <c r="H76" i="22"/>
  <c r="H75" i="22"/>
  <c r="H74" i="22"/>
  <c r="O52" i="4" s="1"/>
  <c r="O54" i="4" s="1"/>
  <c r="P51" i="4" s="1"/>
  <c r="G73" i="22"/>
  <c r="G51" i="22" s="1"/>
  <c r="F73" i="22"/>
  <c r="E73" i="22"/>
  <c r="E51" i="22" s="1"/>
  <c r="D73" i="22"/>
  <c r="D51" i="22" s="1"/>
  <c r="C73" i="22"/>
  <c r="C51" i="22" s="1"/>
  <c r="B73" i="22"/>
  <c r="B51" i="22" s="1"/>
  <c r="H70" i="22"/>
  <c r="H69" i="22"/>
  <c r="O43" i="4" s="1"/>
  <c r="G68" i="22"/>
  <c r="F68" i="22"/>
  <c r="E68" i="22"/>
  <c r="D68" i="22"/>
  <c r="C68" i="22"/>
  <c r="B68" i="22"/>
  <c r="G65" i="22"/>
  <c r="F65" i="22"/>
  <c r="E65" i="22"/>
  <c r="D65" i="22"/>
  <c r="C65" i="22"/>
  <c r="B65" i="22"/>
  <c r="H64" i="22"/>
  <c r="H63" i="22"/>
  <c r="O24" i="4" s="1"/>
  <c r="H60" i="22"/>
  <c r="O16" i="4" s="1"/>
  <c r="G59" i="22"/>
  <c r="G56" i="22" s="1"/>
  <c r="F59" i="22"/>
  <c r="F56" i="22" s="1"/>
  <c r="E59" i="22"/>
  <c r="E56" i="22" s="1"/>
  <c r="D59" i="22"/>
  <c r="D56" i="22" s="1"/>
  <c r="C59" i="22"/>
  <c r="C56" i="22" s="1"/>
  <c r="B59" i="22"/>
  <c r="H58" i="22"/>
  <c r="O9" i="4" s="1"/>
  <c r="H57" i="22"/>
  <c r="O8" i="4" s="1"/>
  <c r="B56" i="22"/>
  <c r="B50" i="22" s="1"/>
  <c r="F51" i="22"/>
  <c r="G46" i="22"/>
  <c r="G49" i="22" s="1"/>
  <c r="F46" i="22"/>
  <c r="F49" i="22" s="1"/>
  <c r="E46" i="22"/>
  <c r="E49" i="22" s="1"/>
  <c r="D46" i="22"/>
  <c r="D49" i="22" s="1"/>
  <c r="C46" i="22"/>
  <c r="C49" i="22" s="1"/>
  <c r="B46" i="22"/>
  <c r="B49" i="22" s="1"/>
  <c r="H45" i="22"/>
  <c r="H44" i="22"/>
  <c r="G40" i="22"/>
  <c r="F40" i="22"/>
  <c r="E40" i="22"/>
  <c r="D40" i="22"/>
  <c r="C40" i="22"/>
  <c r="B40" i="22"/>
  <c r="B23" i="22"/>
  <c r="B33" i="22" s="1"/>
  <c r="D16" i="22"/>
  <c r="D17" i="22" s="1"/>
  <c r="C16" i="22"/>
  <c r="C17" i="22" s="1"/>
  <c r="B16" i="22"/>
  <c r="B17" i="22" s="1"/>
  <c r="F15" i="22"/>
  <c r="E15" i="22"/>
  <c r="F14" i="22"/>
  <c r="E14" i="22"/>
  <c r="E16" i="22" s="1"/>
  <c r="E17" i="22" s="1"/>
  <c r="G13" i="22"/>
  <c r="G12" i="22"/>
  <c r="G11" i="22"/>
  <c r="A1" i="22"/>
  <c r="H145" i="23"/>
  <c r="P72" i="42" s="1"/>
  <c r="A145" i="23"/>
  <c r="H144" i="23"/>
  <c r="P71" i="42" s="1"/>
  <c r="A144" i="23"/>
  <c r="H143" i="23"/>
  <c r="P70" i="42" s="1"/>
  <c r="A143" i="23"/>
  <c r="H142" i="23"/>
  <c r="P69" i="42" s="1"/>
  <c r="A142" i="23"/>
  <c r="H141" i="23"/>
  <c r="P68" i="42" s="1"/>
  <c r="A141" i="23"/>
  <c r="H140" i="23"/>
  <c r="P67" i="42" s="1"/>
  <c r="A140" i="23"/>
  <c r="H139" i="23"/>
  <c r="P66" i="42" s="1"/>
  <c r="A139" i="23"/>
  <c r="H138" i="23"/>
  <c r="P65" i="42" s="1"/>
  <c r="A138" i="23"/>
  <c r="H137" i="23"/>
  <c r="P64" i="42" s="1"/>
  <c r="A137" i="23"/>
  <c r="H136" i="23"/>
  <c r="P63" i="42" s="1"/>
  <c r="A136" i="23"/>
  <c r="G135" i="23"/>
  <c r="F135" i="23"/>
  <c r="E135" i="23"/>
  <c r="D135" i="23"/>
  <c r="D85" i="23" s="1"/>
  <c r="C135" i="23"/>
  <c r="C85" i="23" s="1"/>
  <c r="B135" i="23"/>
  <c r="B85" i="23" s="1"/>
  <c r="H132" i="23"/>
  <c r="P57" i="42" s="1"/>
  <c r="H131" i="23"/>
  <c r="H130" i="23"/>
  <c r="H129" i="23"/>
  <c r="H128" i="23"/>
  <c r="H127" i="23"/>
  <c r="H126" i="23"/>
  <c r="H125" i="23"/>
  <c r="H124" i="23"/>
  <c r="H123" i="23"/>
  <c r="H122" i="23"/>
  <c r="P28" i="42"/>
  <c r="H102" i="23"/>
  <c r="P27" i="42" s="1"/>
  <c r="G101" i="23"/>
  <c r="G84" i="23" s="1"/>
  <c r="G82" i="23" s="1"/>
  <c r="G52" i="23" s="1"/>
  <c r="F101" i="23"/>
  <c r="F84" i="23" s="1"/>
  <c r="E101" i="23"/>
  <c r="E84" i="23" s="1"/>
  <c r="E82" i="23" s="1"/>
  <c r="E52" i="23" s="1"/>
  <c r="D101" i="23"/>
  <c r="D84" i="23" s="1"/>
  <c r="D82" i="23" s="1"/>
  <c r="D52" i="23" s="1"/>
  <c r="C101" i="23"/>
  <c r="C84" i="23" s="1"/>
  <c r="B101" i="23"/>
  <c r="B84" i="23" s="1"/>
  <c r="H98" i="23"/>
  <c r="P21" i="42" s="1"/>
  <c r="H97" i="23"/>
  <c r="P20" i="42" s="1"/>
  <c r="H96" i="23"/>
  <c r="P19" i="42" s="1"/>
  <c r="H95" i="23"/>
  <c r="P18" i="42" s="1"/>
  <c r="H94" i="23"/>
  <c r="P17" i="42" s="1"/>
  <c r="H93" i="23"/>
  <c r="P16" i="42" s="1"/>
  <c r="H92" i="23"/>
  <c r="P15" i="42" s="1"/>
  <c r="H91" i="23"/>
  <c r="P14" i="42" s="1"/>
  <c r="H90" i="23"/>
  <c r="P13" i="42" s="1"/>
  <c r="H89" i="23"/>
  <c r="P12" i="42" s="1"/>
  <c r="H88" i="23"/>
  <c r="P11" i="42" s="1"/>
  <c r="H87" i="23"/>
  <c r="P10" i="42" s="1"/>
  <c r="H86" i="23"/>
  <c r="P9" i="42" s="1"/>
  <c r="G85" i="23"/>
  <c r="F85" i="23"/>
  <c r="E85" i="23"/>
  <c r="H83" i="23"/>
  <c r="P6" i="42" s="1"/>
  <c r="H79" i="23"/>
  <c r="P64" i="4" s="1"/>
  <c r="P66" i="4" s="1"/>
  <c r="Q63" i="4" s="1"/>
  <c r="H78" i="23"/>
  <c r="H77" i="23"/>
  <c r="P58" i="4" s="1"/>
  <c r="P60" i="4" s="1"/>
  <c r="Q57" i="4" s="1"/>
  <c r="H76" i="23"/>
  <c r="H75" i="23"/>
  <c r="H74" i="23"/>
  <c r="P52" i="4" s="1"/>
  <c r="P54" i="4" s="1"/>
  <c r="Q51" i="4" s="1"/>
  <c r="G73" i="23"/>
  <c r="F73" i="23"/>
  <c r="F51" i="23" s="1"/>
  <c r="E73" i="23"/>
  <c r="D73" i="23"/>
  <c r="D51" i="23" s="1"/>
  <c r="C73" i="23"/>
  <c r="B73" i="23"/>
  <c r="B51" i="23" s="1"/>
  <c r="H70" i="23"/>
  <c r="P44" i="4" s="1"/>
  <c r="H69" i="23"/>
  <c r="G68" i="23"/>
  <c r="F68" i="23"/>
  <c r="E68" i="23"/>
  <c r="D68" i="23"/>
  <c r="C68" i="23"/>
  <c r="B68" i="23"/>
  <c r="G65" i="23"/>
  <c r="F65" i="23"/>
  <c r="E65" i="23"/>
  <c r="D65" i="23"/>
  <c r="C65" i="23"/>
  <c r="B65" i="23"/>
  <c r="H64" i="23"/>
  <c r="H63" i="23"/>
  <c r="P24" i="4" s="1"/>
  <c r="H60" i="23"/>
  <c r="P16" i="4" s="1"/>
  <c r="G59" i="23"/>
  <c r="F59" i="23"/>
  <c r="F56" i="23" s="1"/>
  <c r="E59" i="23"/>
  <c r="E56" i="23" s="1"/>
  <c r="D59" i="23"/>
  <c r="D56" i="23" s="1"/>
  <c r="C59" i="23"/>
  <c r="C56" i="23" s="1"/>
  <c r="B59" i="23"/>
  <c r="B56" i="23" s="1"/>
  <c r="H58" i="23"/>
  <c r="P9" i="4" s="1"/>
  <c r="H57" i="23"/>
  <c r="G56" i="23"/>
  <c r="G51" i="23"/>
  <c r="E51" i="23"/>
  <c r="C51" i="23"/>
  <c r="G46" i="23"/>
  <c r="G49" i="23" s="1"/>
  <c r="F46" i="23"/>
  <c r="F49" i="23" s="1"/>
  <c r="E46" i="23"/>
  <c r="E49" i="23" s="1"/>
  <c r="D46" i="23"/>
  <c r="D49" i="23" s="1"/>
  <c r="C46" i="23"/>
  <c r="C49" i="23" s="1"/>
  <c r="B46" i="23"/>
  <c r="B49" i="23" s="1"/>
  <c r="H45" i="23"/>
  <c r="H44" i="23"/>
  <c r="H46" i="23" s="1"/>
  <c r="G40" i="23"/>
  <c r="F40" i="23"/>
  <c r="E40" i="23"/>
  <c r="D40" i="23"/>
  <c r="C40" i="23"/>
  <c r="B40" i="23"/>
  <c r="B23" i="23"/>
  <c r="B33" i="23" s="1"/>
  <c r="Q28" i="1" s="1"/>
  <c r="P63" i="8" s="1"/>
  <c r="O83" i="8" s="1"/>
  <c r="D16" i="23"/>
  <c r="D17" i="23" s="1"/>
  <c r="C16" i="23"/>
  <c r="C17" i="23" s="1"/>
  <c r="B16" i="23"/>
  <c r="B17" i="23" s="1"/>
  <c r="F15" i="23"/>
  <c r="E15" i="23"/>
  <c r="F14" i="23"/>
  <c r="F16" i="23" s="1"/>
  <c r="F17" i="23" s="1"/>
  <c r="E14" i="23"/>
  <c r="E16" i="23" s="1"/>
  <c r="E17" i="23" s="1"/>
  <c r="G13" i="23"/>
  <c r="G12" i="23"/>
  <c r="G11" i="23"/>
  <c r="A1" i="23"/>
  <c r="H145" i="24"/>
  <c r="Q72" i="42" s="1"/>
  <c r="A145" i="24"/>
  <c r="H144" i="24"/>
  <c r="Q71" i="42" s="1"/>
  <c r="A144" i="24"/>
  <c r="H143" i="24"/>
  <c r="Q70" i="42" s="1"/>
  <c r="A143" i="24"/>
  <c r="H142" i="24"/>
  <c r="Q69" i="42" s="1"/>
  <c r="A142" i="24"/>
  <c r="H141" i="24"/>
  <c r="Q68" i="42" s="1"/>
  <c r="A141" i="24"/>
  <c r="H140" i="24"/>
  <c r="Q67" i="42" s="1"/>
  <c r="A140" i="24"/>
  <c r="H139" i="24"/>
  <c r="Q66" i="42" s="1"/>
  <c r="A139" i="24"/>
  <c r="H138" i="24"/>
  <c r="Q65" i="42" s="1"/>
  <c r="A138" i="24"/>
  <c r="H137" i="24"/>
  <c r="Q64" i="42" s="1"/>
  <c r="A137" i="24"/>
  <c r="H136" i="24"/>
  <c r="A136" i="24"/>
  <c r="G135" i="24"/>
  <c r="G85" i="24" s="1"/>
  <c r="F135" i="24"/>
  <c r="F85" i="24" s="1"/>
  <c r="E135" i="24"/>
  <c r="E85" i="24" s="1"/>
  <c r="D135" i="24"/>
  <c r="D85" i="24" s="1"/>
  <c r="C135" i="24"/>
  <c r="C85" i="24" s="1"/>
  <c r="B135" i="24"/>
  <c r="B85" i="24" s="1"/>
  <c r="H132" i="24"/>
  <c r="Q57" i="42" s="1"/>
  <c r="H131" i="24"/>
  <c r="H130" i="24"/>
  <c r="H129" i="24"/>
  <c r="H128" i="24"/>
  <c r="H127" i="24"/>
  <c r="H126" i="24"/>
  <c r="H125" i="24"/>
  <c r="H124" i="24"/>
  <c r="H123" i="24"/>
  <c r="H122" i="24"/>
  <c r="Q28" i="42"/>
  <c r="H102" i="24"/>
  <c r="Q27" i="42" s="1"/>
  <c r="G101" i="24"/>
  <c r="G84" i="24" s="1"/>
  <c r="F101" i="24"/>
  <c r="F84" i="24" s="1"/>
  <c r="F82" i="24" s="1"/>
  <c r="F52" i="24" s="1"/>
  <c r="E101" i="24"/>
  <c r="E84" i="24" s="1"/>
  <c r="D101" i="24"/>
  <c r="D84" i="24" s="1"/>
  <c r="C101" i="24"/>
  <c r="C84" i="24" s="1"/>
  <c r="B101" i="24"/>
  <c r="H98" i="24"/>
  <c r="Q21" i="42" s="1"/>
  <c r="H97" i="24"/>
  <c r="Q20" i="42" s="1"/>
  <c r="H96" i="24"/>
  <c r="Q19" i="42" s="1"/>
  <c r="H95" i="24"/>
  <c r="Q18" i="42" s="1"/>
  <c r="H94" i="24"/>
  <c r="Q17" i="42" s="1"/>
  <c r="H93" i="24"/>
  <c r="Q16" i="42" s="1"/>
  <c r="H92" i="24"/>
  <c r="Q15" i="42" s="1"/>
  <c r="H91" i="24"/>
  <c r="Q14" i="42" s="1"/>
  <c r="H90" i="24"/>
  <c r="Q13" i="42" s="1"/>
  <c r="H89" i="24"/>
  <c r="Q12" i="42" s="1"/>
  <c r="H88" i="24"/>
  <c r="Q11" i="42" s="1"/>
  <c r="H87" i="24"/>
  <c r="Q10" i="42" s="1"/>
  <c r="H86" i="24"/>
  <c r="Q9" i="42" s="1"/>
  <c r="B84" i="24"/>
  <c r="H83" i="24"/>
  <c r="Q6" i="42" s="1"/>
  <c r="H79" i="24"/>
  <c r="Q64" i="4" s="1"/>
  <c r="Q66" i="4" s="1"/>
  <c r="R63" i="4" s="1"/>
  <c r="H78" i="24"/>
  <c r="H77" i="24"/>
  <c r="Q58" i="4" s="1"/>
  <c r="Q60" i="4" s="1"/>
  <c r="R57" i="4" s="1"/>
  <c r="H76" i="24"/>
  <c r="H75" i="24"/>
  <c r="H74" i="24"/>
  <c r="Q52" i="4" s="1"/>
  <c r="Q54" i="4" s="1"/>
  <c r="R51" i="4" s="1"/>
  <c r="G73" i="24"/>
  <c r="G51" i="24" s="1"/>
  <c r="F73" i="24"/>
  <c r="F51" i="24" s="1"/>
  <c r="E73" i="24"/>
  <c r="E51" i="24" s="1"/>
  <c r="D73" i="24"/>
  <c r="D51" i="24" s="1"/>
  <c r="C73" i="24"/>
  <c r="C51" i="24" s="1"/>
  <c r="B73" i="24"/>
  <c r="B51" i="24" s="1"/>
  <c r="H70" i="24"/>
  <c r="Q44" i="4" s="1"/>
  <c r="H69" i="24"/>
  <c r="Q43" i="4" s="1"/>
  <c r="G68" i="24"/>
  <c r="F68" i="24"/>
  <c r="E68" i="24"/>
  <c r="D68" i="24"/>
  <c r="C68" i="24"/>
  <c r="B68" i="24"/>
  <c r="G65" i="24"/>
  <c r="F65" i="24"/>
  <c r="E65" i="24"/>
  <c r="D65" i="24"/>
  <c r="C65" i="24"/>
  <c r="B65" i="24"/>
  <c r="H64" i="24"/>
  <c r="H63" i="24"/>
  <c r="H60" i="24"/>
  <c r="Q16" i="4" s="1"/>
  <c r="G59" i="24"/>
  <c r="F59" i="24"/>
  <c r="F56" i="24" s="1"/>
  <c r="F50" i="24" s="1"/>
  <c r="E59" i="24"/>
  <c r="D59" i="24"/>
  <c r="D56" i="24" s="1"/>
  <c r="C59" i="24"/>
  <c r="C56" i="24" s="1"/>
  <c r="B59" i="24"/>
  <c r="B56" i="24" s="1"/>
  <c r="H58" i="24"/>
  <c r="Q9" i="4" s="1"/>
  <c r="H57" i="24"/>
  <c r="Q8" i="4" s="1"/>
  <c r="G56" i="24"/>
  <c r="E56" i="24"/>
  <c r="E50" i="24"/>
  <c r="D49" i="24"/>
  <c r="C49" i="24"/>
  <c r="G46" i="24"/>
  <c r="G49" i="24" s="1"/>
  <c r="F46" i="24"/>
  <c r="F49" i="24" s="1"/>
  <c r="E46" i="24"/>
  <c r="E49" i="24" s="1"/>
  <c r="D46" i="24"/>
  <c r="C46" i="24"/>
  <c r="B46" i="24"/>
  <c r="B49" i="24" s="1"/>
  <c r="H45" i="24"/>
  <c r="H44" i="24"/>
  <c r="G40" i="24"/>
  <c r="F40" i="24"/>
  <c r="E40" i="24"/>
  <c r="D40" i="24"/>
  <c r="C40" i="24"/>
  <c r="B40" i="24"/>
  <c r="B23" i="24"/>
  <c r="B33" i="24" s="1"/>
  <c r="D16" i="24"/>
  <c r="D17" i="24" s="1"/>
  <c r="C16" i="24"/>
  <c r="C17" i="24" s="1"/>
  <c r="B16" i="24"/>
  <c r="B17" i="24" s="1"/>
  <c r="F15" i="24"/>
  <c r="E15" i="24"/>
  <c r="F14" i="24"/>
  <c r="E14" i="24"/>
  <c r="G13" i="24"/>
  <c r="G12" i="24"/>
  <c r="G11" i="24"/>
  <c r="A1" i="24"/>
  <c r="H145" i="25"/>
  <c r="R72" i="42" s="1"/>
  <c r="A145" i="25"/>
  <c r="H144" i="25"/>
  <c r="R71" i="42" s="1"/>
  <c r="A144" i="25"/>
  <c r="H143" i="25"/>
  <c r="R70" i="42" s="1"/>
  <c r="A143" i="25"/>
  <c r="H142" i="25"/>
  <c r="R69" i="42" s="1"/>
  <c r="A142" i="25"/>
  <c r="H141" i="25"/>
  <c r="R68" i="42" s="1"/>
  <c r="A141" i="25"/>
  <c r="H140" i="25"/>
  <c r="R67" i="42" s="1"/>
  <c r="A140" i="25"/>
  <c r="H139" i="25"/>
  <c r="R66" i="42" s="1"/>
  <c r="A139" i="25"/>
  <c r="H138" i="25"/>
  <c r="R65" i="42" s="1"/>
  <c r="A138" i="25"/>
  <c r="H137" i="25"/>
  <c r="R64" i="42" s="1"/>
  <c r="A137" i="25"/>
  <c r="H136" i="25"/>
  <c r="R63" i="42" s="1"/>
  <c r="A136" i="25"/>
  <c r="G135" i="25"/>
  <c r="F135" i="25"/>
  <c r="E135" i="25"/>
  <c r="D135" i="25"/>
  <c r="D85" i="25" s="1"/>
  <c r="C135" i="25"/>
  <c r="C85" i="25" s="1"/>
  <c r="B135" i="25"/>
  <c r="B85" i="25" s="1"/>
  <c r="H132" i="25"/>
  <c r="R57" i="42" s="1"/>
  <c r="H131" i="25"/>
  <c r="H130" i="25"/>
  <c r="H129" i="25"/>
  <c r="H128" i="25"/>
  <c r="H127" i="25"/>
  <c r="H126" i="25"/>
  <c r="H125" i="25"/>
  <c r="H124" i="25"/>
  <c r="H123" i="25"/>
  <c r="H122" i="25"/>
  <c r="R28" i="42"/>
  <c r="H102" i="25"/>
  <c r="R27" i="42" s="1"/>
  <c r="G101" i="25"/>
  <c r="G84" i="25" s="1"/>
  <c r="F101" i="25"/>
  <c r="F84" i="25" s="1"/>
  <c r="E101" i="25"/>
  <c r="E84" i="25" s="1"/>
  <c r="D101" i="25"/>
  <c r="D84" i="25" s="1"/>
  <c r="D82" i="25" s="1"/>
  <c r="D52" i="25" s="1"/>
  <c r="C101" i="25"/>
  <c r="C84" i="25" s="1"/>
  <c r="B101" i="25"/>
  <c r="B84" i="25" s="1"/>
  <c r="H98" i="25"/>
  <c r="R21" i="42" s="1"/>
  <c r="H97" i="25"/>
  <c r="R20" i="42" s="1"/>
  <c r="H96" i="25"/>
  <c r="R19" i="42" s="1"/>
  <c r="H95" i="25"/>
  <c r="R18" i="42" s="1"/>
  <c r="H94" i="25"/>
  <c r="R17" i="42" s="1"/>
  <c r="H93" i="25"/>
  <c r="R16" i="42" s="1"/>
  <c r="H92" i="25"/>
  <c r="R15" i="42" s="1"/>
  <c r="H91" i="25"/>
  <c r="R14" i="42" s="1"/>
  <c r="H90" i="25"/>
  <c r="R13" i="42" s="1"/>
  <c r="H89" i="25"/>
  <c r="R12" i="42" s="1"/>
  <c r="H88" i="25"/>
  <c r="R11" i="42" s="1"/>
  <c r="H87" i="25"/>
  <c r="R10" i="42" s="1"/>
  <c r="H86" i="25"/>
  <c r="R9" i="42" s="1"/>
  <c r="G85" i="25"/>
  <c r="F85" i="25"/>
  <c r="E85" i="25"/>
  <c r="H83" i="25"/>
  <c r="R6" i="42" s="1"/>
  <c r="H79" i="25"/>
  <c r="R64" i="4" s="1"/>
  <c r="R66" i="4" s="1"/>
  <c r="S63" i="4" s="1"/>
  <c r="H78" i="25"/>
  <c r="H77" i="25"/>
  <c r="R58" i="4" s="1"/>
  <c r="R60" i="4" s="1"/>
  <c r="S57" i="4" s="1"/>
  <c r="H76" i="25"/>
  <c r="H75" i="25"/>
  <c r="H74" i="25"/>
  <c r="R52" i="4" s="1"/>
  <c r="R54" i="4" s="1"/>
  <c r="S51" i="4" s="1"/>
  <c r="G73" i="25"/>
  <c r="G51" i="25" s="1"/>
  <c r="F73" i="25"/>
  <c r="F51" i="25" s="1"/>
  <c r="E73" i="25"/>
  <c r="E51" i="25" s="1"/>
  <c r="D73" i="25"/>
  <c r="D51" i="25" s="1"/>
  <c r="C73" i="25"/>
  <c r="C51" i="25" s="1"/>
  <c r="B73" i="25"/>
  <c r="H70" i="25"/>
  <c r="R44" i="4" s="1"/>
  <c r="H69" i="25"/>
  <c r="G68" i="25"/>
  <c r="F68" i="25"/>
  <c r="E68" i="25"/>
  <c r="D68" i="25"/>
  <c r="C68" i="25"/>
  <c r="B68" i="25"/>
  <c r="G65" i="25"/>
  <c r="F65" i="25"/>
  <c r="E65" i="25"/>
  <c r="D65" i="25"/>
  <c r="C65" i="25"/>
  <c r="B65" i="25"/>
  <c r="H64" i="25"/>
  <c r="H63" i="25"/>
  <c r="R24" i="4" s="1"/>
  <c r="H60" i="25"/>
  <c r="R16" i="4" s="1"/>
  <c r="G59" i="25"/>
  <c r="F59" i="25"/>
  <c r="E59" i="25"/>
  <c r="E56" i="25" s="1"/>
  <c r="E50" i="25" s="1"/>
  <c r="D59" i="25"/>
  <c r="C59" i="25"/>
  <c r="C56" i="25" s="1"/>
  <c r="C50" i="25" s="1"/>
  <c r="B59" i="25"/>
  <c r="B56" i="25" s="1"/>
  <c r="B50" i="25" s="1"/>
  <c r="H58" i="25"/>
  <c r="R9" i="4" s="1"/>
  <c r="H57" i="25"/>
  <c r="G56" i="25"/>
  <c r="F56" i="25"/>
  <c r="D56" i="25"/>
  <c r="B51" i="25"/>
  <c r="G46" i="25"/>
  <c r="G49" i="25" s="1"/>
  <c r="F46" i="25"/>
  <c r="F49" i="25" s="1"/>
  <c r="E46" i="25"/>
  <c r="E49" i="25" s="1"/>
  <c r="D46" i="25"/>
  <c r="D49" i="25" s="1"/>
  <c r="C46" i="25"/>
  <c r="C49" i="25" s="1"/>
  <c r="B46" i="25"/>
  <c r="B49" i="25" s="1"/>
  <c r="H45" i="25"/>
  <c r="H44" i="25"/>
  <c r="H46" i="25" s="1"/>
  <c r="G40" i="25"/>
  <c r="F40" i="25"/>
  <c r="E40" i="25"/>
  <c r="D40" i="25"/>
  <c r="C40" i="25"/>
  <c r="B40" i="25"/>
  <c r="B23" i="25"/>
  <c r="B33" i="25" s="1"/>
  <c r="S28" i="1" s="1"/>
  <c r="R63" i="8" s="1"/>
  <c r="O85" i="8" s="1"/>
  <c r="D16" i="25"/>
  <c r="D17" i="25" s="1"/>
  <c r="C16" i="25"/>
  <c r="C17" i="25" s="1"/>
  <c r="B16" i="25"/>
  <c r="B17" i="25" s="1"/>
  <c r="F15" i="25"/>
  <c r="E15" i="25"/>
  <c r="F14" i="25"/>
  <c r="F16" i="25" s="1"/>
  <c r="F17" i="25" s="1"/>
  <c r="E14" i="25"/>
  <c r="G13" i="25"/>
  <c r="G12" i="25"/>
  <c r="G11" i="25"/>
  <c r="A1" i="25"/>
  <c r="H145" i="26"/>
  <c r="S72" i="42" s="1"/>
  <c r="A145" i="26"/>
  <c r="H144" i="26"/>
  <c r="S71" i="42" s="1"/>
  <c r="A144" i="26"/>
  <c r="H143" i="26"/>
  <c r="S70" i="42" s="1"/>
  <c r="A143" i="26"/>
  <c r="H142" i="26"/>
  <c r="S69" i="42" s="1"/>
  <c r="A142" i="26"/>
  <c r="H141" i="26"/>
  <c r="S68" i="42" s="1"/>
  <c r="A141" i="26"/>
  <c r="H140" i="26"/>
  <c r="S67" i="42" s="1"/>
  <c r="A140" i="26"/>
  <c r="H139" i="26"/>
  <c r="S66" i="42" s="1"/>
  <c r="A139" i="26"/>
  <c r="H138" i="26"/>
  <c r="S65" i="42" s="1"/>
  <c r="A138" i="26"/>
  <c r="H137" i="26"/>
  <c r="A137" i="26"/>
  <c r="H136" i="26"/>
  <c r="S63" i="42" s="1"/>
  <c r="A136" i="26"/>
  <c r="G135" i="26"/>
  <c r="F135" i="26"/>
  <c r="E135" i="26"/>
  <c r="D135" i="26"/>
  <c r="C135" i="26"/>
  <c r="C85" i="26" s="1"/>
  <c r="B135" i="26"/>
  <c r="B85" i="26" s="1"/>
  <c r="H132" i="26"/>
  <c r="S57" i="42" s="1"/>
  <c r="H131" i="26"/>
  <c r="H130" i="26"/>
  <c r="H129" i="26"/>
  <c r="H128" i="26"/>
  <c r="H127" i="26"/>
  <c r="H126" i="26"/>
  <c r="H125" i="26"/>
  <c r="H124" i="26"/>
  <c r="H123" i="26"/>
  <c r="H122" i="26"/>
  <c r="S28" i="42"/>
  <c r="H102" i="26"/>
  <c r="S27" i="42" s="1"/>
  <c r="G101" i="26"/>
  <c r="G84" i="26" s="1"/>
  <c r="F101" i="26"/>
  <c r="F84" i="26" s="1"/>
  <c r="E101" i="26"/>
  <c r="E84" i="26" s="1"/>
  <c r="D101" i="26"/>
  <c r="D84" i="26" s="1"/>
  <c r="C101" i="26"/>
  <c r="C84" i="26" s="1"/>
  <c r="B101" i="26"/>
  <c r="B84" i="26" s="1"/>
  <c r="H98" i="26"/>
  <c r="S21" i="42" s="1"/>
  <c r="H97" i="26"/>
  <c r="S20" i="42" s="1"/>
  <c r="H96" i="26"/>
  <c r="S19" i="42" s="1"/>
  <c r="H95" i="26"/>
  <c r="S18" i="42" s="1"/>
  <c r="H94" i="26"/>
  <c r="S17" i="42" s="1"/>
  <c r="H93" i="26"/>
  <c r="S16" i="42" s="1"/>
  <c r="H92" i="26"/>
  <c r="S15" i="42" s="1"/>
  <c r="H91" i="26"/>
  <c r="S14" i="42" s="1"/>
  <c r="H90" i="26"/>
  <c r="S13" i="42" s="1"/>
  <c r="H89" i="26"/>
  <c r="S12" i="42" s="1"/>
  <c r="H88" i="26"/>
  <c r="S11" i="42" s="1"/>
  <c r="H87" i="26"/>
  <c r="S10" i="42" s="1"/>
  <c r="H86" i="26"/>
  <c r="S9" i="42" s="1"/>
  <c r="G85" i="26"/>
  <c r="F85" i="26"/>
  <c r="E85" i="26"/>
  <c r="D85" i="26"/>
  <c r="H83" i="26"/>
  <c r="S6" i="42" s="1"/>
  <c r="H79" i="26"/>
  <c r="S64" i="4" s="1"/>
  <c r="S66" i="4" s="1"/>
  <c r="T63" i="4" s="1"/>
  <c r="H78" i="26"/>
  <c r="H77" i="26"/>
  <c r="S58" i="4" s="1"/>
  <c r="S60" i="4" s="1"/>
  <c r="T57" i="4" s="1"/>
  <c r="H76" i="26"/>
  <c r="H75" i="26"/>
  <c r="H74" i="26"/>
  <c r="S52" i="4" s="1"/>
  <c r="S54" i="4" s="1"/>
  <c r="T51" i="4" s="1"/>
  <c r="G73" i="26"/>
  <c r="G51" i="26" s="1"/>
  <c r="F73" i="26"/>
  <c r="F51" i="26" s="1"/>
  <c r="E73" i="26"/>
  <c r="E51" i="26" s="1"/>
  <c r="D73" i="26"/>
  <c r="C73" i="26"/>
  <c r="C51" i="26" s="1"/>
  <c r="B73" i="26"/>
  <c r="B51" i="26" s="1"/>
  <c r="H70" i="26"/>
  <c r="S44" i="4" s="1"/>
  <c r="H69" i="26"/>
  <c r="G68" i="26"/>
  <c r="F68" i="26"/>
  <c r="E68" i="26"/>
  <c r="E50" i="26" s="1"/>
  <c r="D68" i="26"/>
  <c r="C68" i="26"/>
  <c r="B68" i="26"/>
  <c r="G65" i="26"/>
  <c r="F65" i="26"/>
  <c r="E65" i="26"/>
  <c r="D65" i="26"/>
  <c r="C65" i="26"/>
  <c r="B65" i="26"/>
  <c r="H64" i="26"/>
  <c r="H63" i="26"/>
  <c r="H60" i="26"/>
  <c r="S16" i="4" s="1"/>
  <c r="G59" i="26"/>
  <c r="G56" i="26" s="1"/>
  <c r="F59" i="26"/>
  <c r="F56" i="26" s="1"/>
  <c r="F50" i="26" s="1"/>
  <c r="E59" i="26"/>
  <c r="E56" i="26" s="1"/>
  <c r="D59" i="26"/>
  <c r="C59" i="26"/>
  <c r="B59" i="26"/>
  <c r="B56" i="26" s="1"/>
  <c r="H58" i="26"/>
  <c r="S9" i="4" s="1"/>
  <c r="H57" i="26"/>
  <c r="S8" i="4" s="1"/>
  <c r="D56" i="26"/>
  <c r="D50" i="26" s="1"/>
  <c r="C56" i="26"/>
  <c r="D51" i="26"/>
  <c r="G49" i="26"/>
  <c r="G46" i="26"/>
  <c r="F46" i="26"/>
  <c r="F49" i="26" s="1"/>
  <c r="E46" i="26"/>
  <c r="E49" i="26" s="1"/>
  <c r="D46" i="26"/>
  <c r="D49" i="26" s="1"/>
  <c r="C46" i="26"/>
  <c r="C49" i="26" s="1"/>
  <c r="B46" i="26"/>
  <c r="B49" i="26" s="1"/>
  <c r="H45" i="26"/>
  <c r="H44" i="26"/>
  <c r="G40" i="26"/>
  <c r="F40" i="26"/>
  <c r="E40" i="26"/>
  <c r="D40" i="26"/>
  <c r="C40" i="26"/>
  <c r="B40" i="26"/>
  <c r="B23" i="26"/>
  <c r="E16" i="26"/>
  <c r="E17" i="26" s="1"/>
  <c r="D16" i="26"/>
  <c r="D17" i="26" s="1"/>
  <c r="C16" i="26"/>
  <c r="C17" i="26" s="1"/>
  <c r="B16" i="26"/>
  <c r="B17" i="26" s="1"/>
  <c r="F15" i="26"/>
  <c r="E15" i="26"/>
  <c r="F14" i="26"/>
  <c r="E14" i="26"/>
  <c r="G13" i="26"/>
  <c r="G12" i="26"/>
  <c r="G11" i="26"/>
  <c r="A1" i="26"/>
  <c r="H145" i="27"/>
  <c r="T72" i="42" s="1"/>
  <c r="A145" i="27"/>
  <c r="H144" i="27"/>
  <c r="T71" i="42" s="1"/>
  <c r="A144" i="27"/>
  <c r="H143" i="27"/>
  <c r="T70" i="42" s="1"/>
  <c r="A143" i="27"/>
  <c r="H142" i="27"/>
  <c r="T69" i="42" s="1"/>
  <c r="A142" i="27"/>
  <c r="H141" i="27"/>
  <c r="T68" i="42" s="1"/>
  <c r="A141" i="27"/>
  <c r="H140" i="27"/>
  <c r="T67" i="42" s="1"/>
  <c r="A140" i="27"/>
  <c r="H139" i="27"/>
  <c r="T66" i="42" s="1"/>
  <c r="A139" i="27"/>
  <c r="H138" i="27"/>
  <c r="T65" i="42" s="1"/>
  <c r="A138" i="27"/>
  <c r="H137" i="27"/>
  <c r="T64" i="42" s="1"/>
  <c r="A137" i="27"/>
  <c r="H136" i="27"/>
  <c r="A136" i="27"/>
  <c r="G135" i="27"/>
  <c r="F135" i="27"/>
  <c r="F85" i="27" s="1"/>
  <c r="E135" i="27"/>
  <c r="E85" i="27" s="1"/>
  <c r="D135" i="27"/>
  <c r="D85" i="27" s="1"/>
  <c r="C135" i="27"/>
  <c r="B135" i="27"/>
  <c r="B85" i="27" s="1"/>
  <c r="H132" i="27"/>
  <c r="T57" i="42" s="1"/>
  <c r="H131" i="27"/>
  <c r="H130" i="27"/>
  <c r="H129" i="27"/>
  <c r="H128" i="27"/>
  <c r="H127" i="27"/>
  <c r="H126" i="27"/>
  <c r="H125" i="27"/>
  <c r="H124" i="27"/>
  <c r="H123" i="27"/>
  <c r="H122" i="27"/>
  <c r="T28" i="42"/>
  <c r="H102" i="27"/>
  <c r="T27" i="42" s="1"/>
  <c r="G101" i="27"/>
  <c r="G84" i="27" s="1"/>
  <c r="F101" i="27"/>
  <c r="F84" i="27" s="1"/>
  <c r="F82" i="27" s="1"/>
  <c r="F52" i="27" s="1"/>
  <c r="E101" i="27"/>
  <c r="E84" i="27" s="1"/>
  <c r="D101" i="27"/>
  <c r="D84" i="27" s="1"/>
  <c r="C101" i="27"/>
  <c r="C84" i="27" s="1"/>
  <c r="B101" i="27"/>
  <c r="B84" i="27" s="1"/>
  <c r="H98" i="27"/>
  <c r="T21" i="42" s="1"/>
  <c r="H97" i="27"/>
  <c r="T20" i="42" s="1"/>
  <c r="H96" i="27"/>
  <c r="T19" i="42" s="1"/>
  <c r="H95" i="27"/>
  <c r="T18" i="42" s="1"/>
  <c r="H94" i="27"/>
  <c r="T17" i="42" s="1"/>
  <c r="H93" i="27"/>
  <c r="T16" i="42" s="1"/>
  <c r="H92" i="27"/>
  <c r="T15" i="42" s="1"/>
  <c r="H91" i="27"/>
  <c r="T14" i="42" s="1"/>
  <c r="H90" i="27"/>
  <c r="T13" i="42" s="1"/>
  <c r="H89" i="27"/>
  <c r="T12" i="42" s="1"/>
  <c r="H88" i="27"/>
  <c r="T11" i="42" s="1"/>
  <c r="H87" i="27"/>
  <c r="T10" i="42" s="1"/>
  <c r="H86" i="27"/>
  <c r="T9" i="42" s="1"/>
  <c r="G85" i="27"/>
  <c r="C85" i="27"/>
  <c r="H83" i="27"/>
  <c r="T6" i="42" s="1"/>
  <c r="H79" i="27"/>
  <c r="T64" i="4" s="1"/>
  <c r="T66" i="4" s="1"/>
  <c r="U63" i="4" s="1"/>
  <c r="H78" i="27"/>
  <c r="H77" i="27"/>
  <c r="T58" i="4" s="1"/>
  <c r="T60" i="4" s="1"/>
  <c r="U57" i="4" s="1"/>
  <c r="H76" i="27"/>
  <c r="H75" i="27"/>
  <c r="H74" i="27"/>
  <c r="T52" i="4" s="1"/>
  <c r="T54" i="4" s="1"/>
  <c r="U51" i="4" s="1"/>
  <c r="G73" i="27"/>
  <c r="G51" i="27" s="1"/>
  <c r="F73" i="27"/>
  <c r="F51" i="27" s="1"/>
  <c r="E73" i="27"/>
  <c r="D73" i="27"/>
  <c r="D51" i="27" s="1"/>
  <c r="C73" i="27"/>
  <c r="C51" i="27" s="1"/>
  <c r="B73" i="27"/>
  <c r="B51" i="27" s="1"/>
  <c r="H70" i="27"/>
  <c r="T44" i="4" s="1"/>
  <c r="H69" i="27"/>
  <c r="G68" i="27"/>
  <c r="F68" i="27"/>
  <c r="E68" i="27"/>
  <c r="D68" i="27"/>
  <c r="C68" i="27"/>
  <c r="B68" i="27"/>
  <c r="G65" i="27"/>
  <c r="F65" i="27"/>
  <c r="E65" i="27"/>
  <c r="D65" i="27"/>
  <c r="C65" i="27"/>
  <c r="B65" i="27"/>
  <c r="H64" i="27"/>
  <c r="H63" i="27"/>
  <c r="H60" i="27"/>
  <c r="T16" i="4" s="1"/>
  <c r="G59" i="27"/>
  <c r="G56" i="27" s="1"/>
  <c r="F59" i="27"/>
  <c r="F56" i="27" s="1"/>
  <c r="E59" i="27"/>
  <c r="E56" i="27" s="1"/>
  <c r="E50" i="27" s="1"/>
  <c r="D59" i="27"/>
  <c r="C59" i="27"/>
  <c r="C56" i="27" s="1"/>
  <c r="C50" i="27" s="1"/>
  <c r="B59" i="27"/>
  <c r="B56" i="27" s="1"/>
  <c r="B50" i="27" s="1"/>
  <c r="H58" i="27"/>
  <c r="T9" i="4" s="1"/>
  <c r="H57" i="27"/>
  <c r="D56" i="27"/>
  <c r="E51" i="27"/>
  <c r="G46" i="27"/>
  <c r="G49" i="27" s="1"/>
  <c r="F46" i="27"/>
  <c r="F49" i="27" s="1"/>
  <c r="E46" i="27"/>
  <c r="E49" i="27" s="1"/>
  <c r="D46" i="27"/>
  <c r="D49" i="27" s="1"/>
  <c r="C46" i="27"/>
  <c r="C49" i="27" s="1"/>
  <c r="B46" i="27"/>
  <c r="B49" i="27" s="1"/>
  <c r="H45" i="27"/>
  <c r="H44" i="27"/>
  <c r="G40" i="27"/>
  <c r="F40" i="27"/>
  <c r="E40" i="27"/>
  <c r="D40" i="27"/>
  <c r="C40" i="27"/>
  <c r="B40" i="27"/>
  <c r="B23" i="27"/>
  <c r="B33" i="27" s="1"/>
  <c r="F17" i="27"/>
  <c r="D16" i="27"/>
  <c r="D17" i="27" s="1"/>
  <c r="C16" i="27"/>
  <c r="C17" i="27" s="1"/>
  <c r="B16" i="27"/>
  <c r="B17" i="27" s="1"/>
  <c r="F15" i="27"/>
  <c r="E15" i="27"/>
  <c r="F14" i="27"/>
  <c r="F16" i="27" s="1"/>
  <c r="E14" i="27"/>
  <c r="G13" i="27"/>
  <c r="G12" i="27"/>
  <c r="G11" i="27"/>
  <c r="A1" i="27"/>
  <c r="H145" i="28"/>
  <c r="U72" i="42" s="1"/>
  <c r="A145" i="28"/>
  <c r="H144" i="28"/>
  <c r="U71" i="42" s="1"/>
  <c r="A144" i="28"/>
  <c r="H143" i="28"/>
  <c r="U70" i="42" s="1"/>
  <c r="A143" i="28"/>
  <c r="H142" i="28"/>
  <c r="U69" i="42" s="1"/>
  <c r="A142" i="28"/>
  <c r="H141" i="28"/>
  <c r="U68" i="42" s="1"/>
  <c r="A141" i="28"/>
  <c r="H140" i="28"/>
  <c r="U67" i="42" s="1"/>
  <c r="A140" i="28"/>
  <c r="H139" i="28"/>
  <c r="U66" i="42" s="1"/>
  <c r="A139" i="28"/>
  <c r="H138" i="28"/>
  <c r="U65" i="42" s="1"/>
  <c r="A138" i="28"/>
  <c r="H137" i="28"/>
  <c r="U64" i="42" s="1"/>
  <c r="A137" i="28"/>
  <c r="H136" i="28"/>
  <c r="A136" i="28"/>
  <c r="G135" i="28"/>
  <c r="F135" i="28"/>
  <c r="F85" i="28" s="1"/>
  <c r="E135" i="28"/>
  <c r="E85" i="28" s="1"/>
  <c r="D135" i="28"/>
  <c r="D85" i="28" s="1"/>
  <c r="C135" i="28"/>
  <c r="C85" i="28" s="1"/>
  <c r="B135" i="28"/>
  <c r="B85" i="28" s="1"/>
  <c r="H132" i="28"/>
  <c r="U57" i="42" s="1"/>
  <c r="H131" i="28"/>
  <c r="H130" i="28"/>
  <c r="H129" i="28"/>
  <c r="H128" i="28"/>
  <c r="H127" i="28"/>
  <c r="H126" i="28"/>
  <c r="H125" i="28"/>
  <c r="H124" i="28"/>
  <c r="H123" i="28"/>
  <c r="H122" i="28"/>
  <c r="U28" i="42"/>
  <c r="H102" i="28"/>
  <c r="U27" i="42" s="1"/>
  <c r="G101" i="28"/>
  <c r="G84" i="28" s="1"/>
  <c r="F101" i="28"/>
  <c r="F84" i="28" s="1"/>
  <c r="E101" i="28"/>
  <c r="E84" i="28" s="1"/>
  <c r="D101" i="28"/>
  <c r="D84" i="28" s="1"/>
  <c r="D82" i="28" s="1"/>
  <c r="D52" i="28" s="1"/>
  <c r="C101" i="28"/>
  <c r="C84" i="28" s="1"/>
  <c r="C82" i="28" s="1"/>
  <c r="C52" i="28" s="1"/>
  <c r="B101" i="28"/>
  <c r="B84" i="28" s="1"/>
  <c r="H98" i="28"/>
  <c r="U21" i="42" s="1"/>
  <c r="H97" i="28"/>
  <c r="U20" i="42" s="1"/>
  <c r="H96" i="28"/>
  <c r="U19" i="42" s="1"/>
  <c r="H95" i="28"/>
  <c r="U18" i="42" s="1"/>
  <c r="H94" i="28"/>
  <c r="U17" i="42" s="1"/>
  <c r="H93" i="28"/>
  <c r="U16" i="42" s="1"/>
  <c r="H92" i="28"/>
  <c r="U15" i="42" s="1"/>
  <c r="H91" i="28"/>
  <c r="U14" i="42" s="1"/>
  <c r="H90" i="28"/>
  <c r="U13" i="42" s="1"/>
  <c r="H89" i="28"/>
  <c r="U12" i="42" s="1"/>
  <c r="H88" i="28"/>
  <c r="U11" i="42" s="1"/>
  <c r="H87" i="28"/>
  <c r="U10" i="42" s="1"/>
  <c r="H86" i="28"/>
  <c r="U9" i="42" s="1"/>
  <c r="G85" i="28"/>
  <c r="H83" i="28"/>
  <c r="U6" i="42" s="1"/>
  <c r="H79" i="28"/>
  <c r="U64" i="4" s="1"/>
  <c r="U66" i="4" s="1"/>
  <c r="V63" i="4" s="1"/>
  <c r="H78" i="28"/>
  <c r="H77" i="28"/>
  <c r="U58" i="4" s="1"/>
  <c r="U60" i="4" s="1"/>
  <c r="V57" i="4" s="1"/>
  <c r="H76" i="28"/>
  <c r="H75" i="28"/>
  <c r="H74" i="28"/>
  <c r="U52" i="4" s="1"/>
  <c r="U54" i="4" s="1"/>
  <c r="V51" i="4" s="1"/>
  <c r="G73" i="28"/>
  <c r="G51" i="28" s="1"/>
  <c r="F73" i="28"/>
  <c r="F51" i="28" s="1"/>
  <c r="E73" i="28"/>
  <c r="D73" i="28"/>
  <c r="D51" i="28" s="1"/>
  <c r="C73" i="28"/>
  <c r="B73" i="28"/>
  <c r="H70" i="28"/>
  <c r="U44" i="4" s="1"/>
  <c r="H69" i="28"/>
  <c r="U43" i="4" s="1"/>
  <c r="G68" i="28"/>
  <c r="F68" i="28"/>
  <c r="E68" i="28"/>
  <c r="D68" i="28"/>
  <c r="C68" i="28"/>
  <c r="B68" i="28"/>
  <c r="G65" i="28"/>
  <c r="F65" i="28"/>
  <c r="E65" i="28"/>
  <c r="D65" i="28"/>
  <c r="C65" i="28"/>
  <c r="B65" i="28"/>
  <c r="H64" i="28"/>
  <c r="H63" i="28"/>
  <c r="H60" i="28"/>
  <c r="U16" i="4" s="1"/>
  <c r="G59" i="28"/>
  <c r="F59" i="28"/>
  <c r="F56" i="28" s="1"/>
  <c r="E59" i="28"/>
  <c r="E56" i="28" s="1"/>
  <c r="E50" i="28" s="1"/>
  <c r="D59" i="28"/>
  <c r="C59" i="28"/>
  <c r="C56" i="28" s="1"/>
  <c r="C50" i="28" s="1"/>
  <c r="B59" i="28"/>
  <c r="H58" i="28"/>
  <c r="U9" i="4" s="1"/>
  <c r="H57" i="28"/>
  <c r="G56" i="28"/>
  <c r="D56" i="28"/>
  <c r="B56" i="28"/>
  <c r="B50" i="28" s="1"/>
  <c r="E51" i="28"/>
  <c r="C51" i="28"/>
  <c r="B51" i="28"/>
  <c r="G46" i="28"/>
  <c r="G49" i="28" s="1"/>
  <c r="F46" i="28"/>
  <c r="F49" i="28" s="1"/>
  <c r="E46" i="28"/>
  <c r="E49" i="28" s="1"/>
  <c r="D46" i="28"/>
  <c r="D49" i="28" s="1"/>
  <c r="C46" i="28"/>
  <c r="C49" i="28" s="1"/>
  <c r="B46" i="28"/>
  <c r="B49" i="28" s="1"/>
  <c r="H45" i="28"/>
  <c r="H44" i="28"/>
  <c r="G40" i="28"/>
  <c r="F40" i="28"/>
  <c r="E40" i="28"/>
  <c r="D40" i="28"/>
  <c r="C40" i="28"/>
  <c r="B40" i="28"/>
  <c r="B23" i="28"/>
  <c r="B33" i="28" s="1"/>
  <c r="D16" i="28"/>
  <c r="D17" i="28" s="1"/>
  <c r="C16" i="28"/>
  <c r="C17" i="28" s="1"/>
  <c r="B16" i="28"/>
  <c r="B17" i="28" s="1"/>
  <c r="F15" i="28"/>
  <c r="E15" i="28"/>
  <c r="E16" i="28" s="1"/>
  <c r="E17" i="28" s="1"/>
  <c r="F14" i="28"/>
  <c r="F16" i="28" s="1"/>
  <c r="F17" i="28" s="1"/>
  <c r="E14" i="28"/>
  <c r="G13" i="28"/>
  <c r="G12" i="28"/>
  <c r="L12" i="28"/>
  <c r="I13" i="28" s="1"/>
  <c r="L13" i="28" s="1"/>
  <c r="G11" i="28"/>
  <c r="A1" i="28"/>
  <c r="H145" i="29"/>
  <c r="V72" i="42" s="1"/>
  <c r="A145" i="29"/>
  <c r="H144" i="29"/>
  <c r="V71" i="42" s="1"/>
  <c r="A144" i="29"/>
  <c r="H143" i="29"/>
  <c r="V70" i="42" s="1"/>
  <c r="A143" i="29"/>
  <c r="H142" i="29"/>
  <c r="V69" i="42" s="1"/>
  <c r="A142" i="29"/>
  <c r="H141" i="29"/>
  <c r="V68" i="42" s="1"/>
  <c r="A141" i="29"/>
  <c r="H140" i="29"/>
  <c r="V67" i="42" s="1"/>
  <c r="A140" i="29"/>
  <c r="H139" i="29"/>
  <c r="V66" i="42" s="1"/>
  <c r="A139" i="29"/>
  <c r="H138" i="29"/>
  <c r="V65" i="42" s="1"/>
  <c r="A138" i="29"/>
  <c r="H137" i="29"/>
  <c r="V64" i="42" s="1"/>
  <c r="A137" i="29"/>
  <c r="H136" i="29"/>
  <c r="V63" i="42" s="1"/>
  <c r="A136" i="29"/>
  <c r="G135" i="29"/>
  <c r="F135" i="29"/>
  <c r="F85" i="29" s="1"/>
  <c r="E135" i="29"/>
  <c r="E85" i="29" s="1"/>
  <c r="D135" i="29"/>
  <c r="C135" i="29"/>
  <c r="C85" i="29" s="1"/>
  <c r="B135" i="29"/>
  <c r="H132" i="29"/>
  <c r="V57" i="42" s="1"/>
  <c r="H131" i="29"/>
  <c r="H130" i="29"/>
  <c r="H129" i="29"/>
  <c r="H128" i="29"/>
  <c r="H127" i="29"/>
  <c r="H126" i="29"/>
  <c r="H125" i="29"/>
  <c r="H124" i="29"/>
  <c r="H123" i="29"/>
  <c r="H122" i="29"/>
  <c r="V28" i="42"/>
  <c r="H102" i="29"/>
  <c r="G101" i="29"/>
  <c r="G84" i="29" s="1"/>
  <c r="G82" i="29" s="1"/>
  <c r="G52" i="29" s="1"/>
  <c r="F101" i="29"/>
  <c r="F84" i="29" s="1"/>
  <c r="E101" i="29"/>
  <c r="E84" i="29" s="1"/>
  <c r="D101" i="29"/>
  <c r="D84" i="29" s="1"/>
  <c r="C101" i="29"/>
  <c r="C84" i="29" s="1"/>
  <c r="C82" i="29" s="1"/>
  <c r="C52" i="29" s="1"/>
  <c r="B101" i="29"/>
  <c r="B84" i="29" s="1"/>
  <c r="H98" i="29"/>
  <c r="V21" i="42" s="1"/>
  <c r="H97" i="29"/>
  <c r="V20" i="42" s="1"/>
  <c r="H96" i="29"/>
  <c r="V19" i="42" s="1"/>
  <c r="H95" i="29"/>
  <c r="V18" i="42" s="1"/>
  <c r="H94" i="29"/>
  <c r="V17" i="42" s="1"/>
  <c r="H93" i="29"/>
  <c r="V16" i="42" s="1"/>
  <c r="H92" i="29"/>
  <c r="V15" i="42" s="1"/>
  <c r="H91" i="29"/>
  <c r="V14" i="42" s="1"/>
  <c r="H90" i="29"/>
  <c r="V13" i="42" s="1"/>
  <c r="H89" i="29"/>
  <c r="V12" i="42" s="1"/>
  <c r="H88" i="29"/>
  <c r="V11" i="42" s="1"/>
  <c r="H87" i="29"/>
  <c r="V10" i="42" s="1"/>
  <c r="H86" i="29"/>
  <c r="V9" i="42" s="1"/>
  <c r="G85" i="29"/>
  <c r="D85" i="29"/>
  <c r="D82" i="29" s="1"/>
  <c r="D52" i="29" s="1"/>
  <c r="B85" i="29"/>
  <c r="H83" i="29"/>
  <c r="V6" i="42" s="1"/>
  <c r="H79" i="29"/>
  <c r="V64" i="4" s="1"/>
  <c r="V66" i="4" s="1"/>
  <c r="W63" i="4" s="1"/>
  <c r="H78" i="29"/>
  <c r="H77" i="29"/>
  <c r="V58" i="4" s="1"/>
  <c r="V60" i="4" s="1"/>
  <c r="W57" i="4" s="1"/>
  <c r="H76" i="29"/>
  <c r="H75" i="29"/>
  <c r="H74" i="29"/>
  <c r="V52" i="4" s="1"/>
  <c r="V54" i="4" s="1"/>
  <c r="W51" i="4" s="1"/>
  <c r="G73" i="29"/>
  <c r="F73" i="29"/>
  <c r="E73" i="29"/>
  <c r="D73" i="29"/>
  <c r="D51" i="29" s="1"/>
  <c r="C73" i="29"/>
  <c r="C51" i="29" s="1"/>
  <c r="B73" i="29"/>
  <c r="B51" i="29" s="1"/>
  <c r="H70" i="29"/>
  <c r="V44" i="4" s="1"/>
  <c r="H69" i="29"/>
  <c r="G68" i="29"/>
  <c r="F68" i="29"/>
  <c r="F50" i="29" s="1"/>
  <c r="E68" i="29"/>
  <c r="D68" i="29"/>
  <c r="C68" i="29"/>
  <c r="B68" i="29"/>
  <c r="G65" i="29"/>
  <c r="F65" i="29"/>
  <c r="E65" i="29"/>
  <c r="D65" i="29"/>
  <c r="C65" i="29"/>
  <c r="B65" i="29"/>
  <c r="H64" i="29"/>
  <c r="H63" i="29"/>
  <c r="H60" i="29"/>
  <c r="V16" i="4" s="1"/>
  <c r="G59" i="29"/>
  <c r="F59" i="29"/>
  <c r="E59" i="29"/>
  <c r="E56" i="29" s="1"/>
  <c r="E50" i="29" s="1"/>
  <c r="D59" i="29"/>
  <c r="C59" i="29"/>
  <c r="C56" i="29" s="1"/>
  <c r="C50" i="29" s="1"/>
  <c r="B59" i="29"/>
  <c r="B56" i="29" s="1"/>
  <c r="H58" i="29"/>
  <c r="V9" i="4" s="1"/>
  <c r="H57" i="29"/>
  <c r="V8" i="4" s="1"/>
  <c r="G56" i="29"/>
  <c r="F56" i="29"/>
  <c r="D56" i="29"/>
  <c r="G51" i="29"/>
  <c r="F51" i="29"/>
  <c r="E51" i="29"/>
  <c r="G46" i="29"/>
  <c r="G49" i="29" s="1"/>
  <c r="F46" i="29"/>
  <c r="F49" i="29" s="1"/>
  <c r="E46" i="29"/>
  <c r="E49" i="29" s="1"/>
  <c r="D46" i="29"/>
  <c r="D49" i="29" s="1"/>
  <c r="C46" i="29"/>
  <c r="C49" i="29" s="1"/>
  <c r="B46" i="29"/>
  <c r="B49" i="29" s="1"/>
  <c r="H45" i="29"/>
  <c r="H44" i="29"/>
  <c r="G40" i="29"/>
  <c r="F40" i="29"/>
  <c r="E40" i="29"/>
  <c r="D40" i="29"/>
  <c r="C40" i="29"/>
  <c r="B40" i="29"/>
  <c r="B23" i="29"/>
  <c r="D16" i="29"/>
  <c r="D17" i="29" s="1"/>
  <c r="C16" i="29"/>
  <c r="C17" i="29" s="1"/>
  <c r="B16" i="29"/>
  <c r="B17" i="29" s="1"/>
  <c r="F15" i="29"/>
  <c r="E15" i="29"/>
  <c r="E16" i="29" s="1"/>
  <c r="E17" i="29" s="1"/>
  <c r="F14" i="29"/>
  <c r="E14" i="29"/>
  <c r="G13" i="29"/>
  <c r="G12" i="29"/>
  <c r="G11" i="29"/>
  <c r="A1" i="29"/>
  <c r="H145" i="30"/>
  <c r="W72" i="42" s="1"/>
  <c r="A145" i="30"/>
  <c r="H144" i="30"/>
  <c r="W71" i="42" s="1"/>
  <c r="A144" i="30"/>
  <c r="H143" i="30"/>
  <c r="W70" i="42" s="1"/>
  <c r="A143" i="30"/>
  <c r="H142" i="30"/>
  <c r="W69" i="42" s="1"/>
  <c r="A142" i="30"/>
  <c r="H141" i="30"/>
  <c r="W68" i="42" s="1"/>
  <c r="A141" i="30"/>
  <c r="H140" i="30"/>
  <c r="W67" i="42" s="1"/>
  <c r="A140" i="30"/>
  <c r="H139" i="30"/>
  <c r="W66" i="42" s="1"/>
  <c r="A139" i="30"/>
  <c r="H138" i="30"/>
  <c r="W65" i="42" s="1"/>
  <c r="A138" i="30"/>
  <c r="H137" i="30"/>
  <c r="W64" i="42" s="1"/>
  <c r="A137" i="30"/>
  <c r="H136" i="30"/>
  <c r="W63" i="42" s="1"/>
  <c r="A136" i="30"/>
  <c r="G135" i="30"/>
  <c r="F135" i="30"/>
  <c r="F85" i="30" s="1"/>
  <c r="E135" i="30"/>
  <c r="E85" i="30" s="1"/>
  <c r="D135" i="30"/>
  <c r="D85" i="30" s="1"/>
  <c r="C135" i="30"/>
  <c r="C85" i="30" s="1"/>
  <c r="B135" i="30"/>
  <c r="B85" i="30" s="1"/>
  <c r="H132" i="30"/>
  <c r="W57" i="42" s="1"/>
  <c r="H131" i="30"/>
  <c r="H130" i="30"/>
  <c r="H129" i="30"/>
  <c r="H128" i="30"/>
  <c r="H127" i="30"/>
  <c r="H126" i="30"/>
  <c r="H125" i="30"/>
  <c r="H124" i="30"/>
  <c r="H123" i="30"/>
  <c r="H122" i="30"/>
  <c r="W28" i="42"/>
  <c r="H102" i="30"/>
  <c r="W27" i="42" s="1"/>
  <c r="G101" i="30"/>
  <c r="G84" i="30" s="1"/>
  <c r="F101" i="30"/>
  <c r="F84" i="30" s="1"/>
  <c r="E101" i="30"/>
  <c r="E84" i="30" s="1"/>
  <c r="D101" i="30"/>
  <c r="D84" i="30" s="1"/>
  <c r="C101" i="30"/>
  <c r="B101" i="30"/>
  <c r="H98" i="30"/>
  <c r="W21" i="42" s="1"/>
  <c r="H97" i="30"/>
  <c r="W20" i="42" s="1"/>
  <c r="H96" i="30"/>
  <c r="W19" i="42" s="1"/>
  <c r="H95" i="30"/>
  <c r="W18" i="42" s="1"/>
  <c r="H94" i="30"/>
  <c r="W17" i="42" s="1"/>
  <c r="H93" i="30"/>
  <c r="W16" i="42" s="1"/>
  <c r="H92" i="30"/>
  <c r="W15" i="42" s="1"/>
  <c r="H91" i="30"/>
  <c r="W14" i="42" s="1"/>
  <c r="H90" i="30"/>
  <c r="W13" i="42" s="1"/>
  <c r="H89" i="30"/>
  <c r="W12" i="42" s="1"/>
  <c r="H88" i="30"/>
  <c r="W11" i="42" s="1"/>
  <c r="H87" i="30"/>
  <c r="W10" i="42" s="1"/>
  <c r="H86" i="30"/>
  <c r="W9" i="42" s="1"/>
  <c r="G85" i="30"/>
  <c r="C84" i="30"/>
  <c r="B84" i="30"/>
  <c r="H83" i="30"/>
  <c r="W6" i="42" s="1"/>
  <c r="H79" i="30"/>
  <c r="W64" i="4" s="1"/>
  <c r="W66" i="4" s="1"/>
  <c r="X63" i="4" s="1"/>
  <c r="H78" i="30"/>
  <c r="H77" i="30"/>
  <c r="W58" i="4" s="1"/>
  <c r="W60" i="4" s="1"/>
  <c r="X57" i="4" s="1"/>
  <c r="H76" i="30"/>
  <c r="H75" i="30"/>
  <c r="H74" i="30"/>
  <c r="G73" i="30"/>
  <c r="G51" i="30" s="1"/>
  <c r="F73" i="30"/>
  <c r="F51" i="30" s="1"/>
  <c r="E73" i="30"/>
  <c r="E51" i="30" s="1"/>
  <c r="D73" i="30"/>
  <c r="C73" i="30"/>
  <c r="C51" i="30" s="1"/>
  <c r="B73" i="30"/>
  <c r="H70" i="30"/>
  <c r="W44" i="4" s="1"/>
  <c r="H69" i="30"/>
  <c r="W43" i="4" s="1"/>
  <c r="G68" i="30"/>
  <c r="F68" i="30"/>
  <c r="E68" i="30"/>
  <c r="E50" i="30" s="1"/>
  <c r="D68" i="30"/>
  <c r="C68" i="30"/>
  <c r="B68" i="30"/>
  <c r="G65" i="30"/>
  <c r="F65" i="30"/>
  <c r="E65" i="30"/>
  <c r="D65" i="30"/>
  <c r="C65" i="30"/>
  <c r="B65" i="30"/>
  <c r="H64" i="30"/>
  <c r="H63" i="30"/>
  <c r="H60" i="30"/>
  <c r="W16" i="4" s="1"/>
  <c r="G59" i="30"/>
  <c r="G56" i="30" s="1"/>
  <c r="F59" i="30"/>
  <c r="F56" i="30" s="1"/>
  <c r="F50" i="30" s="1"/>
  <c r="E59" i="30"/>
  <c r="E56" i="30" s="1"/>
  <c r="D59" i="30"/>
  <c r="D56" i="30" s="1"/>
  <c r="D50" i="30" s="1"/>
  <c r="C59" i="30"/>
  <c r="B59" i="30"/>
  <c r="B56" i="30" s="1"/>
  <c r="H58" i="30"/>
  <c r="W9" i="4" s="1"/>
  <c r="H57" i="30"/>
  <c r="C56" i="30"/>
  <c r="C50" i="30" s="1"/>
  <c r="D51" i="30"/>
  <c r="B51" i="30"/>
  <c r="B50" i="30"/>
  <c r="G46" i="30"/>
  <c r="G49" i="30" s="1"/>
  <c r="F46" i="30"/>
  <c r="F49" i="30" s="1"/>
  <c r="E46" i="30"/>
  <c r="E49" i="30" s="1"/>
  <c r="D46" i="30"/>
  <c r="D49" i="30" s="1"/>
  <c r="C46" i="30"/>
  <c r="C49" i="30" s="1"/>
  <c r="B46" i="30"/>
  <c r="B49" i="30" s="1"/>
  <c r="H45" i="30"/>
  <c r="H44" i="30"/>
  <c r="G40" i="30"/>
  <c r="F40" i="30"/>
  <c r="E40" i="30"/>
  <c r="D40" i="30"/>
  <c r="C40" i="30"/>
  <c r="B40" i="30"/>
  <c r="B23" i="30"/>
  <c r="C17" i="30"/>
  <c r="D16" i="30"/>
  <c r="D17" i="30" s="1"/>
  <c r="C16" i="30"/>
  <c r="B16" i="30"/>
  <c r="B17" i="30" s="1"/>
  <c r="F15" i="30"/>
  <c r="E15" i="30"/>
  <c r="F14" i="30"/>
  <c r="E14" i="30"/>
  <c r="G13" i="30"/>
  <c r="G12" i="30"/>
  <c r="L12" i="30"/>
  <c r="G11" i="30"/>
  <c r="A1" i="30"/>
  <c r="H145" i="31"/>
  <c r="X72" i="42" s="1"/>
  <c r="A145" i="31"/>
  <c r="H144" i="31"/>
  <c r="X71" i="42" s="1"/>
  <c r="A144" i="31"/>
  <c r="H143" i="31"/>
  <c r="X70" i="42" s="1"/>
  <c r="A143" i="31"/>
  <c r="H142" i="31"/>
  <c r="X69" i="42" s="1"/>
  <c r="A142" i="31"/>
  <c r="H141" i="31"/>
  <c r="X68" i="42" s="1"/>
  <c r="A141" i="31"/>
  <c r="H140" i="31"/>
  <c r="X67" i="42" s="1"/>
  <c r="A140" i="31"/>
  <c r="H139" i="31"/>
  <c r="X66" i="42" s="1"/>
  <c r="A139" i="31"/>
  <c r="H138" i="31"/>
  <c r="X65" i="42" s="1"/>
  <c r="A138" i="31"/>
  <c r="H137" i="31"/>
  <c r="X64" i="42" s="1"/>
  <c r="A137" i="31"/>
  <c r="H136" i="31"/>
  <c r="X63" i="42" s="1"/>
  <c r="A136" i="31"/>
  <c r="G135" i="31"/>
  <c r="G85" i="31" s="1"/>
  <c r="F135" i="31"/>
  <c r="F85" i="31" s="1"/>
  <c r="E135" i="31"/>
  <c r="E85" i="31" s="1"/>
  <c r="D135" i="31"/>
  <c r="D85" i="31" s="1"/>
  <c r="C135" i="31"/>
  <c r="C85" i="31" s="1"/>
  <c r="B135" i="31"/>
  <c r="B85" i="31" s="1"/>
  <c r="H132" i="31"/>
  <c r="X57" i="42" s="1"/>
  <c r="H131" i="31"/>
  <c r="H130" i="31"/>
  <c r="H129" i="31"/>
  <c r="H128" i="31"/>
  <c r="H127" i="31"/>
  <c r="H126" i="31"/>
  <c r="H125" i="31"/>
  <c r="H124" i="31"/>
  <c r="H123" i="31"/>
  <c r="H122" i="31"/>
  <c r="X28" i="42"/>
  <c r="H102" i="31"/>
  <c r="X27" i="42" s="1"/>
  <c r="G101" i="31"/>
  <c r="G84" i="31" s="1"/>
  <c r="F101" i="31"/>
  <c r="F84" i="31" s="1"/>
  <c r="E101" i="31"/>
  <c r="E84" i="31" s="1"/>
  <c r="D101" i="31"/>
  <c r="D84" i="31" s="1"/>
  <c r="C101" i="31"/>
  <c r="C84" i="31" s="1"/>
  <c r="B101" i="31"/>
  <c r="B84" i="31" s="1"/>
  <c r="H98" i="31"/>
  <c r="X21" i="42" s="1"/>
  <c r="H97" i="31"/>
  <c r="X20" i="42" s="1"/>
  <c r="H96" i="31"/>
  <c r="X19" i="42" s="1"/>
  <c r="H95" i="31"/>
  <c r="X18" i="42" s="1"/>
  <c r="H94" i="31"/>
  <c r="X17" i="42" s="1"/>
  <c r="H93" i="31"/>
  <c r="X16" i="42" s="1"/>
  <c r="H92" i="31"/>
  <c r="X15" i="42" s="1"/>
  <c r="H91" i="31"/>
  <c r="X14" i="42" s="1"/>
  <c r="H90" i="31"/>
  <c r="X13" i="42" s="1"/>
  <c r="H89" i="31"/>
  <c r="X12" i="42" s="1"/>
  <c r="H88" i="31"/>
  <c r="X11" i="42" s="1"/>
  <c r="H87" i="31"/>
  <c r="X10" i="42" s="1"/>
  <c r="H86" i="31"/>
  <c r="X9" i="42" s="1"/>
  <c r="H83" i="31"/>
  <c r="X6" i="42" s="1"/>
  <c r="H79" i="31"/>
  <c r="X64" i="4" s="1"/>
  <c r="X66" i="4" s="1"/>
  <c r="Y63" i="4" s="1"/>
  <c r="H78" i="31"/>
  <c r="H77" i="31"/>
  <c r="X58" i="4" s="1"/>
  <c r="X60" i="4" s="1"/>
  <c r="Y57" i="4" s="1"/>
  <c r="H76" i="31"/>
  <c r="H75" i="31"/>
  <c r="H74" i="31"/>
  <c r="X52" i="4" s="1"/>
  <c r="X54" i="4" s="1"/>
  <c r="Y51" i="4" s="1"/>
  <c r="G73" i="31"/>
  <c r="F73" i="31"/>
  <c r="F51" i="31" s="1"/>
  <c r="E73" i="31"/>
  <c r="D73" i="31"/>
  <c r="C73" i="31"/>
  <c r="C51" i="31" s="1"/>
  <c r="B73" i="31"/>
  <c r="B51" i="31" s="1"/>
  <c r="H70" i="31"/>
  <c r="X44" i="4" s="1"/>
  <c r="H69" i="31"/>
  <c r="X43" i="4" s="1"/>
  <c r="G68" i="31"/>
  <c r="F68" i="31"/>
  <c r="E68" i="31"/>
  <c r="D68" i="31"/>
  <c r="C68" i="31"/>
  <c r="B68" i="31"/>
  <c r="G65" i="31"/>
  <c r="F65" i="31"/>
  <c r="E65" i="31"/>
  <c r="D65" i="31"/>
  <c r="C65" i="31"/>
  <c r="B65" i="31"/>
  <c r="H64" i="31"/>
  <c r="H63" i="31"/>
  <c r="X24" i="4" s="1"/>
  <c r="H60" i="31"/>
  <c r="X16" i="4" s="1"/>
  <c r="G59" i="31"/>
  <c r="G56" i="31" s="1"/>
  <c r="F59" i="31"/>
  <c r="F56" i="31" s="1"/>
  <c r="E59" i="31"/>
  <c r="E56" i="31" s="1"/>
  <c r="E50" i="31" s="1"/>
  <c r="D59" i="31"/>
  <c r="D56" i="31" s="1"/>
  <c r="C59" i="31"/>
  <c r="C56" i="31" s="1"/>
  <c r="B59" i="31"/>
  <c r="B56" i="31" s="1"/>
  <c r="B50" i="31" s="1"/>
  <c r="H58" i="31"/>
  <c r="X9" i="4" s="1"/>
  <c r="H57" i="31"/>
  <c r="G51" i="31"/>
  <c r="E51" i="31"/>
  <c r="D51" i="31"/>
  <c r="G50" i="31"/>
  <c r="G46" i="31"/>
  <c r="G49" i="31" s="1"/>
  <c r="F46" i="31"/>
  <c r="F49" i="31" s="1"/>
  <c r="E46" i="31"/>
  <c r="E49" i="31" s="1"/>
  <c r="D46" i="31"/>
  <c r="D49" i="31" s="1"/>
  <c r="C46" i="31"/>
  <c r="C49" i="31" s="1"/>
  <c r="B46" i="31"/>
  <c r="B49" i="31" s="1"/>
  <c r="H45" i="31"/>
  <c r="H44" i="31"/>
  <c r="G40" i="31"/>
  <c r="F40" i="31"/>
  <c r="E40" i="31"/>
  <c r="D40" i="31"/>
  <c r="C40" i="31"/>
  <c r="B40" i="31"/>
  <c r="B23" i="31"/>
  <c r="B33" i="31" s="1"/>
  <c r="Y28" i="1" s="1"/>
  <c r="X63" i="8" s="1"/>
  <c r="O91" i="8" s="1"/>
  <c r="D16" i="31"/>
  <c r="D17" i="31" s="1"/>
  <c r="C16" i="31"/>
  <c r="C17" i="31" s="1"/>
  <c r="B16" i="31"/>
  <c r="B17" i="31" s="1"/>
  <c r="F15" i="31"/>
  <c r="E15" i="31"/>
  <c r="F14" i="31"/>
  <c r="E14" i="31"/>
  <c r="G13" i="31"/>
  <c r="G12" i="31"/>
  <c r="L12" i="31"/>
  <c r="J13" i="31" s="1"/>
  <c r="G11" i="31"/>
  <c r="A1" i="31"/>
  <c r="H145" i="32"/>
  <c r="Y72" i="42" s="1"/>
  <c r="A145" i="32"/>
  <c r="H144" i="32"/>
  <c r="Y71" i="42" s="1"/>
  <c r="A144" i="32"/>
  <c r="H143" i="32"/>
  <c r="Y70" i="42" s="1"/>
  <c r="A143" i="32"/>
  <c r="H142" i="32"/>
  <c r="Y69" i="42" s="1"/>
  <c r="A142" i="32"/>
  <c r="H141" i="32"/>
  <c r="Y68" i="42" s="1"/>
  <c r="A141" i="32"/>
  <c r="H140" i="32"/>
  <c r="Y67" i="42" s="1"/>
  <c r="A140" i="32"/>
  <c r="H139" i="32"/>
  <c r="Y66" i="42" s="1"/>
  <c r="A139" i="32"/>
  <c r="H138" i="32"/>
  <c r="Y65" i="42" s="1"/>
  <c r="A138" i="32"/>
  <c r="H137" i="32"/>
  <c r="Y64" i="42" s="1"/>
  <c r="A137" i="32"/>
  <c r="H136" i="32"/>
  <c r="Y63" i="42" s="1"/>
  <c r="Y73" i="42" s="1"/>
  <c r="A136" i="32"/>
  <c r="G135" i="32"/>
  <c r="G85" i="32" s="1"/>
  <c r="F135" i="32"/>
  <c r="F85" i="32" s="1"/>
  <c r="E135" i="32"/>
  <c r="E85" i="32" s="1"/>
  <c r="D135" i="32"/>
  <c r="D85" i="32" s="1"/>
  <c r="C135" i="32"/>
  <c r="C85" i="32" s="1"/>
  <c r="B135" i="32"/>
  <c r="B85" i="32" s="1"/>
  <c r="H132" i="32"/>
  <c r="Y57" i="42" s="1"/>
  <c r="H131" i="32"/>
  <c r="H130" i="32"/>
  <c r="H129" i="32"/>
  <c r="H128" i="32"/>
  <c r="H127" i="32"/>
  <c r="H126" i="32"/>
  <c r="H125" i="32"/>
  <c r="H124" i="32"/>
  <c r="H123" i="32"/>
  <c r="H122" i="32"/>
  <c r="Y28" i="42"/>
  <c r="H102" i="32"/>
  <c r="Y27" i="42" s="1"/>
  <c r="G101" i="32"/>
  <c r="G84" i="32" s="1"/>
  <c r="F101" i="32"/>
  <c r="F84" i="32" s="1"/>
  <c r="F82" i="32" s="1"/>
  <c r="F52" i="32" s="1"/>
  <c r="E101" i="32"/>
  <c r="E84" i="32" s="1"/>
  <c r="D101" i="32"/>
  <c r="C101" i="32"/>
  <c r="C84" i="32" s="1"/>
  <c r="B101" i="32"/>
  <c r="B84" i="32" s="1"/>
  <c r="H98" i="32"/>
  <c r="Y21" i="42" s="1"/>
  <c r="H97" i="32"/>
  <c r="Y20" i="42" s="1"/>
  <c r="H96" i="32"/>
  <c r="Y19" i="42" s="1"/>
  <c r="H95" i="32"/>
  <c r="Y18" i="42" s="1"/>
  <c r="H94" i="32"/>
  <c r="Y17" i="42" s="1"/>
  <c r="H93" i="32"/>
  <c r="Y16" i="42" s="1"/>
  <c r="H92" i="32"/>
  <c r="Y15" i="42" s="1"/>
  <c r="H91" i="32"/>
  <c r="Y14" i="42" s="1"/>
  <c r="H90" i="32"/>
  <c r="Y13" i="42" s="1"/>
  <c r="H89" i="32"/>
  <c r="Y12" i="42" s="1"/>
  <c r="H88" i="32"/>
  <c r="Y11" i="42" s="1"/>
  <c r="H87" i="32"/>
  <c r="Y10" i="42" s="1"/>
  <c r="H86" i="32"/>
  <c r="Y9" i="42" s="1"/>
  <c r="D84" i="32"/>
  <c r="H83" i="32"/>
  <c r="Y6" i="42" s="1"/>
  <c r="H79" i="32"/>
  <c r="Y64" i="4" s="1"/>
  <c r="Y66" i="4" s="1"/>
  <c r="Z63" i="4" s="1"/>
  <c r="H78" i="32"/>
  <c r="H77" i="32"/>
  <c r="Y58" i="4" s="1"/>
  <c r="Y60" i="4" s="1"/>
  <c r="Z57" i="4" s="1"/>
  <c r="H76" i="32"/>
  <c r="H75" i="32"/>
  <c r="H74" i="32"/>
  <c r="Y52" i="4" s="1"/>
  <c r="Y54" i="4" s="1"/>
  <c r="Z51" i="4" s="1"/>
  <c r="G73" i="32"/>
  <c r="G51" i="32" s="1"/>
  <c r="F73" i="32"/>
  <c r="F51" i="32" s="1"/>
  <c r="E73" i="32"/>
  <c r="D73" i="32"/>
  <c r="D51" i="32" s="1"/>
  <c r="C73" i="32"/>
  <c r="C51" i="32" s="1"/>
  <c r="B73" i="32"/>
  <c r="B51" i="32" s="1"/>
  <c r="H70" i="32"/>
  <c r="Y44" i="4" s="1"/>
  <c r="H69" i="32"/>
  <c r="G68" i="32"/>
  <c r="F68" i="32"/>
  <c r="E68" i="32"/>
  <c r="D68" i="32"/>
  <c r="C68" i="32"/>
  <c r="B68" i="32"/>
  <c r="G65" i="32"/>
  <c r="F65" i="32"/>
  <c r="E65" i="32"/>
  <c r="D65" i="32"/>
  <c r="C65" i="32"/>
  <c r="B65" i="32"/>
  <c r="H64" i="32"/>
  <c r="H63" i="32"/>
  <c r="Y24" i="4" s="1"/>
  <c r="H60" i="32"/>
  <c r="Y16" i="4" s="1"/>
  <c r="G59" i="32"/>
  <c r="G56" i="32" s="1"/>
  <c r="F59" i="32"/>
  <c r="F56" i="32" s="1"/>
  <c r="E59" i="32"/>
  <c r="E56" i="32" s="1"/>
  <c r="E50" i="32" s="1"/>
  <c r="D59" i="32"/>
  <c r="D56" i="32" s="1"/>
  <c r="D50" i="32" s="1"/>
  <c r="C59" i="32"/>
  <c r="B59" i="32"/>
  <c r="H58" i="32"/>
  <c r="Y9" i="4" s="1"/>
  <c r="H57" i="32"/>
  <c r="C56" i="32"/>
  <c r="C50" i="32" s="1"/>
  <c r="B56" i="32"/>
  <c r="B50" i="32" s="1"/>
  <c r="E51" i="32"/>
  <c r="D49" i="32"/>
  <c r="G46" i="32"/>
  <c r="G49" i="32" s="1"/>
  <c r="F46" i="32"/>
  <c r="F49" i="32" s="1"/>
  <c r="E46" i="32"/>
  <c r="E49" i="32" s="1"/>
  <c r="D46" i="32"/>
  <c r="C46" i="32"/>
  <c r="C49" i="32" s="1"/>
  <c r="B46" i="32"/>
  <c r="B49" i="32" s="1"/>
  <c r="H45" i="32"/>
  <c r="H44" i="32"/>
  <c r="G40" i="32"/>
  <c r="F40" i="32"/>
  <c r="E40" i="32"/>
  <c r="D40" i="32"/>
  <c r="C40" i="32"/>
  <c r="B40" i="32"/>
  <c r="B23" i="32"/>
  <c r="B33" i="32" s="1"/>
  <c r="C17" i="32"/>
  <c r="D16" i="32"/>
  <c r="D17" i="32" s="1"/>
  <c r="C16" i="32"/>
  <c r="B16" i="32"/>
  <c r="B17" i="32" s="1"/>
  <c r="F15" i="32"/>
  <c r="E15" i="32"/>
  <c r="E16" i="32" s="1"/>
  <c r="E17" i="32" s="1"/>
  <c r="F14" i="32"/>
  <c r="E14" i="32"/>
  <c r="G13" i="32"/>
  <c r="G12" i="32"/>
  <c r="G11" i="32"/>
  <c r="A1" i="32"/>
  <c r="H145" i="33"/>
  <c r="Z72" i="42" s="1"/>
  <c r="A145" i="33"/>
  <c r="H144" i="33"/>
  <c r="Z71" i="42" s="1"/>
  <c r="A144" i="33"/>
  <c r="H143" i="33"/>
  <c r="Z70" i="42" s="1"/>
  <c r="A143" i="33"/>
  <c r="H142" i="33"/>
  <c r="Z69" i="42" s="1"/>
  <c r="A142" i="33"/>
  <c r="H141" i="33"/>
  <c r="Z68" i="42" s="1"/>
  <c r="A141" i="33"/>
  <c r="H140" i="33"/>
  <c r="Z67" i="42" s="1"/>
  <c r="A140" i="33"/>
  <c r="H139" i="33"/>
  <c r="Z66" i="42" s="1"/>
  <c r="A139" i="33"/>
  <c r="H138" i="33"/>
  <c r="Z65" i="42" s="1"/>
  <c r="A138" i="33"/>
  <c r="H137" i="33"/>
  <c r="A137" i="33"/>
  <c r="H136" i="33"/>
  <c r="Z63" i="42" s="1"/>
  <c r="A136" i="33"/>
  <c r="G135" i="33"/>
  <c r="G85" i="33" s="1"/>
  <c r="F135" i="33"/>
  <c r="F85" i="33" s="1"/>
  <c r="E135" i="33"/>
  <c r="E85" i="33" s="1"/>
  <c r="D135" i="33"/>
  <c r="D85" i="33" s="1"/>
  <c r="C135" i="33"/>
  <c r="C85" i="33" s="1"/>
  <c r="C82" i="33" s="1"/>
  <c r="C52" i="33" s="1"/>
  <c r="B135" i="33"/>
  <c r="B85" i="33" s="1"/>
  <c r="H132" i="33"/>
  <c r="Z57" i="42" s="1"/>
  <c r="H131" i="33"/>
  <c r="H130" i="33"/>
  <c r="H129" i="33"/>
  <c r="H128" i="33"/>
  <c r="H127" i="33"/>
  <c r="H126" i="33"/>
  <c r="H125" i="33"/>
  <c r="H124" i="33"/>
  <c r="H123" i="33"/>
  <c r="H122" i="33"/>
  <c r="Z28" i="42"/>
  <c r="H102" i="33"/>
  <c r="G101" i="33"/>
  <c r="G84" i="33" s="1"/>
  <c r="F101" i="33"/>
  <c r="F84" i="33" s="1"/>
  <c r="E101" i="33"/>
  <c r="E84" i="33" s="1"/>
  <c r="D101" i="33"/>
  <c r="C101" i="33"/>
  <c r="C84" i="33" s="1"/>
  <c r="B101" i="33"/>
  <c r="B84" i="33" s="1"/>
  <c r="H98" i="33"/>
  <c r="Z21" i="42" s="1"/>
  <c r="H97" i="33"/>
  <c r="Z20" i="42" s="1"/>
  <c r="H96" i="33"/>
  <c r="Z19" i="42" s="1"/>
  <c r="H95" i="33"/>
  <c r="Z18" i="42" s="1"/>
  <c r="H94" i="33"/>
  <c r="Z17" i="42" s="1"/>
  <c r="H93" i="33"/>
  <c r="Z16" i="42" s="1"/>
  <c r="H92" i="33"/>
  <c r="Z15" i="42" s="1"/>
  <c r="H91" i="33"/>
  <c r="Z14" i="42" s="1"/>
  <c r="H90" i="33"/>
  <c r="Z13" i="42" s="1"/>
  <c r="H89" i="33"/>
  <c r="Z12" i="42" s="1"/>
  <c r="H88" i="33"/>
  <c r="Z11" i="42" s="1"/>
  <c r="H87" i="33"/>
  <c r="Z10" i="42" s="1"/>
  <c r="H86" i="33"/>
  <c r="Z9" i="42" s="1"/>
  <c r="D84" i="33"/>
  <c r="H83" i="33"/>
  <c r="Z6" i="42" s="1"/>
  <c r="H79" i="33"/>
  <c r="Z64" i="4" s="1"/>
  <c r="Z66" i="4" s="1"/>
  <c r="AA63" i="4" s="1"/>
  <c r="H78" i="33"/>
  <c r="H77" i="33"/>
  <c r="Z58" i="4" s="1"/>
  <c r="Z60" i="4" s="1"/>
  <c r="AA57" i="4" s="1"/>
  <c r="H76" i="33"/>
  <c r="H75" i="33"/>
  <c r="H74" i="33"/>
  <c r="Z52" i="4" s="1"/>
  <c r="Z54" i="4" s="1"/>
  <c r="AA51" i="4" s="1"/>
  <c r="G73" i="33"/>
  <c r="F73" i="33"/>
  <c r="F51" i="33" s="1"/>
  <c r="E73" i="33"/>
  <c r="E51" i="33" s="1"/>
  <c r="D73" i="33"/>
  <c r="C73" i="33"/>
  <c r="C51" i="33" s="1"/>
  <c r="B73" i="33"/>
  <c r="B51" i="33" s="1"/>
  <c r="H70" i="33"/>
  <c r="Z44" i="4" s="1"/>
  <c r="H69" i="33"/>
  <c r="G68" i="33"/>
  <c r="F68" i="33"/>
  <c r="E68" i="33"/>
  <c r="D68" i="33"/>
  <c r="C68" i="33"/>
  <c r="B68" i="33"/>
  <c r="G65" i="33"/>
  <c r="F65" i="33"/>
  <c r="E65" i="33"/>
  <c r="D65" i="33"/>
  <c r="C65" i="33"/>
  <c r="B65" i="33"/>
  <c r="H64" i="33"/>
  <c r="H63" i="33"/>
  <c r="H60" i="33"/>
  <c r="Z16" i="4" s="1"/>
  <c r="G59" i="33"/>
  <c r="G56" i="33" s="1"/>
  <c r="G50" i="33" s="1"/>
  <c r="F59" i="33"/>
  <c r="F56" i="33" s="1"/>
  <c r="E59" i="33"/>
  <c r="E56" i="33" s="1"/>
  <c r="E50" i="33" s="1"/>
  <c r="D59" i="33"/>
  <c r="D56" i="33" s="1"/>
  <c r="C59" i="33"/>
  <c r="C56" i="33" s="1"/>
  <c r="B59" i="33"/>
  <c r="B56" i="33" s="1"/>
  <c r="H58" i="33"/>
  <c r="Z9" i="4" s="1"/>
  <c r="H57" i="33"/>
  <c r="Z8" i="4" s="1"/>
  <c r="G51" i="33"/>
  <c r="D51" i="33"/>
  <c r="G46" i="33"/>
  <c r="G49" i="33" s="1"/>
  <c r="F46" i="33"/>
  <c r="F49" i="33" s="1"/>
  <c r="E46" i="33"/>
  <c r="E49" i="33" s="1"/>
  <c r="D46" i="33"/>
  <c r="D49" i="33" s="1"/>
  <c r="C46" i="33"/>
  <c r="C49" i="33" s="1"/>
  <c r="B46" i="33"/>
  <c r="B49" i="33" s="1"/>
  <c r="H45" i="33"/>
  <c r="H44" i="33"/>
  <c r="H46" i="33" s="1"/>
  <c r="G40" i="33"/>
  <c r="F40" i="33"/>
  <c r="E40" i="33"/>
  <c r="D40" i="33"/>
  <c r="C40" i="33"/>
  <c r="B40" i="33"/>
  <c r="B23" i="33"/>
  <c r="B33" i="33" s="1"/>
  <c r="D17" i="33"/>
  <c r="C17" i="33"/>
  <c r="D16" i="33"/>
  <c r="C16" i="33"/>
  <c r="B16" i="33"/>
  <c r="B17" i="33" s="1"/>
  <c r="F15" i="33"/>
  <c r="E15" i="33"/>
  <c r="F14" i="33"/>
  <c r="F16" i="33" s="1"/>
  <c r="F17" i="33" s="1"/>
  <c r="E14" i="33"/>
  <c r="E16" i="33" s="1"/>
  <c r="E17" i="33" s="1"/>
  <c r="G13" i="33"/>
  <c r="G12" i="33"/>
  <c r="L12" i="33"/>
  <c r="K13" i="33" s="1"/>
  <c r="G11" i="33"/>
  <c r="A1" i="33"/>
  <c r="H145" i="34"/>
  <c r="AA72" i="42" s="1"/>
  <c r="A145" i="34"/>
  <c r="H144" i="34"/>
  <c r="AA71" i="42" s="1"/>
  <c r="A144" i="34"/>
  <c r="H143" i="34"/>
  <c r="AA70" i="42" s="1"/>
  <c r="A143" i="34"/>
  <c r="H142" i="34"/>
  <c r="AA69" i="42" s="1"/>
  <c r="A142" i="34"/>
  <c r="H141" i="34"/>
  <c r="AA68" i="42" s="1"/>
  <c r="A141" i="34"/>
  <c r="H140" i="34"/>
  <c r="AA67" i="42" s="1"/>
  <c r="A140" i="34"/>
  <c r="H139" i="34"/>
  <c r="AA66" i="42" s="1"/>
  <c r="A139" i="34"/>
  <c r="H138" i="34"/>
  <c r="AA65" i="42" s="1"/>
  <c r="A138" i="34"/>
  <c r="H137" i="34"/>
  <c r="AA64" i="42" s="1"/>
  <c r="A137" i="34"/>
  <c r="H136" i="34"/>
  <c r="AA63" i="42" s="1"/>
  <c r="A136" i="34"/>
  <c r="G135" i="34"/>
  <c r="F135" i="34"/>
  <c r="E135" i="34"/>
  <c r="E85" i="34" s="1"/>
  <c r="D135" i="34"/>
  <c r="D85" i="34" s="1"/>
  <c r="C135" i="34"/>
  <c r="C85" i="34" s="1"/>
  <c r="B135" i="34"/>
  <c r="B85" i="34" s="1"/>
  <c r="H132" i="34"/>
  <c r="AA57" i="42" s="1"/>
  <c r="H131" i="34"/>
  <c r="H130" i="34"/>
  <c r="H129" i="34"/>
  <c r="H128" i="34"/>
  <c r="H127" i="34"/>
  <c r="H126" i="34"/>
  <c r="H125" i="34"/>
  <c r="H124" i="34"/>
  <c r="H123" i="34"/>
  <c r="H122" i="34"/>
  <c r="AA28" i="42"/>
  <c r="H102" i="34"/>
  <c r="AA27" i="42" s="1"/>
  <c r="G101" i="34"/>
  <c r="G84" i="34" s="1"/>
  <c r="F101" i="34"/>
  <c r="F84" i="34" s="1"/>
  <c r="E101" i="34"/>
  <c r="E84" i="34" s="1"/>
  <c r="D101" i="34"/>
  <c r="D84" i="34" s="1"/>
  <c r="C101" i="34"/>
  <c r="C84" i="34" s="1"/>
  <c r="B101" i="34"/>
  <c r="B84" i="34" s="1"/>
  <c r="H98" i="34"/>
  <c r="AA21" i="42" s="1"/>
  <c r="H97" i="34"/>
  <c r="AA20" i="42" s="1"/>
  <c r="H96" i="34"/>
  <c r="AA19" i="42" s="1"/>
  <c r="H95" i="34"/>
  <c r="AA18" i="42" s="1"/>
  <c r="H94" i="34"/>
  <c r="AA17" i="42" s="1"/>
  <c r="H93" i="34"/>
  <c r="AA16" i="42" s="1"/>
  <c r="H92" i="34"/>
  <c r="AA15" i="42" s="1"/>
  <c r="H91" i="34"/>
  <c r="AA14" i="42" s="1"/>
  <c r="H90" i="34"/>
  <c r="AA13" i="42" s="1"/>
  <c r="H89" i="34"/>
  <c r="AA12" i="42" s="1"/>
  <c r="H88" i="34"/>
  <c r="AA11" i="42" s="1"/>
  <c r="H87" i="34"/>
  <c r="AA10" i="42" s="1"/>
  <c r="H86" i="34"/>
  <c r="AA9" i="42" s="1"/>
  <c r="G85" i="34"/>
  <c r="F85" i="34"/>
  <c r="H83" i="34"/>
  <c r="AA6" i="42" s="1"/>
  <c r="H79" i="34"/>
  <c r="AA64" i="4" s="1"/>
  <c r="AA66" i="4" s="1"/>
  <c r="AB63" i="4" s="1"/>
  <c r="H78" i="34"/>
  <c r="H77" i="34"/>
  <c r="AA58" i="4" s="1"/>
  <c r="AA60" i="4" s="1"/>
  <c r="AB57" i="4" s="1"/>
  <c r="H76" i="34"/>
  <c r="H75" i="34"/>
  <c r="H74" i="34"/>
  <c r="AA52" i="4" s="1"/>
  <c r="AA54" i="4" s="1"/>
  <c r="AB51" i="4" s="1"/>
  <c r="G73" i="34"/>
  <c r="F73" i="34"/>
  <c r="E73" i="34"/>
  <c r="D73" i="34"/>
  <c r="C73" i="34"/>
  <c r="B73" i="34"/>
  <c r="H70" i="34"/>
  <c r="AA44" i="4" s="1"/>
  <c r="H69" i="34"/>
  <c r="G68" i="34"/>
  <c r="F68" i="34"/>
  <c r="E68" i="34"/>
  <c r="D68" i="34"/>
  <c r="C68" i="34"/>
  <c r="B68" i="34"/>
  <c r="G65" i="34"/>
  <c r="F65" i="34"/>
  <c r="E65" i="34"/>
  <c r="D65" i="34"/>
  <c r="C65" i="34"/>
  <c r="B65" i="34"/>
  <c r="H64" i="34"/>
  <c r="H63" i="34"/>
  <c r="AA24" i="4" s="1"/>
  <c r="H60" i="34"/>
  <c r="AA16" i="4" s="1"/>
  <c r="G59" i="34"/>
  <c r="G56" i="34" s="1"/>
  <c r="G50" i="34" s="1"/>
  <c r="F59" i="34"/>
  <c r="E59" i="34"/>
  <c r="E56" i="34" s="1"/>
  <c r="E50" i="34" s="1"/>
  <c r="D59" i="34"/>
  <c r="D56" i="34" s="1"/>
  <c r="C59" i="34"/>
  <c r="C56" i="34" s="1"/>
  <c r="B59" i="34"/>
  <c r="B56" i="34" s="1"/>
  <c r="B50" i="34" s="1"/>
  <c r="H58" i="34"/>
  <c r="AA9" i="4" s="1"/>
  <c r="H57" i="34"/>
  <c r="F56" i="34"/>
  <c r="G51" i="34"/>
  <c r="F51" i="34"/>
  <c r="E51" i="34"/>
  <c r="D51" i="34"/>
  <c r="C51" i="34"/>
  <c r="B51" i="34"/>
  <c r="G46" i="34"/>
  <c r="G49" i="34" s="1"/>
  <c r="F46" i="34"/>
  <c r="F49" i="34" s="1"/>
  <c r="E46" i="34"/>
  <c r="E49" i="34" s="1"/>
  <c r="D46" i="34"/>
  <c r="D49" i="34" s="1"/>
  <c r="C46" i="34"/>
  <c r="C49" i="34" s="1"/>
  <c r="B46" i="34"/>
  <c r="B49" i="34" s="1"/>
  <c r="H45" i="34"/>
  <c r="H44" i="34"/>
  <c r="G40" i="34"/>
  <c r="F40" i="34"/>
  <c r="E40" i="34"/>
  <c r="D40" i="34"/>
  <c r="C40" i="34"/>
  <c r="B40" i="34"/>
  <c r="B33" i="34"/>
  <c r="B23" i="34"/>
  <c r="F16" i="34"/>
  <c r="F17" i="34" s="1"/>
  <c r="D16" i="34"/>
  <c r="D17" i="34" s="1"/>
  <c r="C16" i="34"/>
  <c r="C17" i="34" s="1"/>
  <c r="B16" i="34"/>
  <c r="B17" i="34" s="1"/>
  <c r="F15" i="34"/>
  <c r="E15" i="34"/>
  <c r="F14" i="34"/>
  <c r="E14" i="34"/>
  <c r="E16" i="34" s="1"/>
  <c r="E17" i="34" s="1"/>
  <c r="G13" i="34"/>
  <c r="G12" i="34"/>
  <c r="L12" i="34"/>
  <c r="I13" i="34" s="1"/>
  <c r="L13" i="34" s="1"/>
  <c r="G11" i="34"/>
  <c r="A1" i="34"/>
  <c r="H145" i="35"/>
  <c r="AB72" i="42" s="1"/>
  <c r="A145" i="35"/>
  <c r="H144" i="35"/>
  <c r="AB71" i="42" s="1"/>
  <c r="A144" i="35"/>
  <c r="H143" i="35"/>
  <c r="AB70" i="42" s="1"/>
  <c r="A143" i="35"/>
  <c r="H142" i="35"/>
  <c r="AB69" i="42" s="1"/>
  <c r="A142" i="35"/>
  <c r="H141" i="35"/>
  <c r="AB68" i="42" s="1"/>
  <c r="A141" i="35"/>
  <c r="H140" i="35"/>
  <c r="AB67" i="42" s="1"/>
  <c r="A140" i="35"/>
  <c r="H139" i="35"/>
  <c r="AB66" i="42" s="1"/>
  <c r="A139" i="35"/>
  <c r="H138" i="35"/>
  <c r="AB65" i="42" s="1"/>
  <c r="A138" i="35"/>
  <c r="H137" i="35"/>
  <c r="AB64" i="42" s="1"/>
  <c r="A137" i="35"/>
  <c r="H136" i="35"/>
  <c r="A136" i="35"/>
  <c r="G135" i="35"/>
  <c r="F135" i="35"/>
  <c r="E135" i="35"/>
  <c r="E85" i="35" s="1"/>
  <c r="D135" i="35"/>
  <c r="C135" i="35"/>
  <c r="C85" i="35" s="1"/>
  <c r="B135" i="35"/>
  <c r="H132" i="35"/>
  <c r="AB57" i="42" s="1"/>
  <c r="H131" i="35"/>
  <c r="H130" i="35"/>
  <c r="H129" i="35"/>
  <c r="H128" i="35"/>
  <c r="H127" i="35"/>
  <c r="H126" i="35"/>
  <c r="H125" i="35"/>
  <c r="H124" i="35"/>
  <c r="H123" i="35"/>
  <c r="H122" i="35"/>
  <c r="AB28" i="42"/>
  <c r="H102" i="35"/>
  <c r="G101" i="35"/>
  <c r="G84" i="35" s="1"/>
  <c r="F101" i="35"/>
  <c r="F84" i="35" s="1"/>
  <c r="E101" i="35"/>
  <c r="E84" i="35" s="1"/>
  <c r="D101" i="35"/>
  <c r="D84" i="35" s="1"/>
  <c r="C101" i="35"/>
  <c r="C84" i="35" s="1"/>
  <c r="B101" i="35"/>
  <c r="B84" i="35" s="1"/>
  <c r="H98" i="35"/>
  <c r="AB21" i="42" s="1"/>
  <c r="H97" i="35"/>
  <c r="AB20" i="42" s="1"/>
  <c r="H96" i="35"/>
  <c r="AB19" i="42" s="1"/>
  <c r="H95" i="35"/>
  <c r="AB18" i="42" s="1"/>
  <c r="H94" i="35"/>
  <c r="AB17" i="42" s="1"/>
  <c r="H93" i="35"/>
  <c r="AB16" i="42" s="1"/>
  <c r="H92" i="35"/>
  <c r="AB15" i="42" s="1"/>
  <c r="H91" i="35"/>
  <c r="AB14" i="42" s="1"/>
  <c r="H90" i="35"/>
  <c r="AB13" i="42" s="1"/>
  <c r="H89" i="35"/>
  <c r="AB12" i="42" s="1"/>
  <c r="H88" i="35"/>
  <c r="AB11" i="42" s="1"/>
  <c r="H87" i="35"/>
  <c r="AB10" i="42" s="1"/>
  <c r="H86" i="35"/>
  <c r="AB9" i="42" s="1"/>
  <c r="G85" i="35"/>
  <c r="F85" i="35"/>
  <c r="D85" i="35"/>
  <c r="B85" i="35"/>
  <c r="H83" i="35"/>
  <c r="AB6" i="42" s="1"/>
  <c r="H79" i="35"/>
  <c r="AB64" i="4" s="1"/>
  <c r="AB66" i="4" s="1"/>
  <c r="AC63" i="4" s="1"/>
  <c r="H78" i="35"/>
  <c r="H77" i="35"/>
  <c r="AB58" i="4" s="1"/>
  <c r="AB60" i="4" s="1"/>
  <c r="AC57" i="4" s="1"/>
  <c r="H76" i="35"/>
  <c r="H75" i="35"/>
  <c r="H74" i="35"/>
  <c r="G73" i="35"/>
  <c r="F73" i="35"/>
  <c r="F51" i="35" s="1"/>
  <c r="E73" i="35"/>
  <c r="E51" i="35" s="1"/>
  <c r="D73" i="35"/>
  <c r="C73" i="35"/>
  <c r="C51" i="35" s="1"/>
  <c r="B73" i="35"/>
  <c r="H70" i="35"/>
  <c r="AB44" i="4" s="1"/>
  <c r="H69" i="35"/>
  <c r="G68" i="35"/>
  <c r="F68" i="35"/>
  <c r="E68" i="35"/>
  <c r="D68" i="35"/>
  <c r="C68" i="35"/>
  <c r="B68" i="35"/>
  <c r="G65" i="35"/>
  <c r="F65" i="35"/>
  <c r="E65" i="35"/>
  <c r="D65" i="35"/>
  <c r="C65" i="35"/>
  <c r="B65" i="35"/>
  <c r="H64" i="35"/>
  <c r="H63" i="35"/>
  <c r="AB24" i="4" s="1"/>
  <c r="H60" i="35"/>
  <c r="AB16" i="4" s="1"/>
  <c r="G59" i="35"/>
  <c r="G56" i="35" s="1"/>
  <c r="F59" i="35"/>
  <c r="F56" i="35" s="1"/>
  <c r="F50" i="35" s="1"/>
  <c r="E59" i="35"/>
  <c r="E56" i="35" s="1"/>
  <c r="E50" i="35" s="1"/>
  <c r="D59" i="35"/>
  <c r="D56" i="35" s="1"/>
  <c r="C59" i="35"/>
  <c r="C56" i="35" s="1"/>
  <c r="C50" i="35" s="1"/>
  <c r="B59" i="35"/>
  <c r="B56" i="35" s="1"/>
  <c r="H58" i="35"/>
  <c r="AB9" i="4" s="1"/>
  <c r="H57" i="35"/>
  <c r="G51" i="35"/>
  <c r="D51" i="35"/>
  <c r="B51" i="35"/>
  <c r="G46" i="35"/>
  <c r="G49" i="35" s="1"/>
  <c r="F46" i="35"/>
  <c r="F49" i="35" s="1"/>
  <c r="E46" i="35"/>
  <c r="E49" i="35" s="1"/>
  <c r="D46" i="35"/>
  <c r="D49" i="35" s="1"/>
  <c r="C46" i="35"/>
  <c r="C49" i="35" s="1"/>
  <c r="B46" i="35"/>
  <c r="B49" i="35" s="1"/>
  <c r="H45" i="35"/>
  <c r="H44" i="35"/>
  <c r="G40" i="35"/>
  <c r="F40" i="35"/>
  <c r="E40" i="35"/>
  <c r="D40" i="35"/>
  <c r="C40" i="35"/>
  <c r="B40" i="35"/>
  <c r="B23" i="35"/>
  <c r="B33" i="35" s="1"/>
  <c r="AC28" i="1" s="1"/>
  <c r="AB63" i="8" s="1"/>
  <c r="O95" i="8" s="1"/>
  <c r="D16" i="35"/>
  <c r="D17" i="35" s="1"/>
  <c r="C16" i="35"/>
  <c r="C17" i="35" s="1"/>
  <c r="B16" i="35"/>
  <c r="B17" i="35" s="1"/>
  <c r="F15" i="35"/>
  <c r="E15" i="35"/>
  <c r="F14" i="35"/>
  <c r="F16" i="35" s="1"/>
  <c r="F17" i="35" s="1"/>
  <c r="E14" i="35"/>
  <c r="E16" i="35" s="1"/>
  <c r="E17" i="35" s="1"/>
  <c r="G13" i="35"/>
  <c r="G12" i="35"/>
  <c r="L12" i="35"/>
  <c r="K13" i="35" s="1"/>
  <c r="G11" i="35"/>
  <c r="A1" i="35"/>
  <c r="H145" i="36"/>
  <c r="AC72" i="42" s="1"/>
  <c r="A145" i="36"/>
  <c r="H144" i="36"/>
  <c r="AC71" i="42" s="1"/>
  <c r="A144" i="36"/>
  <c r="H143" i="36"/>
  <c r="AC70" i="42" s="1"/>
  <c r="A143" i="36"/>
  <c r="H142" i="36"/>
  <c r="AC69" i="42" s="1"/>
  <c r="A142" i="36"/>
  <c r="H141" i="36"/>
  <c r="AC68" i="42" s="1"/>
  <c r="A141" i="36"/>
  <c r="H140" i="36"/>
  <c r="AC67" i="42" s="1"/>
  <c r="A140" i="36"/>
  <c r="H139" i="36"/>
  <c r="AC66" i="42" s="1"/>
  <c r="A139" i="36"/>
  <c r="H138" i="36"/>
  <c r="AC65" i="42" s="1"/>
  <c r="A138" i="36"/>
  <c r="H137" i="36"/>
  <c r="AC64" i="42" s="1"/>
  <c r="A137" i="36"/>
  <c r="H136" i="36"/>
  <c r="AC63" i="42" s="1"/>
  <c r="A136" i="36"/>
  <c r="G135" i="36"/>
  <c r="G85" i="36" s="1"/>
  <c r="F135" i="36"/>
  <c r="F85" i="36" s="1"/>
  <c r="E135" i="36"/>
  <c r="E85" i="36" s="1"/>
  <c r="D135" i="36"/>
  <c r="D85" i="36" s="1"/>
  <c r="C135" i="36"/>
  <c r="C85" i="36" s="1"/>
  <c r="B135" i="36"/>
  <c r="B85" i="36" s="1"/>
  <c r="H132" i="36"/>
  <c r="AC57" i="42" s="1"/>
  <c r="H131" i="36"/>
  <c r="H130" i="36"/>
  <c r="H129" i="36"/>
  <c r="H128" i="36"/>
  <c r="H127" i="36"/>
  <c r="H126" i="36"/>
  <c r="H125" i="36"/>
  <c r="H124" i="36"/>
  <c r="H123" i="36"/>
  <c r="H122" i="36"/>
  <c r="AC28" i="42"/>
  <c r="H102" i="36"/>
  <c r="AC27" i="42" s="1"/>
  <c r="G101" i="36"/>
  <c r="G84" i="36" s="1"/>
  <c r="F101" i="36"/>
  <c r="F84" i="36" s="1"/>
  <c r="F82" i="36" s="1"/>
  <c r="F52" i="36" s="1"/>
  <c r="E101" i="36"/>
  <c r="E84" i="36" s="1"/>
  <c r="D101" i="36"/>
  <c r="D84" i="36" s="1"/>
  <c r="C101" i="36"/>
  <c r="C84" i="36" s="1"/>
  <c r="B101" i="36"/>
  <c r="B84" i="36" s="1"/>
  <c r="H98" i="36"/>
  <c r="AC21" i="42" s="1"/>
  <c r="H97" i="36"/>
  <c r="AC20" i="42" s="1"/>
  <c r="H96" i="36"/>
  <c r="AC19" i="42" s="1"/>
  <c r="H95" i="36"/>
  <c r="AC18" i="42" s="1"/>
  <c r="H94" i="36"/>
  <c r="AC17" i="42" s="1"/>
  <c r="H93" i="36"/>
  <c r="AC16" i="42" s="1"/>
  <c r="H92" i="36"/>
  <c r="AC15" i="42" s="1"/>
  <c r="H91" i="36"/>
  <c r="AC14" i="42" s="1"/>
  <c r="H90" i="36"/>
  <c r="AC13" i="42" s="1"/>
  <c r="H89" i="36"/>
  <c r="AC12" i="42" s="1"/>
  <c r="H88" i="36"/>
  <c r="AC11" i="42" s="1"/>
  <c r="H87" i="36"/>
  <c r="AC10" i="42" s="1"/>
  <c r="H86" i="36"/>
  <c r="AC9" i="42" s="1"/>
  <c r="H83" i="36"/>
  <c r="AC6" i="42" s="1"/>
  <c r="H79" i="36"/>
  <c r="AC64" i="4" s="1"/>
  <c r="AC66" i="4" s="1"/>
  <c r="AD63" i="4" s="1"/>
  <c r="H78" i="36"/>
  <c r="H77" i="36"/>
  <c r="AC58" i="4" s="1"/>
  <c r="AC60" i="4" s="1"/>
  <c r="AD57" i="4" s="1"/>
  <c r="H76" i="36"/>
  <c r="H75" i="36"/>
  <c r="H74" i="36"/>
  <c r="AC52" i="4" s="1"/>
  <c r="AC54" i="4" s="1"/>
  <c r="AD51" i="4" s="1"/>
  <c r="G73" i="36"/>
  <c r="G51" i="36" s="1"/>
  <c r="F73" i="36"/>
  <c r="F51" i="36" s="1"/>
  <c r="E73" i="36"/>
  <c r="E51" i="36" s="1"/>
  <c r="D73" i="36"/>
  <c r="D51" i="36" s="1"/>
  <c r="C73" i="36"/>
  <c r="C51" i="36" s="1"/>
  <c r="B73" i="36"/>
  <c r="B51" i="36" s="1"/>
  <c r="H70" i="36"/>
  <c r="AC44" i="4" s="1"/>
  <c r="H69" i="36"/>
  <c r="AC43" i="4" s="1"/>
  <c r="G68" i="36"/>
  <c r="F68" i="36"/>
  <c r="E68" i="36"/>
  <c r="D68" i="36"/>
  <c r="D50" i="36" s="1"/>
  <c r="C68" i="36"/>
  <c r="B68" i="36"/>
  <c r="G65" i="36"/>
  <c r="F65" i="36"/>
  <c r="E65" i="36"/>
  <c r="D65" i="36"/>
  <c r="C65" i="36"/>
  <c r="B65" i="36"/>
  <c r="H64" i="36"/>
  <c r="H63" i="36"/>
  <c r="AC24" i="4" s="1"/>
  <c r="H60" i="36"/>
  <c r="AC16" i="4" s="1"/>
  <c r="G59" i="36"/>
  <c r="G56" i="36" s="1"/>
  <c r="F59" i="36"/>
  <c r="E59" i="36"/>
  <c r="E56" i="36" s="1"/>
  <c r="D59" i="36"/>
  <c r="D56" i="36" s="1"/>
  <c r="C59" i="36"/>
  <c r="C56" i="36" s="1"/>
  <c r="C50" i="36" s="1"/>
  <c r="B59" i="36"/>
  <c r="H58" i="36"/>
  <c r="AC9" i="4" s="1"/>
  <c r="H57" i="36"/>
  <c r="F56" i="36"/>
  <c r="B56" i="36"/>
  <c r="B50" i="36" s="1"/>
  <c r="F50" i="36"/>
  <c r="F49" i="36"/>
  <c r="G46" i="36"/>
  <c r="G49" i="36" s="1"/>
  <c r="F46" i="36"/>
  <c r="E46" i="36"/>
  <c r="E49" i="36" s="1"/>
  <c r="D46" i="36"/>
  <c r="D49" i="36" s="1"/>
  <c r="C46" i="36"/>
  <c r="C49" i="36" s="1"/>
  <c r="B46" i="36"/>
  <c r="B49" i="36" s="1"/>
  <c r="H45" i="36"/>
  <c r="H44" i="36"/>
  <c r="G40" i="36"/>
  <c r="F40" i="36"/>
  <c r="E40" i="36"/>
  <c r="D40" i="36"/>
  <c r="C40" i="36"/>
  <c r="B40" i="36"/>
  <c r="B23" i="36"/>
  <c r="B33" i="36" s="1"/>
  <c r="B17" i="36"/>
  <c r="D16" i="36"/>
  <c r="D17" i="36" s="1"/>
  <c r="C16" i="36"/>
  <c r="C17" i="36" s="1"/>
  <c r="B16" i="36"/>
  <c r="F15" i="36"/>
  <c r="E15" i="36"/>
  <c r="F14" i="36"/>
  <c r="E14" i="36"/>
  <c r="G13" i="36"/>
  <c r="G12" i="36"/>
  <c r="L12" i="36"/>
  <c r="I13" i="36" s="1"/>
  <c r="L13" i="36" s="1"/>
  <c r="G11" i="36"/>
  <c r="A1" i="36"/>
  <c r="H145" i="37"/>
  <c r="AD72" i="42" s="1"/>
  <c r="A145" i="37"/>
  <c r="H144" i="37"/>
  <c r="AD71" i="42" s="1"/>
  <c r="A144" i="37"/>
  <c r="H143" i="37"/>
  <c r="AD70" i="42" s="1"/>
  <c r="A143" i="37"/>
  <c r="H142" i="37"/>
  <c r="AD69" i="42" s="1"/>
  <c r="A142" i="37"/>
  <c r="H141" i="37"/>
  <c r="AD68" i="42" s="1"/>
  <c r="A141" i="37"/>
  <c r="H140" i="37"/>
  <c r="AD67" i="42" s="1"/>
  <c r="A140" i="37"/>
  <c r="H139" i="37"/>
  <c r="AD66" i="42" s="1"/>
  <c r="A139" i="37"/>
  <c r="H138" i="37"/>
  <c r="AD65" i="42" s="1"/>
  <c r="A138" i="37"/>
  <c r="H137" i="37"/>
  <c r="AD64" i="42" s="1"/>
  <c r="A137" i="37"/>
  <c r="H136" i="37"/>
  <c r="AD63" i="42" s="1"/>
  <c r="A136" i="37"/>
  <c r="G135" i="37"/>
  <c r="G85" i="37" s="1"/>
  <c r="F135" i="37"/>
  <c r="F85" i="37" s="1"/>
  <c r="E135" i="37"/>
  <c r="D135" i="37"/>
  <c r="D85" i="37" s="1"/>
  <c r="C135" i="37"/>
  <c r="C85" i="37" s="1"/>
  <c r="B135" i="37"/>
  <c r="B85" i="37" s="1"/>
  <c r="H132" i="37"/>
  <c r="AD57" i="42" s="1"/>
  <c r="H131" i="37"/>
  <c r="H130" i="37"/>
  <c r="H129" i="37"/>
  <c r="H128" i="37"/>
  <c r="H127" i="37"/>
  <c r="H126" i="37"/>
  <c r="H125" i="37"/>
  <c r="H124" i="37"/>
  <c r="H123" i="37"/>
  <c r="H122" i="37"/>
  <c r="AD28" i="42"/>
  <c r="H102" i="37"/>
  <c r="AD27" i="42" s="1"/>
  <c r="G101" i="37"/>
  <c r="G84" i="37" s="1"/>
  <c r="F101" i="37"/>
  <c r="F84" i="37" s="1"/>
  <c r="E101" i="37"/>
  <c r="E84" i="37" s="1"/>
  <c r="E82" i="37" s="1"/>
  <c r="E52" i="37" s="1"/>
  <c r="D101" i="37"/>
  <c r="D84" i="37" s="1"/>
  <c r="C101" i="37"/>
  <c r="C84" i="37" s="1"/>
  <c r="B101" i="37"/>
  <c r="B84" i="37" s="1"/>
  <c r="H98" i="37"/>
  <c r="AD21" i="42" s="1"/>
  <c r="H97" i="37"/>
  <c r="AD20" i="42" s="1"/>
  <c r="H96" i="37"/>
  <c r="AD19" i="42" s="1"/>
  <c r="H95" i="37"/>
  <c r="AD18" i="42" s="1"/>
  <c r="H94" i="37"/>
  <c r="AD17" i="42" s="1"/>
  <c r="H93" i="37"/>
  <c r="AD16" i="42" s="1"/>
  <c r="H92" i="37"/>
  <c r="AD15" i="42" s="1"/>
  <c r="H91" i="37"/>
  <c r="AD14" i="42" s="1"/>
  <c r="H90" i="37"/>
  <c r="AD13" i="42" s="1"/>
  <c r="H89" i="37"/>
  <c r="AD12" i="42" s="1"/>
  <c r="H88" i="37"/>
  <c r="AD11" i="42" s="1"/>
  <c r="H87" i="37"/>
  <c r="AD10" i="42" s="1"/>
  <c r="H86" i="37"/>
  <c r="AD9" i="42" s="1"/>
  <c r="E85" i="37"/>
  <c r="H83" i="37"/>
  <c r="AD6" i="42" s="1"/>
  <c r="H79" i="37"/>
  <c r="AD64" i="4" s="1"/>
  <c r="AD66" i="4" s="1"/>
  <c r="AE63" i="4" s="1"/>
  <c r="H78" i="37"/>
  <c r="H77" i="37"/>
  <c r="AD58" i="4" s="1"/>
  <c r="AD60" i="4" s="1"/>
  <c r="AE57" i="4" s="1"/>
  <c r="H76" i="37"/>
  <c r="H75" i="37"/>
  <c r="H74" i="37"/>
  <c r="AD52" i="4" s="1"/>
  <c r="AD54" i="4" s="1"/>
  <c r="AE51" i="4" s="1"/>
  <c r="G73" i="37"/>
  <c r="G51" i="37" s="1"/>
  <c r="F73" i="37"/>
  <c r="F51" i="37" s="1"/>
  <c r="E73" i="37"/>
  <c r="E51" i="37" s="1"/>
  <c r="D73" i="37"/>
  <c r="D51" i="37" s="1"/>
  <c r="C73" i="37"/>
  <c r="C51" i="37" s="1"/>
  <c r="B73" i="37"/>
  <c r="B51" i="37" s="1"/>
  <c r="H70" i="37"/>
  <c r="AD44" i="4" s="1"/>
  <c r="H69" i="37"/>
  <c r="AD43" i="4" s="1"/>
  <c r="G68" i="37"/>
  <c r="F68" i="37"/>
  <c r="F50" i="37" s="1"/>
  <c r="E68" i="37"/>
  <c r="D68" i="37"/>
  <c r="C68" i="37"/>
  <c r="B68" i="37"/>
  <c r="G65" i="37"/>
  <c r="F65" i="37"/>
  <c r="E65" i="37"/>
  <c r="D65" i="37"/>
  <c r="C65" i="37"/>
  <c r="B65" i="37"/>
  <c r="H64" i="37"/>
  <c r="H63" i="37"/>
  <c r="H60" i="37"/>
  <c r="AD16" i="4" s="1"/>
  <c r="G59" i="37"/>
  <c r="G56" i="37" s="1"/>
  <c r="F59" i="37"/>
  <c r="F56" i="37" s="1"/>
  <c r="E59" i="37"/>
  <c r="E56" i="37" s="1"/>
  <c r="E50" i="37" s="1"/>
  <c r="D59" i="37"/>
  <c r="D56" i="37" s="1"/>
  <c r="D50" i="37" s="1"/>
  <c r="C59" i="37"/>
  <c r="C56" i="37" s="1"/>
  <c r="B59" i="37"/>
  <c r="B56" i="37" s="1"/>
  <c r="B50" i="37" s="1"/>
  <c r="H58" i="37"/>
  <c r="AD9" i="4" s="1"/>
  <c r="H57" i="37"/>
  <c r="AD8" i="4" s="1"/>
  <c r="E49" i="37"/>
  <c r="G46" i="37"/>
  <c r="G49" i="37" s="1"/>
  <c r="F46" i="37"/>
  <c r="F49" i="37" s="1"/>
  <c r="E46" i="37"/>
  <c r="D46" i="37"/>
  <c r="D49" i="37" s="1"/>
  <c r="C46" i="37"/>
  <c r="C49" i="37" s="1"/>
  <c r="B46" i="37"/>
  <c r="B49" i="37" s="1"/>
  <c r="H45" i="37"/>
  <c r="H44" i="37"/>
  <c r="G40" i="37"/>
  <c r="F40" i="37"/>
  <c r="E40" i="37"/>
  <c r="D40" i="37"/>
  <c r="C40" i="37"/>
  <c r="B40" i="37"/>
  <c r="B23" i="37"/>
  <c r="B33" i="37" s="1"/>
  <c r="AE28" i="1" s="1"/>
  <c r="AD63" i="8" s="1"/>
  <c r="O97" i="8" s="1"/>
  <c r="D16" i="37"/>
  <c r="D17" i="37" s="1"/>
  <c r="C16" i="37"/>
  <c r="C17" i="37" s="1"/>
  <c r="B16" i="37"/>
  <c r="B17" i="37" s="1"/>
  <c r="F15" i="37"/>
  <c r="E15" i="37"/>
  <c r="F14" i="37"/>
  <c r="E14" i="37"/>
  <c r="G13" i="37"/>
  <c r="G12" i="37"/>
  <c r="G11" i="37"/>
  <c r="A1" i="37"/>
  <c r="H145" i="38"/>
  <c r="AE72" i="42" s="1"/>
  <c r="A145" i="38"/>
  <c r="H144" i="38"/>
  <c r="AE71" i="42" s="1"/>
  <c r="A144" i="38"/>
  <c r="H143" i="38"/>
  <c r="AE70" i="42" s="1"/>
  <c r="A143" i="38"/>
  <c r="H142" i="38"/>
  <c r="AE69" i="42" s="1"/>
  <c r="A142" i="38"/>
  <c r="H141" i="38"/>
  <c r="AE68" i="42" s="1"/>
  <c r="A141" i="38"/>
  <c r="H140" i="38"/>
  <c r="AE67" i="42" s="1"/>
  <c r="A140" i="38"/>
  <c r="H139" i="38"/>
  <c r="AE66" i="42" s="1"/>
  <c r="A139" i="38"/>
  <c r="H138" i="38"/>
  <c r="AE65" i="42" s="1"/>
  <c r="A138" i="38"/>
  <c r="H137" i="38"/>
  <c r="AE64" i="42" s="1"/>
  <c r="A137" i="38"/>
  <c r="H136" i="38"/>
  <c r="AE63" i="42" s="1"/>
  <c r="A136" i="38"/>
  <c r="G135" i="38"/>
  <c r="G85" i="38" s="1"/>
  <c r="F135" i="38"/>
  <c r="E135" i="38"/>
  <c r="E85" i="38" s="1"/>
  <c r="D135" i="38"/>
  <c r="D85" i="38" s="1"/>
  <c r="C135" i="38"/>
  <c r="C85" i="38" s="1"/>
  <c r="B135" i="38"/>
  <c r="H132" i="38"/>
  <c r="AE57" i="42" s="1"/>
  <c r="H131" i="38"/>
  <c r="H130" i="38"/>
  <c r="H129" i="38"/>
  <c r="H128" i="38"/>
  <c r="H127" i="38"/>
  <c r="H126" i="38"/>
  <c r="H125" i="38"/>
  <c r="H124" i="38"/>
  <c r="H123" i="38"/>
  <c r="H122" i="38"/>
  <c r="AE28" i="42"/>
  <c r="H102" i="38"/>
  <c r="AE27" i="42" s="1"/>
  <c r="G101" i="38"/>
  <c r="G84" i="38" s="1"/>
  <c r="F101" i="38"/>
  <c r="F84" i="38" s="1"/>
  <c r="E101" i="38"/>
  <c r="E84" i="38" s="1"/>
  <c r="D101" i="38"/>
  <c r="D84" i="38" s="1"/>
  <c r="D82" i="38" s="1"/>
  <c r="D52" i="38" s="1"/>
  <c r="C101" i="38"/>
  <c r="B101" i="38"/>
  <c r="B84" i="38" s="1"/>
  <c r="H98" i="38"/>
  <c r="AE21" i="42" s="1"/>
  <c r="H97" i="38"/>
  <c r="AE20" i="42" s="1"/>
  <c r="H96" i="38"/>
  <c r="AE19" i="42" s="1"/>
  <c r="H95" i="38"/>
  <c r="AE18" i="42" s="1"/>
  <c r="H94" i="38"/>
  <c r="AE17" i="42" s="1"/>
  <c r="H93" i="38"/>
  <c r="AE16" i="42" s="1"/>
  <c r="H92" i="38"/>
  <c r="AE15" i="42" s="1"/>
  <c r="H91" i="38"/>
  <c r="AE14" i="42" s="1"/>
  <c r="H90" i="38"/>
  <c r="AE13" i="42" s="1"/>
  <c r="H89" i="38"/>
  <c r="AE12" i="42" s="1"/>
  <c r="H88" i="38"/>
  <c r="AE11" i="42" s="1"/>
  <c r="H87" i="38"/>
  <c r="AE10" i="42" s="1"/>
  <c r="H86" i="38"/>
  <c r="AE9" i="42" s="1"/>
  <c r="F85" i="38"/>
  <c r="B85" i="38"/>
  <c r="C84" i="38"/>
  <c r="H83" i="38"/>
  <c r="AE6" i="42" s="1"/>
  <c r="H79" i="38"/>
  <c r="AE64" i="4" s="1"/>
  <c r="AE66" i="4" s="1"/>
  <c r="AF63" i="4" s="1"/>
  <c r="H78" i="38"/>
  <c r="H77" i="38"/>
  <c r="AE58" i="4" s="1"/>
  <c r="AE60" i="4" s="1"/>
  <c r="AF57" i="4" s="1"/>
  <c r="H76" i="38"/>
  <c r="H75" i="38"/>
  <c r="H74" i="38"/>
  <c r="AE52" i="4" s="1"/>
  <c r="AE54" i="4" s="1"/>
  <c r="AF51" i="4" s="1"/>
  <c r="G73" i="38"/>
  <c r="G51" i="38" s="1"/>
  <c r="F73" i="38"/>
  <c r="F51" i="38" s="1"/>
  <c r="E73" i="38"/>
  <c r="E51" i="38" s="1"/>
  <c r="D73" i="38"/>
  <c r="C73" i="38"/>
  <c r="B73" i="38"/>
  <c r="H70" i="38"/>
  <c r="AE44" i="4" s="1"/>
  <c r="H69" i="38"/>
  <c r="AE43" i="4" s="1"/>
  <c r="G68" i="38"/>
  <c r="F68" i="38"/>
  <c r="E68" i="38"/>
  <c r="D68" i="38"/>
  <c r="C68" i="38"/>
  <c r="B68" i="38"/>
  <c r="G65" i="38"/>
  <c r="F65" i="38"/>
  <c r="E65" i="38"/>
  <c r="D65" i="38"/>
  <c r="C65" i="38"/>
  <c r="B65" i="38"/>
  <c r="H64" i="38"/>
  <c r="H63" i="38"/>
  <c r="H60" i="38"/>
  <c r="AE16" i="4" s="1"/>
  <c r="G59" i="38"/>
  <c r="G56" i="38" s="1"/>
  <c r="F59" i="38"/>
  <c r="F56" i="38" s="1"/>
  <c r="E59" i="38"/>
  <c r="E56" i="38" s="1"/>
  <c r="E50" i="38" s="1"/>
  <c r="D59" i="38"/>
  <c r="D56" i="38" s="1"/>
  <c r="C59" i="38"/>
  <c r="C56" i="38" s="1"/>
  <c r="C50" i="38" s="1"/>
  <c r="B59" i="38"/>
  <c r="H58" i="38"/>
  <c r="AE9" i="4" s="1"/>
  <c r="H57" i="38"/>
  <c r="B56" i="38"/>
  <c r="D51" i="38"/>
  <c r="C51" i="38"/>
  <c r="B51" i="38"/>
  <c r="F50" i="38"/>
  <c r="G46" i="38"/>
  <c r="G49" i="38" s="1"/>
  <c r="F46" i="38"/>
  <c r="F49" i="38" s="1"/>
  <c r="E46" i="38"/>
  <c r="E49" i="38" s="1"/>
  <c r="D46" i="38"/>
  <c r="D49" i="38" s="1"/>
  <c r="C46" i="38"/>
  <c r="C49" i="38" s="1"/>
  <c r="B46" i="38"/>
  <c r="B49" i="38" s="1"/>
  <c r="H45" i="38"/>
  <c r="H44" i="38"/>
  <c r="G40" i="38"/>
  <c r="F40" i="38"/>
  <c r="E40" i="38"/>
  <c r="D40" i="38"/>
  <c r="C40" i="38"/>
  <c r="B40" i="38"/>
  <c r="B33" i="38"/>
  <c r="B26" i="38" s="1"/>
  <c r="B23" i="38"/>
  <c r="D16" i="38"/>
  <c r="D17" i="38" s="1"/>
  <c r="C16" i="38"/>
  <c r="C17" i="38" s="1"/>
  <c r="B16" i="38"/>
  <c r="B17" i="38" s="1"/>
  <c r="F15" i="38"/>
  <c r="E15" i="38"/>
  <c r="F14" i="38"/>
  <c r="E14" i="38"/>
  <c r="G13" i="38"/>
  <c r="G12" i="38"/>
  <c r="G11" i="38"/>
  <c r="A1" i="38"/>
  <c r="H145" i="39"/>
  <c r="AF72" i="42" s="1"/>
  <c r="A145" i="39"/>
  <c r="H144" i="39"/>
  <c r="AF71" i="42" s="1"/>
  <c r="A144" i="39"/>
  <c r="H143" i="39"/>
  <c r="AF70" i="42" s="1"/>
  <c r="A143" i="39"/>
  <c r="H142" i="39"/>
  <c r="AF69" i="42" s="1"/>
  <c r="A142" i="39"/>
  <c r="H141" i="39"/>
  <c r="AF68" i="42" s="1"/>
  <c r="A141" i="39"/>
  <c r="H140" i="39"/>
  <c r="AF67" i="42" s="1"/>
  <c r="A140" i="39"/>
  <c r="H139" i="39"/>
  <c r="AF66" i="42" s="1"/>
  <c r="A139" i="39"/>
  <c r="H138" i="39"/>
  <c r="AF65" i="42" s="1"/>
  <c r="A138" i="39"/>
  <c r="H137" i="39"/>
  <c r="AF64" i="42" s="1"/>
  <c r="A137" i="39"/>
  <c r="H136" i="39"/>
  <c r="AF63" i="42" s="1"/>
  <c r="A136" i="39"/>
  <c r="G135" i="39"/>
  <c r="F135" i="39"/>
  <c r="E135" i="39"/>
  <c r="E85" i="39" s="1"/>
  <c r="D135" i="39"/>
  <c r="D85" i="39" s="1"/>
  <c r="C135" i="39"/>
  <c r="C85" i="39" s="1"/>
  <c r="B135" i="39"/>
  <c r="B85" i="39" s="1"/>
  <c r="H132" i="39"/>
  <c r="AF57" i="42" s="1"/>
  <c r="H131" i="39"/>
  <c r="H130" i="39"/>
  <c r="H129" i="39"/>
  <c r="H128" i="39"/>
  <c r="H127" i="39"/>
  <c r="H126" i="39"/>
  <c r="H125" i="39"/>
  <c r="H124" i="39"/>
  <c r="H123" i="39"/>
  <c r="H122" i="39"/>
  <c r="AF28" i="42"/>
  <c r="H102" i="39"/>
  <c r="AF27" i="42" s="1"/>
  <c r="G101" i="39"/>
  <c r="G84" i="39" s="1"/>
  <c r="G82" i="39" s="1"/>
  <c r="G52" i="39" s="1"/>
  <c r="F101" i="39"/>
  <c r="F84" i="39" s="1"/>
  <c r="F82" i="39" s="1"/>
  <c r="F52" i="39" s="1"/>
  <c r="E101" i="39"/>
  <c r="E84" i="39" s="1"/>
  <c r="D101" i="39"/>
  <c r="D84" i="39" s="1"/>
  <c r="D82" i="39" s="1"/>
  <c r="D52" i="39" s="1"/>
  <c r="C101" i="39"/>
  <c r="C84" i="39" s="1"/>
  <c r="B101" i="39"/>
  <c r="H98" i="39"/>
  <c r="AF21" i="42" s="1"/>
  <c r="H97" i="39"/>
  <c r="AF20" i="42" s="1"/>
  <c r="H96" i="39"/>
  <c r="AF19" i="42" s="1"/>
  <c r="H95" i="39"/>
  <c r="AF18" i="42" s="1"/>
  <c r="H94" i="39"/>
  <c r="AF17" i="42" s="1"/>
  <c r="H93" i="39"/>
  <c r="AF16" i="42" s="1"/>
  <c r="H92" i="39"/>
  <c r="AF15" i="42" s="1"/>
  <c r="H91" i="39"/>
  <c r="AF14" i="42" s="1"/>
  <c r="H90" i="39"/>
  <c r="AF13" i="42" s="1"/>
  <c r="H89" i="39"/>
  <c r="AF12" i="42" s="1"/>
  <c r="H88" i="39"/>
  <c r="AF11" i="42" s="1"/>
  <c r="H87" i="39"/>
  <c r="AF10" i="42" s="1"/>
  <c r="H86" i="39"/>
  <c r="AF9" i="42" s="1"/>
  <c r="G85" i="39"/>
  <c r="F85" i="39"/>
  <c r="B84" i="39"/>
  <c r="H83" i="39"/>
  <c r="AF6" i="42" s="1"/>
  <c r="H79" i="39"/>
  <c r="AF64" i="4" s="1"/>
  <c r="AF66" i="4" s="1"/>
  <c r="H78" i="39"/>
  <c r="H77" i="39"/>
  <c r="AF58" i="4" s="1"/>
  <c r="AF60" i="4" s="1"/>
  <c r="H76" i="39"/>
  <c r="H75" i="39"/>
  <c r="H74" i="39"/>
  <c r="G73" i="39"/>
  <c r="G51" i="39" s="1"/>
  <c r="F73" i="39"/>
  <c r="E73" i="39"/>
  <c r="E51" i="39" s="1"/>
  <c r="D73" i="39"/>
  <c r="D51" i="39" s="1"/>
  <c r="C73" i="39"/>
  <c r="B73" i="39"/>
  <c r="B51" i="39" s="1"/>
  <c r="H70" i="39"/>
  <c r="AF44" i="4" s="1"/>
  <c r="H69" i="39"/>
  <c r="AF43" i="4" s="1"/>
  <c r="G68" i="39"/>
  <c r="F68" i="39"/>
  <c r="E68" i="39"/>
  <c r="D68" i="39"/>
  <c r="C68" i="39"/>
  <c r="B68" i="39"/>
  <c r="G65" i="39"/>
  <c r="F65" i="39"/>
  <c r="E65" i="39"/>
  <c r="D65" i="39"/>
  <c r="C65" i="39"/>
  <c r="B65" i="39"/>
  <c r="H64" i="39"/>
  <c r="H63" i="39"/>
  <c r="AF24" i="4" s="1"/>
  <c r="H60" i="39"/>
  <c r="AF16" i="4" s="1"/>
  <c r="G59" i="39"/>
  <c r="F59" i="39"/>
  <c r="E59" i="39"/>
  <c r="E56" i="39" s="1"/>
  <c r="D59" i="39"/>
  <c r="D56" i="39" s="1"/>
  <c r="C59" i="39"/>
  <c r="C56" i="39" s="1"/>
  <c r="C50" i="39" s="1"/>
  <c r="B59" i="39"/>
  <c r="B56" i="39" s="1"/>
  <c r="H58" i="39"/>
  <c r="AF9" i="4" s="1"/>
  <c r="H57" i="39"/>
  <c r="G56" i="39"/>
  <c r="F56" i="39"/>
  <c r="F50" i="39" s="1"/>
  <c r="F51" i="39"/>
  <c r="C51" i="39"/>
  <c r="G46" i="39"/>
  <c r="G49" i="39" s="1"/>
  <c r="F46" i="39"/>
  <c r="F49" i="39" s="1"/>
  <c r="E46" i="39"/>
  <c r="E49" i="39" s="1"/>
  <c r="D46" i="39"/>
  <c r="D49" i="39" s="1"/>
  <c r="C46" i="39"/>
  <c r="C49" i="39" s="1"/>
  <c r="B46" i="39"/>
  <c r="B49" i="39" s="1"/>
  <c r="H45" i="39"/>
  <c r="H44" i="39"/>
  <c r="H46" i="39" s="1"/>
  <c r="I46" i="39" s="1"/>
  <c r="G40" i="39"/>
  <c r="F40" i="39"/>
  <c r="E40" i="39"/>
  <c r="D40" i="39"/>
  <c r="C40" i="39"/>
  <c r="B40" i="39"/>
  <c r="B23" i="39"/>
  <c r="B33" i="39" s="1"/>
  <c r="D16" i="39"/>
  <c r="D17" i="39" s="1"/>
  <c r="C16" i="39"/>
  <c r="C17" i="39" s="1"/>
  <c r="B16" i="39"/>
  <c r="B17" i="39" s="1"/>
  <c r="F15" i="39"/>
  <c r="E15" i="39"/>
  <c r="F14" i="39"/>
  <c r="F16" i="39" s="1"/>
  <c r="F17" i="39" s="1"/>
  <c r="E14" i="39"/>
  <c r="G13" i="39"/>
  <c r="G12" i="39"/>
  <c r="G11" i="39"/>
  <c r="A1" i="39"/>
  <c r="H145" i="10"/>
  <c r="C72" i="42" s="1"/>
  <c r="A145" i="10"/>
  <c r="H144" i="10"/>
  <c r="C71" i="42" s="1"/>
  <c r="A144" i="10"/>
  <c r="H143" i="10"/>
  <c r="C70" i="42" s="1"/>
  <c r="A143" i="10"/>
  <c r="H142" i="10"/>
  <c r="C69" i="42" s="1"/>
  <c r="A142" i="10"/>
  <c r="H141" i="10"/>
  <c r="C68" i="42" s="1"/>
  <c r="A141" i="10"/>
  <c r="H140" i="10"/>
  <c r="C67" i="42" s="1"/>
  <c r="A140" i="10"/>
  <c r="H139" i="10"/>
  <c r="C66" i="42" s="1"/>
  <c r="A139" i="10"/>
  <c r="H138" i="10"/>
  <c r="C65" i="42" s="1"/>
  <c r="A138" i="10"/>
  <c r="H137" i="10"/>
  <c r="C64" i="42" s="1"/>
  <c r="A137" i="10"/>
  <c r="H136" i="10"/>
  <c r="A136" i="10"/>
  <c r="G135" i="10"/>
  <c r="F135" i="10"/>
  <c r="F85" i="10" s="1"/>
  <c r="E135" i="10"/>
  <c r="E85" i="10" s="1"/>
  <c r="D135" i="10"/>
  <c r="D85" i="10" s="1"/>
  <c r="C135" i="10"/>
  <c r="C85" i="10" s="1"/>
  <c r="B135" i="10"/>
  <c r="B85" i="10" s="1"/>
  <c r="H132" i="10"/>
  <c r="C57" i="42" s="1"/>
  <c r="H131" i="10"/>
  <c r="H130" i="10"/>
  <c r="H129" i="10"/>
  <c r="H128" i="10"/>
  <c r="H127" i="10"/>
  <c r="H126" i="10"/>
  <c r="H125" i="10"/>
  <c r="H124" i="10"/>
  <c r="H123" i="10"/>
  <c r="H122" i="10"/>
  <c r="C28" i="42"/>
  <c r="H102" i="10"/>
  <c r="C27" i="42" s="1"/>
  <c r="G101" i="10"/>
  <c r="G84" i="10" s="1"/>
  <c r="G82" i="10" s="1"/>
  <c r="G52" i="10" s="1"/>
  <c r="F101" i="10"/>
  <c r="F84" i="10" s="1"/>
  <c r="F82" i="10" s="1"/>
  <c r="F52" i="10" s="1"/>
  <c r="E101" i="10"/>
  <c r="E84" i="10" s="1"/>
  <c r="D101" i="10"/>
  <c r="D84" i="10" s="1"/>
  <c r="C101" i="10"/>
  <c r="C84" i="10" s="1"/>
  <c r="B101" i="10"/>
  <c r="B84" i="10" s="1"/>
  <c r="H98" i="10"/>
  <c r="C21" i="42" s="1"/>
  <c r="H97" i="10"/>
  <c r="C20" i="42" s="1"/>
  <c r="H96" i="10"/>
  <c r="C19" i="42" s="1"/>
  <c r="H95" i="10"/>
  <c r="C18" i="42" s="1"/>
  <c r="H94" i="10"/>
  <c r="C17" i="42" s="1"/>
  <c r="H93" i="10"/>
  <c r="C16" i="42" s="1"/>
  <c r="H92" i="10"/>
  <c r="C15" i="42" s="1"/>
  <c r="H91" i="10"/>
  <c r="C14" i="42" s="1"/>
  <c r="H90" i="10"/>
  <c r="C13" i="42" s="1"/>
  <c r="H89" i="10"/>
  <c r="C12" i="42" s="1"/>
  <c r="H88" i="10"/>
  <c r="C11" i="42" s="1"/>
  <c r="H87" i="10"/>
  <c r="C10" i="42" s="1"/>
  <c r="H86" i="10"/>
  <c r="C9" i="42" s="1"/>
  <c r="G85" i="10"/>
  <c r="H83" i="10"/>
  <c r="C6" i="42" s="1"/>
  <c r="H79" i="10"/>
  <c r="C64" i="4" s="1"/>
  <c r="C66" i="4" s="1"/>
  <c r="D63" i="4" s="1"/>
  <c r="H78" i="10"/>
  <c r="H77" i="10"/>
  <c r="C58" i="4" s="1"/>
  <c r="C60" i="4" s="1"/>
  <c r="D57" i="4" s="1"/>
  <c r="H76" i="10"/>
  <c r="H75" i="10"/>
  <c r="H74" i="10"/>
  <c r="G73" i="10"/>
  <c r="F73" i="10"/>
  <c r="E73" i="10"/>
  <c r="E51" i="10" s="1"/>
  <c r="D73" i="10"/>
  <c r="D51" i="10" s="1"/>
  <c r="C73" i="10"/>
  <c r="B73" i="10"/>
  <c r="B51" i="10" s="1"/>
  <c r="H70" i="10"/>
  <c r="C44" i="4" s="1"/>
  <c r="H69" i="10"/>
  <c r="C43" i="4" s="1"/>
  <c r="G68" i="10"/>
  <c r="F68" i="10"/>
  <c r="E68" i="10"/>
  <c r="E50" i="10" s="1"/>
  <c r="D68" i="10"/>
  <c r="C68" i="10"/>
  <c r="B68" i="10"/>
  <c r="G65" i="10"/>
  <c r="F65" i="10"/>
  <c r="E65" i="10"/>
  <c r="D65" i="10"/>
  <c r="C65" i="10"/>
  <c r="B65" i="10"/>
  <c r="H64" i="10"/>
  <c r="H63" i="10"/>
  <c r="H60" i="10"/>
  <c r="C16" i="4" s="1"/>
  <c r="G59" i="10"/>
  <c r="F59" i="10"/>
  <c r="E59" i="10"/>
  <c r="E56" i="10" s="1"/>
  <c r="D59" i="10"/>
  <c r="D56" i="10" s="1"/>
  <c r="C59" i="10"/>
  <c r="C56" i="10" s="1"/>
  <c r="C50" i="10" s="1"/>
  <c r="B59" i="10"/>
  <c r="H58" i="10"/>
  <c r="C9" i="4" s="1"/>
  <c r="H57" i="10"/>
  <c r="G56" i="10"/>
  <c r="F56" i="10"/>
  <c r="F50" i="10" s="1"/>
  <c r="B56" i="10"/>
  <c r="G51" i="10"/>
  <c r="F51" i="10"/>
  <c r="C51" i="10"/>
  <c r="G46" i="10"/>
  <c r="G49" i="10" s="1"/>
  <c r="F46" i="10"/>
  <c r="F49" i="10" s="1"/>
  <c r="E46" i="10"/>
  <c r="E49" i="10" s="1"/>
  <c r="D46" i="10"/>
  <c r="D49" i="10" s="1"/>
  <c r="C46" i="10"/>
  <c r="C49" i="10" s="1"/>
  <c r="B46" i="10"/>
  <c r="B49" i="10" s="1"/>
  <c r="H45" i="10"/>
  <c r="H44" i="10"/>
  <c r="G40" i="10"/>
  <c r="F40" i="10"/>
  <c r="E40" i="10"/>
  <c r="D40" i="10"/>
  <c r="C40" i="10"/>
  <c r="B40" i="10"/>
  <c r="B23" i="10"/>
  <c r="D16" i="10"/>
  <c r="D17" i="10" s="1"/>
  <c r="C16" i="10"/>
  <c r="C17" i="10" s="1"/>
  <c r="B16" i="10"/>
  <c r="B17" i="10" s="1"/>
  <c r="F15" i="10"/>
  <c r="E15" i="10"/>
  <c r="F14" i="10"/>
  <c r="E14" i="10"/>
  <c r="G13" i="10"/>
  <c r="G12" i="10"/>
  <c r="G11" i="10"/>
  <c r="A1" i="10"/>
  <c r="C6" i="9"/>
  <c r="B6" i="9"/>
  <c r="H145" i="9"/>
  <c r="B72" i="42" s="1"/>
  <c r="A145" i="9"/>
  <c r="H144" i="9"/>
  <c r="B71" i="42" s="1"/>
  <c r="A144" i="9"/>
  <c r="H143" i="9"/>
  <c r="B70" i="42" s="1"/>
  <c r="A143" i="9"/>
  <c r="H142" i="9"/>
  <c r="B69" i="42" s="1"/>
  <c r="A142" i="9"/>
  <c r="H141" i="9"/>
  <c r="B68" i="42" s="1"/>
  <c r="A141" i="9"/>
  <c r="H140" i="9"/>
  <c r="B67" i="42" s="1"/>
  <c r="A140" i="9"/>
  <c r="H139" i="9"/>
  <c r="B66" i="42" s="1"/>
  <c r="A139" i="9"/>
  <c r="H138" i="9"/>
  <c r="B65" i="42" s="1"/>
  <c r="A138" i="9"/>
  <c r="H137" i="9"/>
  <c r="B64" i="42" s="1"/>
  <c r="A137" i="9"/>
  <c r="H136" i="9"/>
  <c r="A136" i="9"/>
  <c r="G135" i="9"/>
  <c r="G85" i="9" s="1"/>
  <c r="F135" i="9"/>
  <c r="F85" i="9" s="1"/>
  <c r="E135" i="9"/>
  <c r="E85" i="9" s="1"/>
  <c r="D135" i="9"/>
  <c r="C135" i="9"/>
  <c r="C85" i="9" s="1"/>
  <c r="B135" i="9"/>
  <c r="B85" i="9" s="1"/>
  <c r="H132" i="9"/>
  <c r="B57" i="42" s="1"/>
  <c r="H131" i="9"/>
  <c r="H130" i="9"/>
  <c r="H129" i="9"/>
  <c r="H128" i="9"/>
  <c r="H127" i="9"/>
  <c r="H126" i="9"/>
  <c r="H125" i="9"/>
  <c r="H124" i="9"/>
  <c r="H123" i="9"/>
  <c r="H122" i="9"/>
  <c r="B28" i="42"/>
  <c r="H102" i="9"/>
  <c r="B27" i="42" s="1"/>
  <c r="G101" i="9"/>
  <c r="G84" i="9" s="1"/>
  <c r="F101" i="9"/>
  <c r="F84" i="9" s="1"/>
  <c r="E101" i="9"/>
  <c r="E84" i="9" s="1"/>
  <c r="D101" i="9"/>
  <c r="D84" i="9" s="1"/>
  <c r="C101" i="9"/>
  <c r="C84" i="9" s="1"/>
  <c r="B101" i="9"/>
  <c r="B84" i="9" s="1"/>
  <c r="H98" i="9"/>
  <c r="B21" i="42" s="1"/>
  <c r="H97" i="9"/>
  <c r="B20" i="42" s="1"/>
  <c r="H96" i="9"/>
  <c r="B19" i="42" s="1"/>
  <c r="H95" i="9"/>
  <c r="B18" i="42" s="1"/>
  <c r="H94" i="9"/>
  <c r="B17" i="42" s="1"/>
  <c r="H93" i="9"/>
  <c r="B16" i="42" s="1"/>
  <c r="H92" i="9"/>
  <c r="B15" i="42" s="1"/>
  <c r="H91" i="9"/>
  <c r="B14" i="42" s="1"/>
  <c r="H90" i="9"/>
  <c r="B13" i="42" s="1"/>
  <c r="H89" i="9"/>
  <c r="B12" i="42" s="1"/>
  <c r="H88" i="9"/>
  <c r="B11" i="42" s="1"/>
  <c r="H87" i="9"/>
  <c r="B10" i="42" s="1"/>
  <c r="H86" i="9"/>
  <c r="B9" i="42" s="1"/>
  <c r="D85" i="9"/>
  <c r="H83" i="9"/>
  <c r="B6" i="42" s="1"/>
  <c r="H79" i="9"/>
  <c r="B64" i="4" s="1"/>
  <c r="H78" i="9"/>
  <c r="H77" i="9"/>
  <c r="B58" i="4" s="1"/>
  <c r="H76" i="9"/>
  <c r="H75" i="9"/>
  <c r="H74" i="9"/>
  <c r="G73" i="9"/>
  <c r="F73" i="9"/>
  <c r="F51" i="9" s="1"/>
  <c r="E73" i="9"/>
  <c r="E51" i="9" s="1"/>
  <c r="D73" i="9"/>
  <c r="D51" i="9" s="1"/>
  <c r="C73" i="9"/>
  <c r="C51" i="9" s="1"/>
  <c r="B73" i="9"/>
  <c r="B51" i="9" s="1"/>
  <c r="H70" i="9"/>
  <c r="B44" i="4" s="1"/>
  <c r="H69" i="9"/>
  <c r="B43" i="4" s="1"/>
  <c r="G68" i="9"/>
  <c r="F68" i="9"/>
  <c r="E68" i="9"/>
  <c r="D68" i="9"/>
  <c r="C68" i="9"/>
  <c r="B68" i="9"/>
  <c r="G65" i="9"/>
  <c r="F65" i="9"/>
  <c r="E65" i="9"/>
  <c r="D65" i="9"/>
  <c r="C65" i="9"/>
  <c r="B65" i="9"/>
  <c r="H64" i="9"/>
  <c r="H63" i="9"/>
  <c r="H60" i="9"/>
  <c r="B16" i="4" s="1"/>
  <c r="G59" i="9"/>
  <c r="G56" i="9" s="1"/>
  <c r="F59" i="9"/>
  <c r="F56" i="9" s="1"/>
  <c r="E59" i="9"/>
  <c r="D59" i="9"/>
  <c r="D56" i="9" s="1"/>
  <c r="C59" i="9"/>
  <c r="C56" i="9" s="1"/>
  <c r="B59" i="9"/>
  <c r="B56" i="9" s="1"/>
  <c r="H58" i="9"/>
  <c r="B9" i="4" s="1"/>
  <c r="H57" i="9"/>
  <c r="E56" i="9"/>
  <c r="E50" i="9" s="1"/>
  <c r="G51" i="9"/>
  <c r="G46" i="9"/>
  <c r="G49" i="9" s="1"/>
  <c r="F46" i="9"/>
  <c r="F49" i="9" s="1"/>
  <c r="E46" i="9"/>
  <c r="E49" i="9" s="1"/>
  <c r="D46" i="9"/>
  <c r="D49" i="9" s="1"/>
  <c r="C46" i="9"/>
  <c r="C49" i="9" s="1"/>
  <c r="B46" i="9"/>
  <c r="B49" i="9" s="1"/>
  <c r="H45" i="9"/>
  <c r="H44" i="9"/>
  <c r="G40" i="9"/>
  <c r="F40" i="9"/>
  <c r="E40" i="9"/>
  <c r="D40" i="9"/>
  <c r="C40" i="9"/>
  <c r="B40" i="9"/>
  <c r="B23" i="9"/>
  <c r="B33" i="9" s="1"/>
  <c r="C28" i="1" s="1"/>
  <c r="B63" i="8" s="1"/>
  <c r="O69" i="8" s="1"/>
  <c r="O100" i="8" s="1"/>
  <c r="D16" i="9"/>
  <c r="D17" i="9" s="1"/>
  <c r="C16" i="9"/>
  <c r="C17" i="9" s="1"/>
  <c r="B16" i="9"/>
  <c r="B17" i="9" s="1"/>
  <c r="F15" i="9"/>
  <c r="G13" i="9"/>
  <c r="G12" i="9"/>
  <c r="G11" i="9"/>
  <c r="A1" i="9"/>
  <c r="G40" i="3"/>
  <c r="F40" i="3"/>
  <c r="E40" i="3"/>
  <c r="D40" i="3"/>
  <c r="C40" i="3"/>
  <c r="A36" i="7"/>
  <c r="B3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B6" i="7"/>
  <c r="A6" i="7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29" i="5"/>
  <c r="A55" i="5"/>
  <c r="A56" i="5"/>
  <c r="A57" i="5"/>
  <c r="A58" i="5"/>
  <c r="A5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29" i="5"/>
  <c r="A1" i="5"/>
  <c r="A1" i="4"/>
  <c r="A1" i="3"/>
  <c r="H86" i="3"/>
  <c r="H137" i="3"/>
  <c r="H138" i="3"/>
  <c r="H139" i="3"/>
  <c r="H140" i="3"/>
  <c r="H141" i="3"/>
  <c r="H142" i="3"/>
  <c r="H143" i="3"/>
  <c r="H144" i="3"/>
  <c r="H145" i="3"/>
  <c r="H136" i="3"/>
  <c r="C135" i="3"/>
  <c r="C85" i="3" s="1"/>
  <c r="D135" i="3"/>
  <c r="D85" i="3" s="1"/>
  <c r="E135" i="3"/>
  <c r="E85" i="3" s="1"/>
  <c r="F135" i="3"/>
  <c r="F85" i="3" s="1"/>
  <c r="G135" i="3"/>
  <c r="G85" i="3" s="1"/>
  <c r="B135" i="3"/>
  <c r="B85" i="3" s="1"/>
  <c r="H103" i="3"/>
  <c r="H132" i="3"/>
  <c r="H102" i="3"/>
  <c r="C101" i="3"/>
  <c r="C84" i="3" s="1"/>
  <c r="D101" i="3"/>
  <c r="D84" i="3" s="1"/>
  <c r="E101" i="3"/>
  <c r="E84" i="3" s="1"/>
  <c r="F101" i="3"/>
  <c r="F84" i="3" s="1"/>
  <c r="G101" i="3"/>
  <c r="G84" i="3" s="1"/>
  <c r="B101" i="3"/>
  <c r="B84" i="3" s="1"/>
  <c r="A137" i="3"/>
  <c r="A138" i="3"/>
  <c r="A139" i="3"/>
  <c r="A140" i="3"/>
  <c r="A141" i="3"/>
  <c r="A142" i="3"/>
  <c r="A143" i="3"/>
  <c r="A144" i="3"/>
  <c r="A145" i="3"/>
  <c r="A136" i="3"/>
  <c r="C46" i="3"/>
  <c r="C49" i="3" s="1"/>
  <c r="D46" i="3"/>
  <c r="D49" i="3" s="1"/>
  <c r="E46" i="3"/>
  <c r="E49" i="3" s="1"/>
  <c r="F46" i="3"/>
  <c r="F49" i="3" s="1"/>
  <c r="G46" i="3"/>
  <c r="G49" i="3" s="1"/>
  <c r="B46" i="3"/>
  <c r="B49" i="3" s="1"/>
  <c r="H45" i="3"/>
  <c r="H44" i="3"/>
  <c r="H87" i="3"/>
  <c r="H88" i="3"/>
  <c r="H89" i="3"/>
  <c r="H90" i="3"/>
  <c r="H91" i="3"/>
  <c r="H92" i="3"/>
  <c r="H93" i="3"/>
  <c r="H94" i="3"/>
  <c r="H95" i="3"/>
  <c r="H96" i="3"/>
  <c r="H97" i="3"/>
  <c r="H98" i="3"/>
  <c r="H83" i="3"/>
  <c r="C68" i="3"/>
  <c r="D68" i="3"/>
  <c r="E68" i="3"/>
  <c r="F68" i="3"/>
  <c r="G68" i="3"/>
  <c r="B68" i="3"/>
  <c r="H63" i="3"/>
  <c r="C65" i="3"/>
  <c r="D65" i="3"/>
  <c r="E65" i="3"/>
  <c r="F65" i="3"/>
  <c r="G65" i="3"/>
  <c r="B65" i="3"/>
  <c r="C73" i="3"/>
  <c r="C51" i="3" s="1"/>
  <c r="D73" i="3"/>
  <c r="D51" i="3" s="1"/>
  <c r="E73" i="3"/>
  <c r="E51" i="3" s="1"/>
  <c r="F73" i="3"/>
  <c r="F51" i="3" s="1"/>
  <c r="G73" i="3"/>
  <c r="G51" i="3" s="1"/>
  <c r="B73" i="3"/>
  <c r="B51" i="3" s="1"/>
  <c r="H75" i="3"/>
  <c r="H76" i="3"/>
  <c r="H77" i="3"/>
  <c r="H78" i="3"/>
  <c r="H79" i="3"/>
  <c r="H74" i="3"/>
  <c r="H70" i="3"/>
  <c r="H69" i="3"/>
  <c r="H64" i="3"/>
  <c r="H60" i="3"/>
  <c r="H58" i="3"/>
  <c r="H57" i="3"/>
  <c r="C59" i="3"/>
  <c r="C56" i="3" s="1"/>
  <c r="D59" i="3"/>
  <c r="D56" i="3" s="1"/>
  <c r="E59" i="3"/>
  <c r="E56" i="3" s="1"/>
  <c r="F59" i="3"/>
  <c r="F56" i="3" s="1"/>
  <c r="G59" i="3"/>
  <c r="G56" i="3" s="1"/>
  <c r="B59" i="3"/>
  <c r="B56" i="3" s="1"/>
  <c r="B23" i="3"/>
  <c r="D16" i="3"/>
  <c r="D17" i="3" s="1"/>
  <c r="C16" i="3"/>
  <c r="C17" i="3" s="1"/>
  <c r="B16" i="3"/>
  <c r="B17" i="3" s="1"/>
  <c r="G12" i="3"/>
  <c r="G13" i="3"/>
  <c r="G11" i="3"/>
  <c r="G50" i="9" l="1"/>
  <c r="E16" i="9"/>
  <c r="E17" i="9" s="1"/>
  <c r="H73" i="42"/>
  <c r="AF73" i="42"/>
  <c r="P73" i="42"/>
  <c r="W73" i="42"/>
  <c r="K73" i="42"/>
  <c r="D82" i="33"/>
  <c r="D52" i="33" s="1"/>
  <c r="E82" i="28"/>
  <c r="E52" i="28" s="1"/>
  <c r="F82" i="12"/>
  <c r="F52" i="12" s="1"/>
  <c r="B82" i="32"/>
  <c r="B52" i="32" s="1"/>
  <c r="C82" i="24"/>
  <c r="C52" i="24" s="1"/>
  <c r="D82" i="14"/>
  <c r="D52" i="14" s="1"/>
  <c r="F82" i="37"/>
  <c r="F52" i="37" s="1"/>
  <c r="D82" i="20"/>
  <c r="D52" i="20" s="1"/>
  <c r="X58" i="42"/>
  <c r="B26" i="27"/>
  <c r="U28" i="1"/>
  <c r="T63" i="8" s="1"/>
  <c r="O87" i="8" s="1"/>
  <c r="V28" i="1"/>
  <c r="U63" i="8" s="1"/>
  <c r="O88" i="8" s="1"/>
  <c r="B26" i="28"/>
  <c r="B35" i="28" s="1"/>
  <c r="B26" i="22"/>
  <c r="C31" i="22" s="1"/>
  <c r="P28" i="1"/>
  <c r="O63" i="8" s="1"/>
  <c r="O82" i="8" s="1"/>
  <c r="B26" i="36"/>
  <c r="AD28" i="1"/>
  <c r="AC63" i="8" s="1"/>
  <c r="O96" i="8" s="1"/>
  <c r="AC73" i="42"/>
  <c r="B26" i="32"/>
  <c r="C32" i="32" s="1"/>
  <c r="Z28" i="1"/>
  <c r="Y63" i="8" s="1"/>
  <c r="O92" i="8" s="1"/>
  <c r="H68" i="26"/>
  <c r="S43" i="4"/>
  <c r="T64" i="8"/>
  <c r="AB64" i="8"/>
  <c r="G29" i="1"/>
  <c r="F61" i="8"/>
  <c r="H73" i="9"/>
  <c r="B52" i="4"/>
  <c r="H59" i="27"/>
  <c r="H56" i="27" s="1"/>
  <c r="T8" i="4"/>
  <c r="F82" i="25"/>
  <c r="F52" i="25" s="1"/>
  <c r="H65" i="24"/>
  <c r="Q24" i="4"/>
  <c r="H65" i="20"/>
  <c r="M24" i="4"/>
  <c r="H68" i="19"/>
  <c r="L43" i="4"/>
  <c r="B26" i="15"/>
  <c r="C29" i="15" s="1"/>
  <c r="I28" i="1"/>
  <c r="H63" i="8" s="1"/>
  <c r="O75" i="8" s="1"/>
  <c r="H43" i="4"/>
  <c r="H68" i="15"/>
  <c r="H68" i="13"/>
  <c r="F43" i="4"/>
  <c r="H51" i="12"/>
  <c r="AG9" i="4"/>
  <c r="H65" i="9"/>
  <c r="B24" i="4"/>
  <c r="L12" i="10"/>
  <c r="C58" i="42"/>
  <c r="E50" i="39"/>
  <c r="H85" i="39"/>
  <c r="AF8" i="42" s="1"/>
  <c r="F16" i="36"/>
  <c r="F17" i="36" s="1"/>
  <c r="B26" i="33"/>
  <c r="C29" i="33" s="1"/>
  <c r="AA28" i="1"/>
  <c r="Z63" i="8" s="1"/>
  <c r="O93" i="8" s="1"/>
  <c r="H101" i="33"/>
  <c r="Z59" i="42" s="1"/>
  <c r="Z27" i="42"/>
  <c r="Z58" i="42" s="1"/>
  <c r="Z60" i="42" s="1"/>
  <c r="H135" i="33"/>
  <c r="Z74" i="42" s="1"/>
  <c r="Z64" i="42"/>
  <c r="Z73" i="42" s="1"/>
  <c r="Z75" i="42" s="1"/>
  <c r="G50" i="32"/>
  <c r="W58" i="42"/>
  <c r="G50" i="28"/>
  <c r="H65" i="27"/>
  <c r="T24" i="4"/>
  <c r="H73" i="26"/>
  <c r="S58" i="42"/>
  <c r="H135" i="26"/>
  <c r="S74" i="42" s="1"/>
  <c r="S64" i="42"/>
  <c r="S73" i="42" s="1"/>
  <c r="D50" i="25"/>
  <c r="B26" i="24"/>
  <c r="R28" i="1"/>
  <c r="Q63" i="8" s="1"/>
  <c r="O84" i="8" s="1"/>
  <c r="H135" i="24"/>
  <c r="Q74" i="42" s="1"/>
  <c r="Q63" i="42"/>
  <c r="Q73" i="42" s="1"/>
  <c r="D50" i="23"/>
  <c r="E50" i="22"/>
  <c r="F50" i="22"/>
  <c r="O58" i="42"/>
  <c r="F50" i="21"/>
  <c r="B50" i="20"/>
  <c r="E50" i="18"/>
  <c r="H101" i="17"/>
  <c r="J59" i="42" s="1"/>
  <c r="B26" i="16"/>
  <c r="J28" i="1"/>
  <c r="I63" i="8" s="1"/>
  <c r="O76" i="8" s="1"/>
  <c r="B50" i="16"/>
  <c r="H59" i="13"/>
  <c r="H56" i="13" s="1"/>
  <c r="F8" i="4"/>
  <c r="M64" i="8"/>
  <c r="U64" i="8"/>
  <c r="D50" i="10"/>
  <c r="H65" i="38"/>
  <c r="AE24" i="4"/>
  <c r="AG58" i="4"/>
  <c r="B60" i="4"/>
  <c r="C57" i="4" s="1"/>
  <c r="AF58" i="42"/>
  <c r="D50" i="29"/>
  <c r="H59" i="9"/>
  <c r="H56" i="9" s="1"/>
  <c r="B8" i="4"/>
  <c r="AD73" i="42"/>
  <c r="AA73" i="42"/>
  <c r="AA75" i="42" s="1"/>
  <c r="AC58" i="42"/>
  <c r="C82" i="32"/>
  <c r="C52" i="32" s="1"/>
  <c r="H65" i="19"/>
  <c r="L24" i="4"/>
  <c r="K58" i="42"/>
  <c r="G58" i="42"/>
  <c r="L12" i="24"/>
  <c r="K13" i="24" s="1"/>
  <c r="B120" i="6"/>
  <c r="K120" i="6" s="1"/>
  <c r="C50" i="9"/>
  <c r="H73" i="39"/>
  <c r="AF52" i="4"/>
  <c r="AF54" i="4" s="1"/>
  <c r="H68" i="35"/>
  <c r="AB43" i="4"/>
  <c r="H73" i="35"/>
  <c r="AB52" i="4"/>
  <c r="AB54" i="4" s="1"/>
  <c r="AC51" i="4" s="1"/>
  <c r="F82" i="35"/>
  <c r="F52" i="35" s="1"/>
  <c r="F53" i="35" s="1"/>
  <c r="G32" i="7" s="1"/>
  <c r="H135" i="35"/>
  <c r="AB74" i="42" s="1"/>
  <c r="AB63" i="42"/>
  <c r="AB73" i="42" s="1"/>
  <c r="H59" i="34"/>
  <c r="H56" i="34" s="1"/>
  <c r="AA8" i="4"/>
  <c r="H59" i="32"/>
  <c r="H56" i="32" s="1"/>
  <c r="Y8" i="4"/>
  <c r="H84" i="32"/>
  <c r="Y7" i="42" s="1"/>
  <c r="G50" i="30"/>
  <c r="H73" i="30"/>
  <c r="W52" i="4"/>
  <c r="W54" i="4" s="1"/>
  <c r="X51" i="4" s="1"/>
  <c r="C82" i="30"/>
  <c r="C52" i="30" s="1"/>
  <c r="V73" i="42"/>
  <c r="H65" i="28"/>
  <c r="U24" i="4"/>
  <c r="R73" i="42"/>
  <c r="Q58" i="42"/>
  <c r="P58" i="42"/>
  <c r="F16" i="22"/>
  <c r="F17" i="22" s="1"/>
  <c r="G50" i="22"/>
  <c r="H59" i="21"/>
  <c r="H56" i="21" s="1"/>
  <c r="N8" i="4"/>
  <c r="G82" i="19"/>
  <c r="G52" i="19" s="1"/>
  <c r="G50" i="18"/>
  <c r="H68" i="18"/>
  <c r="K43" i="4"/>
  <c r="J73" i="42"/>
  <c r="F16" i="16"/>
  <c r="F17" i="16" s="1"/>
  <c r="B50" i="15"/>
  <c r="B53" i="15" s="1"/>
  <c r="C12" i="7" s="1"/>
  <c r="H65" i="11"/>
  <c r="D24" i="4"/>
  <c r="AA58" i="42"/>
  <c r="H68" i="32"/>
  <c r="Y43" i="4"/>
  <c r="H65" i="26"/>
  <c r="S24" i="4"/>
  <c r="H51" i="19"/>
  <c r="H59" i="11"/>
  <c r="H56" i="11" s="1"/>
  <c r="D8" i="4"/>
  <c r="G50" i="10"/>
  <c r="H73" i="10"/>
  <c r="C52" i="4"/>
  <c r="C54" i="4" s="1"/>
  <c r="D51" i="4" s="1"/>
  <c r="D50" i="38"/>
  <c r="E82" i="38"/>
  <c r="E52" i="38" s="1"/>
  <c r="E53" i="38" s="1"/>
  <c r="F35" i="7" s="1"/>
  <c r="H46" i="9"/>
  <c r="I46" i="9" s="1"/>
  <c r="D50" i="9"/>
  <c r="AG64" i="4"/>
  <c r="B66" i="4"/>
  <c r="C63" i="4" s="1"/>
  <c r="B58" i="42"/>
  <c r="H51" i="10"/>
  <c r="H59" i="10"/>
  <c r="H56" i="10" s="1"/>
  <c r="C8" i="4"/>
  <c r="H59" i="39"/>
  <c r="H56" i="39" s="1"/>
  <c r="AF8" i="4"/>
  <c r="AE73" i="42"/>
  <c r="H68" i="37"/>
  <c r="B82" i="37"/>
  <c r="B52" i="37" s="1"/>
  <c r="G50" i="36"/>
  <c r="H50" i="36" s="1"/>
  <c r="H68" i="36"/>
  <c r="H59" i="35"/>
  <c r="H56" i="35" s="1"/>
  <c r="AB8" i="4"/>
  <c r="H65" i="33"/>
  <c r="Z24" i="4"/>
  <c r="H59" i="30"/>
  <c r="W8" i="4"/>
  <c r="G50" i="29"/>
  <c r="H50" i="29" s="1"/>
  <c r="H68" i="29"/>
  <c r="V43" i="4"/>
  <c r="H135" i="28"/>
  <c r="U74" i="42" s="1"/>
  <c r="U63" i="42"/>
  <c r="U73" i="42" s="1"/>
  <c r="U75" i="42" s="1"/>
  <c r="H135" i="27"/>
  <c r="T74" i="42" s="1"/>
  <c r="T63" i="42"/>
  <c r="T73" i="42" s="1"/>
  <c r="H68" i="25"/>
  <c r="R43" i="4"/>
  <c r="G82" i="25"/>
  <c r="G52" i="25" s="1"/>
  <c r="E16" i="24"/>
  <c r="E17" i="24" s="1"/>
  <c r="G50" i="23"/>
  <c r="H68" i="23"/>
  <c r="P43" i="4"/>
  <c r="H68" i="22"/>
  <c r="O44" i="4"/>
  <c r="F82" i="22"/>
  <c r="F52" i="22" s="1"/>
  <c r="H65" i="21"/>
  <c r="N24" i="4"/>
  <c r="H101" i="21"/>
  <c r="N59" i="42" s="1"/>
  <c r="N58" i="42"/>
  <c r="E50" i="20"/>
  <c r="F82" i="20"/>
  <c r="F52" i="20" s="1"/>
  <c r="H135" i="20"/>
  <c r="M74" i="42" s="1"/>
  <c r="M63" i="42"/>
  <c r="M73" i="42" s="1"/>
  <c r="H59" i="18"/>
  <c r="H56" i="18" s="1"/>
  <c r="K8" i="4"/>
  <c r="B82" i="18"/>
  <c r="B52" i="18" s="1"/>
  <c r="B53" i="18" s="1"/>
  <c r="C15" i="7" s="1"/>
  <c r="F50" i="17"/>
  <c r="G82" i="17"/>
  <c r="G52" i="17" s="1"/>
  <c r="P64" i="8"/>
  <c r="X64" i="8"/>
  <c r="AD58" i="42"/>
  <c r="F50" i="34"/>
  <c r="H68" i="34"/>
  <c r="AA43" i="4"/>
  <c r="H68" i="33"/>
  <c r="Z43" i="4"/>
  <c r="H59" i="28"/>
  <c r="H56" i="28" s="1"/>
  <c r="U8" i="4"/>
  <c r="C82" i="37"/>
  <c r="C52" i="37" s="1"/>
  <c r="H59" i="36"/>
  <c r="H56" i="36" s="1"/>
  <c r="AC8" i="4"/>
  <c r="C82" i="36"/>
  <c r="C52" i="36" s="1"/>
  <c r="C53" i="36" s="1"/>
  <c r="D33" i="7" s="1"/>
  <c r="H101" i="35"/>
  <c r="AB59" i="42" s="1"/>
  <c r="AB27" i="42"/>
  <c r="AB58" i="42" s="1"/>
  <c r="B26" i="34"/>
  <c r="AB28" i="1"/>
  <c r="AA63" i="8" s="1"/>
  <c r="O94" i="8" s="1"/>
  <c r="G82" i="33"/>
  <c r="G52" i="33" s="1"/>
  <c r="H59" i="31"/>
  <c r="H56" i="31" s="1"/>
  <c r="X8" i="4"/>
  <c r="H65" i="30"/>
  <c r="W24" i="4"/>
  <c r="D82" i="30"/>
  <c r="D52" i="30" s="1"/>
  <c r="H101" i="29"/>
  <c r="V59" i="42" s="1"/>
  <c r="V27" i="42"/>
  <c r="V58" i="42" s="1"/>
  <c r="G82" i="28"/>
  <c r="G52" i="28" s="1"/>
  <c r="B82" i="28"/>
  <c r="B52" i="28" s="1"/>
  <c r="B82" i="27"/>
  <c r="B52" i="27" s="1"/>
  <c r="H59" i="25"/>
  <c r="H56" i="25" s="1"/>
  <c r="R8" i="4"/>
  <c r="R58" i="42"/>
  <c r="H59" i="23"/>
  <c r="H56" i="23" s="1"/>
  <c r="P8" i="4"/>
  <c r="H135" i="21"/>
  <c r="N74" i="42" s="1"/>
  <c r="N63" i="42"/>
  <c r="N73" i="42" s="1"/>
  <c r="C50" i="19"/>
  <c r="L73" i="42"/>
  <c r="H65" i="18"/>
  <c r="K24" i="4"/>
  <c r="J58" i="42"/>
  <c r="J60" i="42" s="1"/>
  <c r="E82" i="16"/>
  <c r="E52" i="16" s="1"/>
  <c r="T66" i="5"/>
  <c r="J84" i="8"/>
  <c r="Q64" i="8"/>
  <c r="Y64" i="8"/>
  <c r="AF28" i="1"/>
  <c r="AE63" i="8" s="1"/>
  <c r="O98" i="8" s="1"/>
  <c r="B46" i="4"/>
  <c r="H135" i="10"/>
  <c r="C74" i="42" s="1"/>
  <c r="C63" i="42"/>
  <c r="C73" i="42" s="1"/>
  <c r="B17" i="4"/>
  <c r="B20" i="4" s="1"/>
  <c r="C15" i="4" s="1"/>
  <c r="C17" i="4" s="1"/>
  <c r="C20" i="4" s="1"/>
  <c r="D15" i="4" s="1"/>
  <c r="D17" i="4" s="1"/>
  <c r="D20" i="4" s="1"/>
  <c r="E15" i="4" s="1"/>
  <c r="E17" i="4" s="1"/>
  <c r="E20" i="4" s="1"/>
  <c r="F15" i="4" s="1"/>
  <c r="F17" i="4" s="1"/>
  <c r="F20" i="4" s="1"/>
  <c r="G15" i="4" s="1"/>
  <c r="G17" i="4" s="1"/>
  <c r="G20" i="4" s="1"/>
  <c r="H15" i="4" s="1"/>
  <c r="H17" i="4" s="1"/>
  <c r="H20" i="4" s="1"/>
  <c r="I15" i="4" s="1"/>
  <c r="I17" i="4" s="1"/>
  <c r="I20" i="4" s="1"/>
  <c r="J15" i="4" s="1"/>
  <c r="J17" i="4" s="1"/>
  <c r="J20" i="4" s="1"/>
  <c r="K15" i="4" s="1"/>
  <c r="K17" i="4" s="1"/>
  <c r="K20" i="4" s="1"/>
  <c r="L15" i="4" s="1"/>
  <c r="L17" i="4" s="1"/>
  <c r="L20" i="4" s="1"/>
  <c r="M15" i="4" s="1"/>
  <c r="M17" i="4" s="1"/>
  <c r="M20" i="4" s="1"/>
  <c r="N15" i="4" s="1"/>
  <c r="N17" i="4" s="1"/>
  <c r="N20" i="4" s="1"/>
  <c r="O15" i="4" s="1"/>
  <c r="O17" i="4" s="1"/>
  <c r="O20" i="4" s="1"/>
  <c r="P15" i="4" s="1"/>
  <c r="P17" i="4" s="1"/>
  <c r="P20" i="4" s="1"/>
  <c r="Q15" i="4" s="1"/>
  <c r="Q17" i="4" s="1"/>
  <c r="Q20" i="4" s="1"/>
  <c r="R15" i="4" s="1"/>
  <c r="R17" i="4" s="1"/>
  <c r="R20" i="4" s="1"/>
  <c r="S15" i="4" s="1"/>
  <c r="S17" i="4" s="1"/>
  <c r="S20" i="4" s="1"/>
  <c r="T15" i="4" s="1"/>
  <c r="T17" i="4" s="1"/>
  <c r="T20" i="4" s="1"/>
  <c r="U15" i="4" s="1"/>
  <c r="U17" i="4" s="1"/>
  <c r="U20" i="4" s="1"/>
  <c r="V15" i="4" s="1"/>
  <c r="V17" i="4" s="1"/>
  <c r="V20" i="4" s="1"/>
  <c r="W15" i="4" s="1"/>
  <c r="W17" i="4" s="1"/>
  <c r="W20" i="4" s="1"/>
  <c r="X15" i="4" s="1"/>
  <c r="X17" i="4" s="1"/>
  <c r="X20" i="4" s="1"/>
  <c r="Y15" i="4" s="1"/>
  <c r="Y17" i="4" s="1"/>
  <c r="Y20" i="4" s="1"/>
  <c r="Z15" i="4" s="1"/>
  <c r="Z17" i="4" s="1"/>
  <c r="Z20" i="4" s="1"/>
  <c r="AA15" i="4" s="1"/>
  <c r="AA17" i="4" s="1"/>
  <c r="AA20" i="4" s="1"/>
  <c r="AB15" i="4" s="1"/>
  <c r="AB17" i="4" s="1"/>
  <c r="AB20" i="4" s="1"/>
  <c r="AC15" i="4" s="1"/>
  <c r="AC17" i="4" s="1"/>
  <c r="AC20" i="4" s="1"/>
  <c r="AD15" i="4" s="1"/>
  <c r="AD17" i="4" s="1"/>
  <c r="AD20" i="4" s="1"/>
  <c r="AE15" i="4" s="1"/>
  <c r="AE17" i="4" s="1"/>
  <c r="AE20" i="4" s="1"/>
  <c r="AF15" i="4" s="1"/>
  <c r="AF17" i="4" s="1"/>
  <c r="AF20" i="4" s="1"/>
  <c r="AG16" i="4"/>
  <c r="H135" i="9"/>
  <c r="B74" i="42" s="1"/>
  <c r="B63" i="42"/>
  <c r="B73" i="42" s="1"/>
  <c r="H68" i="11"/>
  <c r="D44" i="4"/>
  <c r="AG44" i="4" s="1"/>
  <c r="F16" i="10"/>
  <c r="F17" i="10" s="1"/>
  <c r="H65" i="10"/>
  <c r="C24" i="4"/>
  <c r="F50" i="9"/>
  <c r="B26" i="39"/>
  <c r="AG28" i="1"/>
  <c r="AF63" i="8" s="1"/>
  <c r="O99" i="8" s="1"/>
  <c r="B50" i="39"/>
  <c r="G50" i="38"/>
  <c r="H68" i="38"/>
  <c r="AE58" i="42"/>
  <c r="C82" i="38"/>
  <c r="C52" i="38" s="1"/>
  <c r="H65" i="37"/>
  <c r="AD24" i="4"/>
  <c r="D82" i="37"/>
  <c r="D52" i="37" s="1"/>
  <c r="D53" i="37" s="1"/>
  <c r="E34" i="7" s="1"/>
  <c r="B50" i="35"/>
  <c r="C50" i="34"/>
  <c r="H101" i="32"/>
  <c r="Y59" i="42" s="1"/>
  <c r="Y58" i="42"/>
  <c r="H46" i="31"/>
  <c r="X73" i="42"/>
  <c r="H65" i="29"/>
  <c r="V24" i="4"/>
  <c r="U58" i="42"/>
  <c r="F50" i="27"/>
  <c r="T58" i="42"/>
  <c r="E16" i="25"/>
  <c r="E17" i="25" s="1"/>
  <c r="G50" i="24"/>
  <c r="F82" i="23"/>
  <c r="F52" i="23" s="1"/>
  <c r="H51" i="21"/>
  <c r="G82" i="21"/>
  <c r="G52" i="21" s="1"/>
  <c r="G53" i="21" s="1"/>
  <c r="H18" i="7" s="1"/>
  <c r="G50" i="20"/>
  <c r="H68" i="20"/>
  <c r="M58" i="42"/>
  <c r="H59" i="17"/>
  <c r="H56" i="17" s="1"/>
  <c r="J8" i="4"/>
  <c r="G82" i="12"/>
  <c r="G52" i="12" s="1"/>
  <c r="U86" i="5"/>
  <c r="J85" i="8"/>
  <c r="R64" i="8"/>
  <c r="Z64" i="8"/>
  <c r="J93" i="8"/>
  <c r="G62" i="8"/>
  <c r="H46" i="38"/>
  <c r="H59" i="38"/>
  <c r="H56" i="38" s="1"/>
  <c r="AE8" i="4"/>
  <c r="H46" i="36"/>
  <c r="H46" i="32"/>
  <c r="E82" i="29"/>
  <c r="E52" i="29" s="1"/>
  <c r="H68" i="27"/>
  <c r="T43" i="4"/>
  <c r="B82" i="26"/>
  <c r="B52" i="26" s="1"/>
  <c r="C50" i="23"/>
  <c r="O73" i="42"/>
  <c r="F16" i="21"/>
  <c r="F17" i="21" s="1"/>
  <c r="H49" i="21"/>
  <c r="H59" i="20"/>
  <c r="H56" i="20" s="1"/>
  <c r="M8" i="4"/>
  <c r="G50" i="19"/>
  <c r="L58" i="42"/>
  <c r="B26" i="18"/>
  <c r="C27" i="18" s="1"/>
  <c r="C26" i="18" s="1"/>
  <c r="L28" i="1"/>
  <c r="K63" i="8" s="1"/>
  <c r="O78" i="8" s="1"/>
  <c r="E16" i="17"/>
  <c r="E17" i="17" s="1"/>
  <c r="E16" i="14"/>
  <c r="E17" i="14" s="1"/>
  <c r="H65" i="12"/>
  <c r="E24" i="4"/>
  <c r="S61" i="8"/>
  <c r="AA61" i="8"/>
  <c r="E61" i="8"/>
  <c r="J88" i="8"/>
  <c r="J91" i="8"/>
  <c r="J87" i="8"/>
  <c r="D50" i="16"/>
  <c r="H46" i="15"/>
  <c r="I46" i="15" s="1"/>
  <c r="H58" i="42"/>
  <c r="F16" i="14"/>
  <c r="F17" i="14" s="1"/>
  <c r="B82" i="14"/>
  <c r="B52" i="14" s="1"/>
  <c r="H73" i="12"/>
  <c r="E82" i="12"/>
  <c r="E52" i="12" s="1"/>
  <c r="E53" i="12" s="1"/>
  <c r="F9" i="7" s="1"/>
  <c r="T51" i="5"/>
  <c r="T59" i="5"/>
  <c r="U53" i="5"/>
  <c r="U78" i="5"/>
  <c r="J95" i="8"/>
  <c r="C82" i="14"/>
  <c r="C52" i="14" s="1"/>
  <c r="F73" i="42"/>
  <c r="C50" i="12"/>
  <c r="E73" i="42"/>
  <c r="D73" i="42"/>
  <c r="F29" i="5"/>
  <c r="H29" i="5" s="1"/>
  <c r="I29" i="5" s="1"/>
  <c r="T36" i="5"/>
  <c r="T44" i="5"/>
  <c r="T52" i="5"/>
  <c r="U70" i="5"/>
  <c r="T79" i="5"/>
  <c r="T87" i="5"/>
  <c r="U74" i="5"/>
  <c r="U82" i="5"/>
  <c r="U90" i="5"/>
  <c r="U35" i="5"/>
  <c r="G18" i="1"/>
  <c r="O18" i="1"/>
  <c r="W18" i="1"/>
  <c r="AE18" i="1"/>
  <c r="B25" i="1"/>
  <c r="K61" i="8"/>
  <c r="C61" i="8"/>
  <c r="B50" i="17"/>
  <c r="H68" i="14"/>
  <c r="G43" i="4"/>
  <c r="AG43" i="4" s="1"/>
  <c r="C50" i="13"/>
  <c r="E50" i="12"/>
  <c r="E50" i="11"/>
  <c r="B82" i="11"/>
  <c r="B52" i="11" s="1"/>
  <c r="B53" i="11" s="1"/>
  <c r="C8" i="7" s="1"/>
  <c r="T37" i="5"/>
  <c r="T35" i="5"/>
  <c r="H18" i="1"/>
  <c r="P18" i="1"/>
  <c r="X18" i="1"/>
  <c r="AF18" i="1"/>
  <c r="N61" i="8"/>
  <c r="V61" i="8"/>
  <c r="AE29" i="1"/>
  <c r="AD61" i="8"/>
  <c r="P29" i="1"/>
  <c r="J61" i="8"/>
  <c r="B61" i="8"/>
  <c r="H68" i="16"/>
  <c r="I43" i="4"/>
  <c r="H73" i="16"/>
  <c r="I52" i="4"/>
  <c r="I54" i="4" s="1"/>
  <c r="J51" i="4" s="1"/>
  <c r="F82" i="15"/>
  <c r="F52" i="15" s="1"/>
  <c r="E16" i="13"/>
  <c r="E17" i="13" s="1"/>
  <c r="F58" i="42"/>
  <c r="C82" i="13"/>
  <c r="C52" i="13" s="1"/>
  <c r="C53" i="13" s="1"/>
  <c r="D10" i="7" s="1"/>
  <c r="E58" i="42"/>
  <c r="E16" i="11"/>
  <c r="E17" i="11" s="1"/>
  <c r="F50" i="11"/>
  <c r="D58" i="42"/>
  <c r="U40" i="5"/>
  <c r="U56" i="5"/>
  <c r="U73" i="5"/>
  <c r="U89" i="5"/>
  <c r="T73" i="5"/>
  <c r="U84" i="5"/>
  <c r="O61" i="8"/>
  <c r="W61" i="8"/>
  <c r="AF29" i="1"/>
  <c r="AE61" i="8"/>
  <c r="I61" i="8"/>
  <c r="E82" i="17"/>
  <c r="E52" i="17" s="1"/>
  <c r="H101" i="16"/>
  <c r="I59" i="42" s="1"/>
  <c r="I28" i="42"/>
  <c r="I58" i="42" s="1"/>
  <c r="H65" i="14"/>
  <c r="G24" i="4"/>
  <c r="G73" i="42"/>
  <c r="E50" i="13"/>
  <c r="D82" i="13"/>
  <c r="D52" i="13" s="1"/>
  <c r="H68" i="12"/>
  <c r="E43" i="4"/>
  <c r="H61" i="8"/>
  <c r="G61" i="8"/>
  <c r="A72" i="8"/>
  <c r="I71" i="8"/>
  <c r="T34" i="5"/>
  <c r="T50" i="5"/>
  <c r="T58" i="5"/>
  <c r="T29" i="5"/>
  <c r="U31" i="5"/>
  <c r="U55" i="5"/>
  <c r="B8" i="1"/>
  <c r="U44" i="5"/>
  <c r="U32" i="5"/>
  <c r="U48" i="5"/>
  <c r="T91" i="5"/>
  <c r="U69" i="5"/>
  <c r="T47" i="5"/>
  <c r="T55" i="5"/>
  <c r="U79" i="5"/>
  <c r="U87" i="5"/>
  <c r="T31" i="5"/>
  <c r="T48" i="5"/>
  <c r="T56" i="5"/>
  <c r="U42" i="5"/>
  <c r="T41" i="5"/>
  <c r="T78" i="5"/>
  <c r="T86" i="5"/>
  <c r="U81" i="5"/>
  <c r="I173" i="6"/>
  <c r="J173" i="6" s="1"/>
  <c r="A203" i="6"/>
  <c r="A197" i="6"/>
  <c r="A195" i="6"/>
  <c r="A189" i="6"/>
  <c r="A187" i="6"/>
  <c r="A205" i="6"/>
  <c r="A204" i="6"/>
  <c r="A196" i="6"/>
  <c r="A188" i="6"/>
  <c r="A210" i="6"/>
  <c r="A202" i="6"/>
  <c r="A194" i="6"/>
  <c r="A186" i="6"/>
  <c r="A209" i="6"/>
  <c r="A201" i="6"/>
  <c r="A193" i="6"/>
  <c r="A185" i="6"/>
  <c r="A208" i="6"/>
  <c r="A200" i="6"/>
  <c r="A192" i="6"/>
  <c r="A184" i="6"/>
  <c r="A207" i="6"/>
  <c r="A199" i="6"/>
  <c r="A191" i="6"/>
  <c r="A183" i="6"/>
  <c r="A206" i="6"/>
  <c r="A198" i="6"/>
  <c r="A190" i="6"/>
  <c r="A182" i="6"/>
  <c r="I29" i="1"/>
  <c r="Q29" i="1"/>
  <c r="Y29" i="1"/>
  <c r="J29" i="1"/>
  <c r="R29" i="1"/>
  <c r="Z29" i="1"/>
  <c r="K29" i="1"/>
  <c r="S29" i="1"/>
  <c r="AA29" i="1"/>
  <c r="T29" i="1"/>
  <c r="U29" i="1"/>
  <c r="AC29" i="1"/>
  <c r="C29" i="1"/>
  <c r="N29" i="1"/>
  <c r="V29" i="1"/>
  <c r="AD29" i="1"/>
  <c r="F18" i="1"/>
  <c r="N18" i="1"/>
  <c r="E110" i="6"/>
  <c r="E155" i="6"/>
  <c r="E147" i="6"/>
  <c r="A107" i="6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J135" i="6" s="1"/>
  <c r="R135" i="6" s="1"/>
  <c r="R105" i="6"/>
  <c r="E163" i="6"/>
  <c r="E118" i="6"/>
  <c r="E115" i="6"/>
  <c r="E162" i="6"/>
  <c r="E154" i="6"/>
  <c r="E146" i="6"/>
  <c r="E161" i="6"/>
  <c r="E145" i="6"/>
  <c r="E114" i="6"/>
  <c r="E111" i="6"/>
  <c r="E140" i="6"/>
  <c r="E169" i="6"/>
  <c r="E153" i="6"/>
  <c r="D136" i="6"/>
  <c r="C136" i="6"/>
  <c r="E108" i="6"/>
  <c r="E116" i="6"/>
  <c r="E124" i="6"/>
  <c r="E105" i="6"/>
  <c r="E165" i="6"/>
  <c r="S118" i="6"/>
  <c r="E135" i="6"/>
  <c r="E170" i="6"/>
  <c r="N106" i="6"/>
  <c r="R106" i="6"/>
  <c r="E134" i="6"/>
  <c r="E106" i="6"/>
  <c r="E122" i="6"/>
  <c r="E130" i="6"/>
  <c r="E166" i="6"/>
  <c r="E164" i="6"/>
  <c r="E158" i="6"/>
  <c r="E156" i="6"/>
  <c r="E150" i="6"/>
  <c r="E148" i="6"/>
  <c r="E142" i="6"/>
  <c r="S105" i="6"/>
  <c r="E131" i="6"/>
  <c r="E107" i="6"/>
  <c r="E123" i="6"/>
  <c r="O105" i="6"/>
  <c r="B136" i="6"/>
  <c r="O111" i="6"/>
  <c r="E133" i="6"/>
  <c r="E121" i="6"/>
  <c r="E113" i="6"/>
  <c r="E126" i="6"/>
  <c r="E132" i="6"/>
  <c r="E128" i="6"/>
  <c r="E168" i="6"/>
  <c r="E160" i="6"/>
  <c r="E157" i="6"/>
  <c r="E152" i="6"/>
  <c r="E149" i="6"/>
  <c r="E144" i="6"/>
  <c r="O133" i="6"/>
  <c r="S132" i="6"/>
  <c r="E119" i="6"/>
  <c r="E127" i="6"/>
  <c r="E167" i="6"/>
  <c r="E159" i="6"/>
  <c r="E151" i="6"/>
  <c r="E143" i="6"/>
  <c r="E141" i="6"/>
  <c r="E117" i="6"/>
  <c r="E125" i="6"/>
  <c r="E112" i="6"/>
  <c r="E120" i="6"/>
  <c r="E129" i="6"/>
  <c r="E109" i="6"/>
  <c r="D11" i="1"/>
  <c r="D12" i="1" s="1"/>
  <c r="AA18" i="1"/>
  <c r="S18" i="1"/>
  <c r="K18" i="1"/>
  <c r="J18" i="1"/>
  <c r="R18" i="1"/>
  <c r="Z18" i="1"/>
  <c r="D18" i="1"/>
  <c r="L18" i="1"/>
  <c r="T18" i="1"/>
  <c r="V18" i="1"/>
  <c r="AD18" i="1"/>
  <c r="I18" i="1"/>
  <c r="Q18" i="1"/>
  <c r="Y18" i="1"/>
  <c r="AG18" i="1"/>
  <c r="B17" i="1"/>
  <c r="B23" i="1"/>
  <c r="B22" i="1"/>
  <c r="AB18" i="1"/>
  <c r="B11" i="1"/>
  <c r="B12" i="1" s="1"/>
  <c r="B26" i="1"/>
  <c r="B16" i="1"/>
  <c r="B27" i="1"/>
  <c r="B24" i="1"/>
  <c r="C18" i="1"/>
  <c r="E132" i="5"/>
  <c r="D20" i="5" s="1"/>
  <c r="C9" i="5" s="1"/>
  <c r="C7" i="1" s="1"/>
  <c r="B14" i="43" s="1"/>
  <c r="C17" i="43" s="1"/>
  <c r="D132" i="5"/>
  <c r="D19" i="5" s="1"/>
  <c r="C8" i="5" s="1"/>
  <c r="C6" i="1" s="1"/>
  <c r="U95" i="5"/>
  <c r="U94" i="5"/>
  <c r="U92" i="5"/>
  <c r="U75" i="5"/>
  <c r="U71" i="5"/>
  <c r="M96" i="5"/>
  <c r="E20" i="5" s="1"/>
  <c r="U66" i="5"/>
  <c r="T88" i="5"/>
  <c r="T74" i="5"/>
  <c r="T70" i="5"/>
  <c r="L96" i="5"/>
  <c r="E19" i="5" s="1"/>
  <c r="T81" i="5"/>
  <c r="T67" i="5"/>
  <c r="T83" i="5"/>
  <c r="T68" i="5"/>
  <c r="T76" i="5"/>
  <c r="T84" i="5"/>
  <c r="T95" i="5"/>
  <c r="U76" i="5"/>
  <c r="E96" i="5"/>
  <c r="C20" i="5" s="1"/>
  <c r="U72" i="5"/>
  <c r="U88" i="5"/>
  <c r="T89" i="5"/>
  <c r="D96" i="5"/>
  <c r="C19" i="5" s="1"/>
  <c r="T65" i="5"/>
  <c r="T69" i="5"/>
  <c r="T77" i="5"/>
  <c r="T85" i="5"/>
  <c r="T93" i="5"/>
  <c r="F65" i="5"/>
  <c r="H65" i="5" s="1"/>
  <c r="I65" i="5" s="1"/>
  <c r="U59" i="5"/>
  <c r="U52" i="5"/>
  <c r="U50" i="5"/>
  <c r="U46" i="5"/>
  <c r="U36" i="5"/>
  <c r="T54" i="5"/>
  <c r="T46" i="5"/>
  <c r="L60" i="5"/>
  <c r="F19" i="5" s="1"/>
  <c r="T53" i="5"/>
  <c r="N29" i="5"/>
  <c r="P29" i="5" s="1"/>
  <c r="Q29" i="5" s="1"/>
  <c r="U29" i="5"/>
  <c r="U60" i="5" s="1"/>
  <c r="D60" i="5"/>
  <c r="B19" i="5" s="1"/>
  <c r="E60" i="5"/>
  <c r="B20" i="5" s="1"/>
  <c r="M60" i="5"/>
  <c r="F20" i="5" s="1"/>
  <c r="J13" i="28"/>
  <c r="D53" i="38"/>
  <c r="E35" i="7" s="1"/>
  <c r="J13" i="35"/>
  <c r="H101" i="9"/>
  <c r="B59" i="42" s="1"/>
  <c r="K13" i="36"/>
  <c r="B26" i="37"/>
  <c r="B35" i="37" s="1"/>
  <c r="C30" i="36"/>
  <c r="C29" i="36"/>
  <c r="H84" i="36"/>
  <c r="AC7" i="42" s="1"/>
  <c r="AC22" i="42" s="1"/>
  <c r="B82" i="36"/>
  <c r="B52" i="36" s="1"/>
  <c r="B53" i="36" s="1"/>
  <c r="C33" i="7" s="1"/>
  <c r="H51" i="9"/>
  <c r="C82" i="9"/>
  <c r="C52" i="9" s="1"/>
  <c r="C53" i="9" s="1"/>
  <c r="D6" i="7" s="1"/>
  <c r="H84" i="9"/>
  <c r="H135" i="38"/>
  <c r="AE74" i="42" s="1"/>
  <c r="H68" i="9"/>
  <c r="F82" i="9"/>
  <c r="F52" i="9" s="1"/>
  <c r="F53" i="9" s="1"/>
  <c r="G6" i="7" s="1"/>
  <c r="D53" i="28"/>
  <c r="E25" i="7" s="1"/>
  <c r="H50" i="9"/>
  <c r="H101" i="36"/>
  <c r="AC59" i="42" s="1"/>
  <c r="H135" i="18"/>
  <c r="K74" i="42" s="1"/>
  <c r="K75" i="42" s="1"/>
  <c r="H68" i="10"/>
  <c r="H56" i="30"/>
  <c r="B50" i="26"/>
  <c r="B50" i="24"/>
  <c r="H50" i="24" s="1"/>
  <c r="H101" i="10"/>
  <c r="C59" i="42" s="1"/>
  <c r="H68" i="39"/>
  <c r="F82" i="38"/>
  <c r="F52" i="38" s="1"/>
  <c r="F53" i="38" s="1"/>
  <c r="G35" i="7" s="1"/>
  <c r="G50" i="37"/>
  <c r="E50" i="36"/>
  <c r="G82" i="36"/>
  <c r="G52" i="36" s="1"/>
  <c r="H85" i="29"/>
  <c r="V8" i="42" s="1"/>
  <c r="G50" i="27"/>
  <c r="H51" i="26"/>
  <c r="I46" i="25"/>
  <c r="C50" i="24"/>
  <c r="L12" i="20"/>
  <c r="I13" i="20" s="1"/>
  <c r="L13" i="20" s="1"/>
  <c r="H68" i="17"/>
  <c r="E16" i="39"/>
  <c r="E17" i="39" s="1"/>
  <c r="H65" i="39"/>
  <c r="H135" i="39"/>
  <c r="AF74" i="42" s="1"/>
  <c r="AF75" i="42" s="1"/>
  <c r="E16" i="38"/>
  <c r="E17" i="38" s="1"/>
  <c r="G82" i="38"/>
  <c r="G52" i="38" s="1"/>
  <c r="H59" i="37"/>
  <c r="H56" i="37" s="1"/>
  <c r="G82" i="37"/>
  <c r="G52" i="37" s="1"/>
  <c r="H85" i="37"/>
  <c r="AD8" i="42" s="1"/>
  <c r="E82" i="36"/>
  <c r="E52" i="36" s="1"/>
  <c r="H65" i="35"/>
  <c r="B82" i="35"/>
  <c r="B52" i="35" s="1"/>
  <c r="E82" i="34"/>
  <c r="E52" i="34" s="1"/>
  <c r="E53" i="34" s="1"/>
  <c r="F31" i="7" s="1"/>
  <c r="F16" i="32"/>
  <c r="F17" i="32" s="1"/>
  <c r="H101" i="31"/>
  <c r="X59" i="42" s="1"/>
  <c r="F16" i="30"/>
  <c r="F17" i="30" s="1"/>
  <c r="D50" i="28"/>
  <c r="F50" i="28"/>
  <c r="H50" i="28" s="1"/>
  <c r="E16" i="27"/>
  <c r="E17" i="27" s="1"/>
  <c r="D50" i="24"/>
  <c r="C82" i="22"/>
  <c r="C52" i="22" s="1"/>
  <c r="C53" i="22" s="1"/>
  <c r="D19" i="7" s="1"/>
  <c r="H85" i="21"/>
  <c r="N8" i="42" s="1"/>
  <c r="C29" i="18"/>
  <c r="B50" i="18"/>
  <c r="H46" i="14"/>
  <c r="F50" i="13"/>
  <c r="D82" i="11"/>
  <c r="D52" i="11" s="1"/>
  <c r="J13" i="36"/>
  <c r="H84" i="38"/>
  <c r="AE7" i="42" s="1"/>
  <c r="AE22" i="42" s="1"/>
  <c r="F50" i="25"/>
  <c r="F53" i="25" s="1"/>
  <c r="G22" i="7" s="1"/>
  <c r="D82" i="9"/>
  <c r="D52" i="9" s="1"/>
  <c r="D53" i="9" s="1"/>
  <c r="E6" i="7" s="1"/>
  <c r="C53" i="38"/>
  <c r="D35" i="7" s="1"/>
  <c r="H73" i="37"/>
  <c r="H135" i="34"/>
  <c r="AA74" i="42" s="1"/>
  <c r="E16" i="30"/>
  <c r="E17" i="30" s="1"/>
  <c r="H135" i="30"/>
  <c r="W74" i="42" s="1"/>
  <c r="W75" i="42" s="1"/>
  <c r="H73" i="19"/>
  <c r="B35" i="18"/>
  <c r="H51" i="17"/>
  <c r="L12" i="3"/>
  <c r="K13" i="3" s="1"/>
  <c r="B50" i="10"/>
  <c r="D82" i="10"/>
  <c r="D52" i="10" s="1"/>
  <c r="D53" i="10" s="1"/>
  <c r="E7" i="7" s="1"/>
  <c r="E82" i="39"/>
  <c r="E52" i="39" s="1"/>
  <c r="E53" i="39" s="1"/>
  <c r="F36" i="7" s="1"/>
  <c r="H85" i="38"/>
  <c r="AE8" i="42" s="1"/>
  <c r="D82" i="35"/>
  <c r="D52" i="35" s="1"/>
  <c r="D82" i="34"/>
  <c r="D52" i="34" s="1"/>
  <c r="G53" i="33"/>
  <c r="H30" i="7" s="1"/>
  <c r="B50" i="33"/>
  <c r="G82" i="30"/>
  <c r="G52" i="30" s="1"/>
  <c r="H101" i="30"/>
  <c r="W59" i="42" s="1"/>
  <c r="H85" i="28"/>
  <c r="U8" i="42" s="1"/>
  <c r="D82" i="26"/>
  <c r="D52" i="26" s="1"/>
  <c r="D53" i="26" s="1"/>
  <c r="E23" i="7" s="1"/>
  <c r="B82" i="24"/>
  <c r="B52" i="24" s="1"/>
  <c r="E50" i="21"/>
  <c r="C82" i="21"/>
  <c r="C52" i="21" s="1"/>
  <c r="E50" i="19"/>
  <c r="H51" i="14"/>
  <c r="F50" i="12"/>
  <c r="F53" i="12" s="1"/>
  <c r="G9" i="7" s="1"/>
  <c r="F53" i="37"/>
  <c r="G34" i="7" s="1"/>
  <c r="L12" i="29"/>
  <c r="K13" i="29" s="1"/>
  <c r="C27" i="28"/>
  <c r="C26" i="28" s="1"/>
  <c r="H49" i="25"/>
  <c r="H85" i="23"/>
  <c r="P8" i="42" s="1"/>
  <c r="E16" i="10"/>
  <c r="E17" i="10" s="1"/>
  <c r="F16" i="38"/>
  <c r="F17" i="38" s="1"/>
  <c r="E16" i="37"/>
  <c r="E17" i="37" s="1"/>
  <c r="H46" i="37"/>
  <c r="C50" i="37"/>
  <c r="C53" i="37" s="1"/>
  <c r="D34" i="7" s="1"/>
  <c r="H65" i="36"/>
  <c r="D50" i="35"/>
  <c r="H51" i="34"/>
  <c r="H65" i="34"/>
  <c r="C50" i="33"/>
  <c r="H135" i="32"/>
  <c r="Y74" i="42" s="1"/>
  <c r="Y75" i="42" s="1"/>
  <c r="G82" i="31"/>
  <c r="G52" i="31" s="1"/>
  <c r="D50" i="27"/>
  <c r="H46" i="24"/>
  <c r="I46" i="24" s="1"/>
  <c r="D82" i="24"/>
  <c r="D52" i="24" s="1"/>
  <c r="H51" i="23"/>
  <c r="D50" i="22"/>
  <c r="G50" i="21"/>
  <c r="H68" i="21"/>
  <c r="E82" i="21"/>
  <c r="E52" i="21" s="1"/>
  <c r="E53" i="21" s="1"/>
  <c r="F18" i="7" s="1"/>
  <c r="I13" i="18"/>
  <c r="L13" i="18" s="1"/>
  <c r="F53" i="17"/>
  <c r="G14" i="7" s="1"/>
  <c r="C82" i="16"/>
  <c r="C52" i="16" s="1"/>
  <c r="B50" i="14"/>
  <c r="B53" i="14" s="1"/>
  <c r="C11" i="7" s="1"/>
  <c r="F16" i="11"/>
  <c r="F17" i="11" s="1"/>
  <c r="B50" i="11"/>
  <c r="F53" i="36"/>
  <c r="G33" i="7" s="1"/>
  <c r="F82" i="31"/>
  <c r="F52" i="31" s="1"/>
  <c r="H135" i="11"/>
  <c r="D74" i="42" s="1"/>
  <c r="G50" i="39"/>
  <c r="G53" i="39" s="1"/>
  <c r="H36" i="7" s="1"/>
  <c r="F53" i="39"/>
  <c r="G36" i="7" s="1"/>
  <c r="F50" i="32"/>
  <c r="F53" i="32" s="1"/>
  <c r="G29" i="7" s="1"/>
  <c r="B50" i="29"/>
  <c r="D82" i="12"/>
  <c r="D52" i="12" s="1"/>
  <c r="D53" i="12" s="1"/>
  <c r="E9" i="7" s="1"/>
  <c r="H85" i="10"/>
  <c r="C8" i="42" s="1"/>
  <c r="F16" i="9"/>
  <c r="F17" i="9" s="1"/>
  <c r="E82" i="10"/>
  <c r="E52" i="10" s="1"/>
  <c r="E53" i="10" s="1"/>
  <c r="F7" i="7" s="1"/>
  <c r="H101" i="37"/>
  <c r="AD59" i="42" s="1"/>
  <c r="B53" i="32"/>
  <c r="C29" i="7" s="1"/>
  <c r="D82" i="22"/>
  <c r="D52" i="22" s="1"/>
  <c r="B33" i="11"/>
  <c r="E28" i="1" s="1"/>
  <c r="D63" i="8" s="1"/>
  <c r="O71" i="8" s="1"/>
  <c r="E82" i="9"/>
  <c r="E52" i="9" s="1"/>
  <c r="E53" i="9" s="1"/>
  <c r="F6" i="7" s="1"/>
  <c r="D50" i="39"/>
  <c r="H50" i="39" s="1"/>
  <c r="F16" i="37"/>
  <c r="F17" i="37" s="1"/>
  <c r="E16" i="36"/>
  <c r="E17" i="36" s="1"/>
  <c r="H73" i="36"/>
  <c r="H46" i="35"/>
  <c r="I46" i="35" s="1"/>
  <c r="H51" i="35"/>
  <c r="B35" i="34"/>
  <c r="C30" i="34"/>
  <c r="F82" i="34"/>
  <c r="F52" i="34" s="1"/>
  <c r="F53" i="34" s="1"/>
  <c r="G31" i="7" s="1"/>
  <c r="C82" i="34"/>
  <c r="C52" i="34" s="1"/>
  <c r="D50" i="33"/>
  <c r="H65" i="31"/>
  <c r="H59" i="29"/>
  <c r="H56" i="29" s="1"/>
  <c r="H59" i="26"/>
  <c r="H56" i="26" s="1"/>
  <c r="H84" i="24"/>
  <c r="C33" i="23"/>
  <c r="B26" i="23"/>
  <c r="C28" i="23" s="1"/>
  <c r="F82" i="21"/>
  <c r="F52" i="21" s="1"/>
  <c r="F53" i="21" s="1"/>
  <c r="G18" i="7" s="1"/>
  <c r="E82" i="19"/>
  <c r="E52" i="19" s="1"/>
  <c r="H135" i="17"/>
  <c r="J74" i="42" s="1"/>
  <c r="H101" i="12"/>
  <c r="E59" i="42" s="1"/>
  <c r="G50" i="35"/>
  <c r="H50" i="35" s="1"/>
  <c r="E82" i="35"/>
  <c r="E52" i="35" s="1"/>
  <c r="E53" i="35" s="1"/>
  <c r="F32" i="7" s="1"/>
  <c r="D50" i="34"/>
  <c r="G82" i="34"/>
  <c r="G52" i="34" s="1"/>
  <c r="G53" i="34" s="1"/>
  <c r="H31" i="7" s="1"/>
  <c r="F50" i="33"/>
  <c r="E82" i="33"/>
  <c r="E52" i="33" s="1"/>
  <c r="G53" i="31"/>
  <c r="H28" i="7" s="1"/>
  <c r="D50" i="31"/>
  <c r="H135" i="31"/>
  <c r="X74" i="42" s="1"/>
  <c r="H51" i="29"/>
  <c r="K13" i="28"/>
  <c r="H68" i="28"/>
  <c r="G50" i="25"/>
  <c r="H73" i="25"/>
  <c r="B50" i="23"/>
  <c r="H101" i="23"/>
  <c r="P59" i="42" s="1"/>
  <c r="C82" i="23"/>
  <c r="C52" i="23" s="1"/>
  <c r="C53" i="23" s="1"/>
  <c r="D20" i="7" s="1"/>
  <c r="F53" i="20"/>
  <c r="G17" i="7" s="1"/>
  <c r="H73" i="20"/>
  <c r="F50" i="19"/>
  <c r="C82" i="18"/>
  <c r="C52" i="18" s="1"/>
  <c r="C53" i="18" s="1"/>
  <c r="D15" i="7" s="1"/>
  <c r="H85" i="17"/>
  <c r="J8" i="42" s="1"/>
  <c r="E50" i="16"/>
  <c r="E53" i="16" s="1"/>
  <c r="F13" i="7" s="1"/>
  <c r="F16" i="15"/>
  <c r="F17" i="15" s="1"/>
  <c r="G50" i="15"/>
  <c r="G53" i="15" s="1"/>
  <c r="H12" i="7" s="1"/>
  <c r="B82" i="15"/>
  <c r="B52" i="15" s="1"/>
  <c r="H135" i="15"/>
  <c r="H74" i="42" s="1"/>
  <c r="H75" i="42" s="1"/>
  <c r="H49" i="14"/>
  <c r="D50" i="14"/>
  <c r="D53" i="14" s="1"/>
  <c r="E11" i="7" s="1"/>
  <c r="E82" i="14"/>
  <c r="E52" i="14" s="1"/>
  <c r="B82" i="13"/>
  <c r="B52" i="13" s="1"/>
  <c r="B53" i="13" s="1"/>
  <c r="C10" i="7" s="1"/>
  <c r="H101" i="13"/>
  <c r="F59" i="42" s="1"/>
  <c r="E16" i="12"/>
  <c r="E17" i="12" s="1"/>
  <c r="C50" i="11"/>
  <c r="E82" i="11"/>
  <c r="E52" i="11" s="1"/>
  <c r="E53" i="11" s="1"/>
  <c r="F8" i="7" s="1"/>
  <c r="F82" i="33"/>
  <c r="F52" i="33" s="1"/>
  <c r="D82" i="32"/>
  <c r="D52" i="32" s="1"/>
  <c r="E16" i="31"/>
  <c r="E17" i="31" s="1"/>
  <c r="I46" i="31"/>
  <c r="F16" i="29"/>
  <c r="F17" i="29" s="1"/>
  <c r="H135" i="29"/>
  <c r="V74" i="42" s="1"/>
  <c r="F16" i="26"/>
  <c r="F17" i="26" s="1"/>
  <c r="F82" i="26"/>
  <c r="F52" i="26" s="1"/>
  <c r="F53" i="26" s="1"/>
  <c r="G23" i="7" s="1"/>
  <c r="B50" i="21"/>
  <c r="H50" i="21" s="1"/>
  <c r="H73" i="21"/>
  <c r="D50" i="20"/>
  <c r="E16" i="19"/>
  <c r="E17" i="19" s="1"/>
  <c r="H135" i="19"/>
  <c r="L74" i="42" s="1"/>
  <c r="F50" i="16"/>
  <c r="F53" i="16" s="1"/>
  <c r="G13" i="7" s="1"/>
  <c r="G82" i="16"/>
  <c r="G52" i="16" s="1"/>
  <c r="E50" i="14"/>
  <c r="F50" i="14"/>
  <c r="H135" i="14"/>
  <c r="G74" i="42" s="1"/>
  <c r="H65" i="13"/>
  <c r="H59" i="12"/>
  <c r="H56" i="12" s="1"/>
  <c r="H135" i="12"/>
  <c r="E74" i="42" s="1"/>
  <c r="C82" i="35"/>
  <c r="C52" i="35" s="1"/>
  <c r="C53" i="35" s="1"/>
  <c r="D32" i="7" s="1"/>
  <c r="J13" i="34"/>
  <c r="H46" i="34"/>
  <c r="I46" i="34" s="1"/>
  <c r="H59" i="33"/>
  <c r="H56" i="33" s="1"/>
  <c r="H65" i="32"/>
  <c r="H73" i="32"/>
  <c r="E82" i="32"/>
  <c r="E52" i="32" s="1"/>
  <c r="E53" i="32" s="1"/>
  <c r="F29" i="7" s="1"/>
  <c r="F16" i="31"/>
  <c r="F17" i="31" s="1"/>
  <c r="F82" i="29"/>
  <c r="F52" i="29" s="1"/>
  <c r="F53" i="29" s="1"/>
  <c r="G26" i="7" s="1"/>
  <c r="H46" i="28"/>
  <c r="I46" i="28" s="1"/>
  <c r="H101" i="27"/>
  <c r="T59" i="42" s="1"/>
  <c r="C50" i="26"/>
  <c r="H101" i="26"/>
  <c r="S59" i="42" s="1"/>
  <c r="G53" i="23"/>
  <c r="H20" i="7" s="1"/>
  <c r="H46" i="22"/>
  <c r="H59" i="19"/>
  <c r="H56" i="19" s="1"/>
  <c r="E82" i="18"/>
  <c r="E52" i="18" s="1"/>
  <c r="E53" i="18" s="1"/>
  <c r="F15" i="7" s="1"/>
  <c r="E50" i="17"/>
  <c r="H50" i="17" s="1"/>
  <c r="C82" i="17"/>
  <c r="C52" i="17" s="1"/>
  <c r="C53" i="17" s="1"/>
  <c r="D14" i="7" s="1"/>
  <c r="H65" i="15"/>
  <c r="H73" i="15"/>
  <c r="G82" i="14"/>
  <c r="G52" i="14" s="1"/>
  <c r="G53" i="14" s="1"/>
  <c r="H11" i="7" s="1"/>
  <c r="G82" i="13"/>
  <c r="G52" i="13" s="1"/>
  <c r="G53" i="13" s="1"/>
  <c r="H10" i="7" s="1"/>
  <c r="C50" i="15"/>
  <c r="H51" i="15"/>
  <c r="D50" i="13"/>
  <c r="H73" i="13"/>
  <c r="G50" i="11"/>
  <c r="H46" i="27"/>
  <c r="I46" i="27" s="1"/>
  <c r="G82" i="27"/>
  <c r="G52" i="27" s="1"/>
  <c r="G50" i="26"/>
  <c r="H135" i="25"/>
  <c r="R74" i="42" s="1"/>
  <c r="H59" i="24"/>
  <c r="H56" i="24" s="1"/>
  <c r="H68" i="24"/>
  <c r="F50" i="23"/>
  <c r="F53" i="23" s="1"/>
  <c r="G20" i="7" s="1"/>
  <c r="H135" i="22"/>
  <c r="O74" i="42" s="1"/>
  <c r="C82" i="20"/>
  <c r="C52" i="20" s="1"/>
  <c r="B50" i="19"/>
  <c r="H101" i="19"/>
  <c r="L59" i="42" s="1"/>
  <c r="D82" i="19"/>
  <c r="D52" i="19" s="1"/>
  <c r="D53" i="19" s="1"/>
  <c r="E16" i="7" s="1"/>
  <c r="F50" i="18"/>
  <c r="D82" i="18"/>
  <c r="D52" i="18" s="1"/>
  <c r="H65" i="16"/>
  <c r="H51" i="16"/>
  <c r="H59" i="14"/>
  <c r="H56" i="14" s="1"/>
  <c r="H73" i="14"/>
  <c r="H101" i="14"/>
  <c r="G59" i="42" s="1"/>
  <c r="H46" i="13"/>
  <c r="I46" i="13" s="1"/>
  <c r="H135" i="13"/>
  <c r="F74" i="42" s="1"/>
  <c r="H46" i="12"/>
  <c r="D50" i="12"/>
  <c r="N65" i="5"/>
  <c r="K66" i="5" s="1"/>
  <c r="N66" i="5" s="1"/>
  <c r="K67" i="5" s="1"/>
  <c r="N67" i="5" s="1"/>
  <c r="B18" i="5"/>
  <c r="S29" i="5"/>
  <c r="S60" i="5" s="1"/>
  <c r="D18" i="5"/>
  <c r="C18" i="5"/>
  <c r="F18" i="5"/>
  <c r="E18" i="5"/>
  <c r="W96" i="5"/>
  <c r="S65" i="5"/>
  <c r="S96" i="5" s="1"/>
  <c r="C60" i="5"/>
  <c r="F101" i="5"/>
  <c r="C102" i="5" s="1"/>
  <c r="F102" i="5" s="1"/>
  <c r="C103" i="5" s="1"/>
  <c r="F103" i="5" s="1"/>
  <c r="K60" i="5"/>
  <c r="C96" i="5"/>
  <c r="C30" i="5"/>
  <c r="F30" i="5" s="1"/>
  <c r="F53" i="10"/>
  <c r="G7" i="7" s="1"/>
  <c r="H85" i="36"/>
  <c r="AC8" i="42" s="1"/>
  <c r="J13" i="10"/>
  <c r="K13" i="10"/>
  <c r="H49" i="36"/>
  <c r="D53" i="39"/>
  <c r="E36" i="7" s="1"/>
  <c r="H51" i="36"/>
  <c r="D53" i="33"/>
  <c r="E30" i="7" s="1"/>
  <c r="H50" i="10"/>
  <c r="C82" i="10"/>
  <c r="C52" i="10" s="1"/>
  <c r="C53" i="10" s="1"/>
  <c r="D7" i="7" s="1"/>
  <c r="C32" i="39"/>
  <c r="C29" i="39"/>
  <c r="C27" i="39"/>
  <c r="C26" i="39" s="1"/>
  <c r="B35" i="39"/>
  <c r="C31" i="39"/>
  <c r="C28" i="39"/>
  <c r="C30" i="39"/>
  <c r="H51" i="37"/>
  <c r="B53" i="37"/>
  <c r="C34" i="7" s="1"/>
  <c r="H49" i="37"/>
  <c r="G53" i="38"/>
  <c r="H35" i="7" s="1"/>
  <c r="H49" i="39"/>
  <c r="H49" i="38"/>
  <c r="H50" i="37"/>
  <c r="H50" i="34"/>
  <c r="B82" i="30"/>
  <c r="B52" i="30" s="1"/>
  <c r="B53" i="30" s="1"/>
  <c r="C27" i="7" s="1"/>
  <c r="H85" i="30"/>
  <c r="W8" i="42" s="1"/>
  <c r="H101" i="39"/>
  <c r="AF59" i="42" s="1"/>
  <c r="C27" i="36"/>
  <c r="C26" i="36" s="1"/>
  <c r="H135" i="36"/>
  <c r="AC74" i="42" s="1"/>
  <c r="B26" i="35"/>
  <c r="H73" i="34"/>
  <c r="H73" i="33"/>
  <c r="C28" i="32"/>
  <c r="C27" i="32"/>
  <c r="C26" i="32" s="1"/>
  <c r="H49" i="31"/>
  <c r="D53" i="30"/>
  <c r="E27" i="7" s="1"/>
  <c r="H84" i="30"/>
  <c r="W7" i="42" s="1"/>
  <c r="W22" i="42" s="1"/>
  <c r="F82" i="30"/>
  <c r="F52" i="30" s="1"/>
  <c r="H49" i="29"/>
  <c r="H49" i="10"/>
  <c r="H84" i="10"/>
  <c r="C7" i="42" s="1"/>
  <c r="C22" i="42" s="1"/>
  <c r="C27" i="38"/>
  <c r="C26" i="38" s="1"/>
  <c r="C32" i="38"/>
  <c r="B33" i="10"/>
  <c r="D28" i="1" s="1"/>
  <c r="C63" i="8" s="1"/>
  <c r="O70" i="8" s="1"/>
  <c r="H46" i="10"/>
  <c r="I46" i="10" s="1"/>
  <c r="L12" i="39"/>
  <c r="I13" i="39" s="1"/>
  <c r="L13" i="39" s="1"/>
  <c r="I46" i="38"/>
  <c r="C33" i="38"/>
  <c r="B82" i="38"/>
  <c r="B52" i="38" s="1"/>
  <c r="L12" i="37"/>
  <c r="J13" i="37" s="1"/>
  <c r="C28" i="36"/>
  <c r="H84" i="35"/>
  <c r="AB7" i="42" s="1"/>
  <c r="AB22" i="42" s="1"/>
  <c r="C27" i="34"/>
  <c r="C26" i="34" s="1"/>
  <c r="I46" i="33"/>
  <c r="E53" i="33"/>
  <c r="F30" i="7" s="1"/>
  <c r="C33" i="32"/>
  <c r="D53" i="32"/>
  <c r="E29" i="7" s="1"/>
  <c r="H73" i="31"/>
  <c r="D82" i="31"/>
  <c r="D52" i="31" s="1"/>
  <c r="H84" i="39"/>
  <c r="C33" i="39"/>
  <c r="C82" i="39"/>
  <c r="C52" i="39" s="1"/>
  <c r="C53" i="39" s="1"/>
  <c r="D36" i="7" s="1"/>
  <c r="H73" i="38"/>
  <c r="C31" i="36"/>
  <c r="H101" i="34"/>
  <c r="AA59" i="42" s="1"/>
  <c r="I13" i="33"/>
  <c r="L13" i="33" s="1"/>
  <c r="C53" i="32"/>
  <c r="D29" i="7" s="1"/>
  <c r="H49" i="32"/>
  <c r="H51" i="31"/>
  <c r="H85" i="31"/>
  <c r="X8" i="42" s="1"/>
  <c r="H84" i="31"/>
  <c r="X7" i="42" s="1"/>
  <c r="C82" i="31"/>
  <c r="C52" i="31" s="1"/>
  <c r="G53" i="30"/>
  <c r="H27" i="7" s="1"/>
  <c r="E53" i="29"/>
  <c r="F26" i="7" s="1"/>
  <c r="C28" i="33"/>
  <c r="C27" i="33"/>
  <c r="C26" i="33" s="1"/>
  <c r="C32" i="33"/>
  <c r="C31" i="33"/>
  <c r="H51" i="30"/>
  <c r="B82" i="10"/>
  <c r="B52" i="10" s="1"/>
  <c r="B82" i="39"/>
  <c r="B52" i="39" s="1"/>
  <c r="B53" i="39" s="1"/>
  <c r="C36" i="7" s="1"/>
  <c r="L12" i="38"/>
  <c r="C28" i="38"/>
  <c r="H51" i="38"/>
  <c r="H84" i="37"/>
  <c r="H135" i="37"/>
  <c r="AD74" i="42" s="1"/>
  <c r="C32" i="36"/>
  <c r="C33" i="34"/>
  <c r="J13" i="33"/>
  <c r="C30" i="33"/>
  <c r="H51" i="33"/>
  <c r="C53" i="30"/>
  <c r="D27" i="7" s="1"/>
  <c r="H73" i="29"/>
  <c r="C30" i="27"/>
  <c r="C29" i="27"/>
  <c r="C28" i="27"/>
  <c r="C27" i="27"/>
  <c r="C26" i="27" s="1"/>
  <c r="C32" i="27"/>
  <c r="C31" i="27"/>
  <c r="F53" i="30"/>
  <c r="G27" i="7" s="1"/>
  <c r="I13" i="10"/>
  <c r="L13" i="10" s="1"/>
  <c r="C29" i="38"/>
  <c r="B50" i="38"/>
  <c r="H50" i="38" s="1"/>
  <c r="H101" i="38"/>
  <c r="AE59" i="42" s="1"/>
  <c r="I46" i="37"/>
  <c r="C33" i="36"/>
  <c r="D82" i="36"/>
  <c r="D52" i="36" s="1"/>
  <c r="D53" i="36" s="1"/>
  <c r="E33" i="7" s="1"/>
  <c r="I13" i="35"/>
  <c r="L13" i="35" s="1"/>
  <c r="G82" i="35"/>
  <c r="G52" i="35" s="1"/>
  <c r="K13" i="34"/>
  <c r="H85" i="34"/>
  <c r="AA8" i="42" s="1"/>
  <c r="B82" i="34"/>
  <c r="B52" i="34" s="1"/>
  <c r="H84" i="34"/>
  <c r="AA7" i="42" s="1"/>
  <c r="AA22" i="42" s="1"/>
  <c r="C33" i="33"/>
  <c r="H84" i="33"/>
  <c r="Z7" i="42" s="1"/>
  <c r="E82" i="31"/>
  <c r="E52" i="31" s="1"/>
  <c r="E53" i="31" s="1"/>
  <c r="F28" i="7" s="1"/>
  <c r="J13" i="30"/>
  <c r="H50" i="30"/>
  <c r="G53" i="10"/>
  <c r="H7" i="7" s="1"/>
  <c r="C30" i="38"/>
  <c r="C27" i="37"/>
  <c r="C26" i="37" s="1"/>
  <c r="B35" i="36"/>
  <c r="I46" i="36"/>
  <c r="H49" i="35"/>
  <c r="B53" i="35"/>
  <c r="C32" i="7" s="1"/>
  <c r="H85" i="35"/>
  <c r="AB8" i="42" s="1"/>
  <c r="H49" i="33"/>
  <c r="H85" i="33"/>
  <c r="Z8" i="42" s="1"/>
  <c r="B82" i="33"/>
  <c r="B52" i="33" s="1"/>
  <c r="H49" i="30"/>
  <c r="H51" i="39"/>
  <c r="C31" i="38"/>
  <c r="E53" i="37"/>
  <c r="F34" i="7" s="1"/>
  <c r="C32" i="34"/>
  <c r="C31" i="34"/>
  <c r="C29" i="34"/>
  <c r="C28" i="34"/>
  <c r="C53" i="34"/>
  <c r="D31" i="7" s="1"/>
  <c r="H49" i="34"/>
  <c r="H51" i="32"/>
  <c r="B26" i="31"/>
  <c r="C33" i="31" s="1"/>
  <c r="K13" i="30"/>
  <c r="I13" i="30"/>
  <c r="L13" i="30" s="1"/>
  <c r="C53" i="29"/>
  <c r="D26" i="7" s="1"/>
  <c r="B35" i="32"/>
  <c r="I46" i="32"/>
  <c r="I13" i="31"/>
  <c r="L13" i="31" s="1"/>
  <c r="B33" i="30"/>
  <c r="X28" i="1" s="1"/>
  <c r="W63" i="8" s="1"/>
  <c r="O90" i="8" s="1"/>
  <c r="H46" i="30"/>
  <c r="I46" i="30" s="1"/>
  <c r="B33" i="29"/>
  <c r="W28" i="1" s="1"/>
  <c r="V63" i="8" s="1"/>
  <c r="O89" i="8" s="1"/>
  <c r="H46" i="29"/>
  <c r="I46" i="29" s="1"/>
  <c r="H73" i="28"/>
  <c r="H84" i="28"/>
  <c r="F82" i="28"/>
  <c r="F52" i="28" s="1"/>
  <c r="H52" i="28" s="1"/>
  <c r="H73" i="27"/>
  <c r="C27" i="24"/>
  <c r="C26" i="24" s="1"/>
  <c r="C32" i="24"/>
  <c r="C31" i="24"/>
  <c r="C30" i="24"/>
  <c r="C29" i="24"/>
  <c r="C28" i="24"/>
  <c r="H101" i="24"/>
  <c r="Q59" i="42" s="1"/>
  <c r="L12" i="32"/>
  <c r="K13" i="32" s="1"/>
  <c r="F50" i="31"/>
  <c r="B82" i="31"/>
  <c r="B52" i="31" s="1"/>
  <c r="H84" i="29"/>
  <c r="C53" i="28"/>
  <c r="D25" i="7" s="1"/>
  <c r="F53" i="27"/>
  <c r="G24" i="7" s="1"/>
  <c r="G53" i="25"/>
  <c r="H22" i="7" s="1"/>
  <c r="D53" i="24"/>
  <c r="E21" i="7" s="1"/>
  <c r="D53" i="29"/>
  <c r="E26" i="7" s="1"/>
  <c r="H101" i="28"/>
  <c r="U59" i="42" s="1"/>
  <c r="C33" i="27"/>
  <c r="H84" i="27"/>
  <c r="C82" i="27"/>
  <c r="C52" i="27" s="1"/>
  <c r="L12" i="26"/>
  <c r="K13" i="26" s="1"/>
  <c r="D53" i="25"/>
  <c r="E22" i="7" s="1"/>
  <c r="H49" i="24"/>
  <c r="D53" i="23"/>
  <c r="E20" i="7" s="1"/>
  <c r="B35" i="38"/>
  <c r="B82" i="29"/>
  <c r="B52" i="29" s="1"/>
  <c r="E53" i="28"/>
  <c r="F25" i="7" s="1"/>
  <c r="H51" i="28"/>
  <c r="H49" i="27"/>
  <c r="B53" i="27"/>
  <c r="C24" i="7" s="1"/>
  <c r="C82" i="26"/>
  <c r="C52" i="26" s="1"/>
  <c r="L12" i="25"/>
  <c r="I13" i="25" s="1"/>
  <c r="L13" i="25" s="1"/>
  <c r="B26" i="25"/>
  <c r="C33" i="25" s="1"/>
  <c r="E82" i="25"/>
  <c r="E52" i="25" s="1"/>
  <c r="E53" i="25" s="1"/>
  <c r="F22" i="7" s="1"/>
  <c r="H49" i="22"/>
  <c r="B35" i="33"/>
  <c r="H68" i="31"/>
  <c r="H68" i="30"/>
  <c r="E82" i="30"/>
  <c r="E52" i="30" s="1"/>
  <c r="E53" i="30" s="1"/>
  <c r="F27" i="7" s="1"/>
  <c r="I13" i="29"/>
  <c r="L13" i="29" s="1"/>
  <c r="H51" i="27"/>
  <c r="E82" i="27"/>
  <c r="E52" i="27" s="1"/>
  <c r="E53" i="27" s="1"/>
  <c r="F24" i="7" s="1"/>
  <c r="G82" i="32"/>
  <c r="G52" i="32" s="1"/>
  <c r="K13" i="31"/>
  <c r="G53" i="28"/>
  <c r="H25" i="7" s="1"/>
  <c r="H51" i="24"/>
  <c r="L12" i="21"/>
  <c r="I13" i="21" s="1"/>
  <c r="L13" i="21" s="1"/>
  <c r="H85" i="32"/>
  <c r="C50" i="31"/>
  <c r="H49" i="28"/>
  <c r="B53" i="28"/>
  <c r="C25" i="7" s="1"/>
  <c r="L12" i="27"/>
  <c r="J13" i="27" s="1"/>
  <c r="H85" i="25"/>
  <c r="R8" i="42" s="1"/>
  <c r="F53" i="24"/>
  <c r="G21" i="7" s="1"/>
  <c r="H49" i="23"/>
  <c r="H51" i="20"/>
  <c r="D82" i="17"/>
  <c r="D52" i="17" s="1"/>
  <c r="H84" i="17"/>
  <c r="C29" i="28"/>
  <c r="H85" i="27"/>
  <c r="T8" i="42" s="1"/>
  <c r="D82" i="27"/>
  <c r="D52" i="27" s="1"/>
  <c r="E82" i="26"/>
  <c r="E52" i="26" s="1"/>
  <c r="E53" i="26" s="1"/>
  <c r="F23" i="7" s="1"/>
  <c r="H101" i="25"/>
  <c r="R59" i="42" s="1"/>
  <c r="G82" i="24"/>
  <c r="G52" i="24" s="1"/>
  <c r="G53" i="24" s="1"/>
  <c r="H21" i="7" s="1"/>
  <c r="H135" i="23"/>
  <c r="P74" i="42" s="1"/>
  <c r="P75" i="42" s="1"/>
  <c r="C50" i="22"/>
  <c r="H50" i="22" s="1"/>
  <c r="B33" i="21"/>
  <c r="O28" i="1" s="1"/>
  <c r="N63" i="8" s="1"/>
  <c r="O81" i="8" s="1"/>
  <c r="I46" i="21"/>
  <c r="B82" i="21"/>
  <c r="B52" i="21" s="1"/>
  <c r="H84" i="21"/>
  <c r="H85" i="26"/>
  <c r="S8" i="42" s="1"/>
  <c r="G82" i="26"/>
  <c r="G52" i="26" s="1"/>
  <c r="G53" i="26" s="1"/>
  <c r="H23" i="7" s="1"/>
  <c r="B82" i="25"/>
  <c r="B52" i="25" s="1"/>
  <c r="B53" i="25" s="1"/>
  <c r="C22" i="7" s="1"/>
  <c r="H84" i="25"/>
  <c r="R7" i="42" s="1"/>
  <c r="R22" i="42" s="1"/>
  <c r="C53" i="24"/>
  <c r="D21" i="7" s="1"/>
  <c r="H85" i="24"/>
  <c r="Q8" i="42" s="1"/>
  <c r="B82" i="19"/>
  <c r="B52" i="19" s="1"/>
  <c r="H84" i="19"/>
  <c r="C82" i="15"/>
  <c r="C52" i="15" s="1"/>
  <c r="L12" i="14"/>
  <c r="K13" i="14" s="1"/>
  <c r="C32" i="28"/>
  <c r="B35" i="27"/>
  <c r="B33" i="26"/>
  <c r="T28" i="1" s="1"/>
  <c r="S63" i="8" s="1"/>
  <c r="O86" i="8" s="1"/>
  <c r="H46" i="26"/>
  <c r="I46" i="26" s="1"/>
  <c r="H65" i="25"/>
  <c r="C82" i="25"/>
  <c r="C52" i="25" s="1"/>
  <c r="C53" i="25" s="1"/>
  <c r="D22" i="7" s="1"/>
  <c r="E50" i="23"/>
  <c r="H50" i="23" s="1"/>
  <c r="H84" i="22"/>
  <c r="O7" i="42" s="1"/>
  <c r="B82" i="22"/>
  <c r="B52" i="22" s="1"/>
  <c r="C53" i="21"/>
  <c r="D18" i="7" s="1"/>
  <c r="H51" i="25"/>
  <c r="H73" i="24"/>
  <c r="I46" i="23"/>
  <c r="H73" i="23"/>
  <c r="B82" i="23"/>
  <c r="B52" i="23" s="1"/>
  <c r="H84" i="23"/>
  <c r="D53" i="22"/>
  <c r="E19" i="7" s="1"/>
  <c r="H84" i="20"/>
  <c r="M7" i="42" s="1"/>
  <c r="M22" i="42" s="1"/>
  <c r="H49" i="26"/>
  <c r="F16" i="24"/>
  <c r="F17" i="24" s="1"/>
  <c r="C32" i="23"/>
  <c r="C31" i="23"/>
  <c r="C30" i="23"/>
  <c r="C29" i="23"/>
  <c r="C27" i="23"/>
  <c r="C26" i="23" s="1"/>
  <c r="E82" i="22"/>
  <c r="E52" i="22" s="1"/>
  <c r="E53" i="22" s="1"/>
  <c r="F19" i="7" s="1"/>
  <c r="H84" i="26"/>
  <c r="C33" i="24"/>
  <c r="E82" i="24"/>
  <c r="E52" i="24" s="1"/>
  <c r="E53" i="24" s="1"/>
  <c r="F21" i="7" s="1"/>
  <c r="H65" i="23"/>
  <c r="C30" i="22"/>
  <c r="C28" i="22"/>
  <c r="C27" i="22"/>
  <c r="C26" i="22" s="1"/>
  <c r="C32" i="22"/>
  <c r="C33" i="22"/>
  <c r="C29" i="22"/>
  <c r="H51" i="22"/>
  <c r="H50" i="20"/>
  <c r="B53" i="19"/>
  <c r="C16" i="7" s="1"/>
  <c r="L12" i="23"/>
  <c r="I13" i="23" s="1"/>
  <c r="L13" i="23" s="1"/>
  <c r="B35" i="23"/>
  <c r="F53" i="22"/>
  <c r="G19" i="7" s="1"/>
  <c r="H46" i="20"/>
  <c r="I46" i="20" s="1"/>
  <c r="E82" i="20"/>
  <c r="E52" i="20" s="1"/>
  <c r="E53" i="20" s="1"/>
  <c r="F17" i="7" s="1"/>
  <c r="G53" i="19"/>
  <c r="H16" i="7" s="1"/>
  <c r="C33" i="18"/>
  <c r="H46" i="18"/>
  <c r="I46" i="18" s="1"/>
  <c r="B26" i="17"/>
  <c r="B35" i="17" s="1"/>
  <c r="H49" i="16"/>
  <c r="L12" i="15"/>
  <c r="K13" i="15" s="1"/>
  <c r="C33" i="15"/>
  <c r="H49" i="17"/>
  <c r="C53" i="16"/>
  <c r="D13" i="7" s="1"/>
  <c r="L12" i="22"/>
  <c r="K13" i="22" s="1"/>
  <c r="G82" i="22"/>
  <c r="G52" i="22" s="1"/>
  <c r="G53" i="22" s="1"/>
  <c r="H19" i="7" s="1"/>
  <c r="H49" i="20"/>
  <c r="B53" i="20"/>
  <c r="C17" i="7" s="1"/>
  <c r="G82" i="20"/>
  <c r="G52" i="20" s="1"/>
  <c r="G53" i="20" s="1"/>
  <c r="H17" i="7" s="1"/>
  <c r="H85" i="20"/>
  <c r="M8" i="42" s="1"/>
  <c r="F16" i="18"/>
  <c r="F17" i="18" s="1"/>
  <c r="H50" i="18"/>
  <c r="H51" i="18"/>
  <c r="F82" i="18"/>
  <c r="F52" i="18" s="1"/>
  <c r="E16" i="16"/>
  <c r="E17" i="16" s="1"/>
  <c r="H85" i="16"/>
  <c r="B35" i="24"/>
  <c r="H101" i="22"/>
  <c r="O59" i="42" s="1"/>
  <c r="D82" i="21"/>
  <c r="D52" i="21" s="1"/>
  <c r="D53" i="21" s="1"/>
  <c r="E18" i="7" s="1"/>
  <c r="F82" i="19"/>
  <c r="F52" i="19" s="1"/>
  <c r="F53" i="19" s="1"/>
  <c r="G16" i="7" s="1"/>
  <c r="J13" i="18"/>
  <c r="H49" i="18"/>
  <c r="G82" i="18"/>
  <c r="G52" i="18" s="1"/>
  <c r="G53" i="18" s="1"/>
  <c r="H15" i="7" s="1"/>
  <c r="H85" i="18"/>
  <c r="K8" i="42" s="1"/>
  <c r="H73" i="17"/>
  <c r="H51" i="13"/>
  <c r="B53" i="22"/>
  <c r="C19" i="7" s="1"/>
  <c r="H59" i="22"/>
  <c r="H56" i="22" s="1"/>
  <c r="H73" i="22"/>
  <c r="H85" i="22"/>
  <c r="O8" i="42" s="1"/>
  <c r="F16" i="20"/>
  <c r="F17" i="20" s="1"/>
  <c r="D53" i="20"/>
  <c r="E17" i="7" s="1"/>
  <c r="C53" i="19"/>
  <c r="D16" i="7" s="1"/>
  <c r="H49" i="19"/>
  <c r="K13" i="18"/>
  <c r="D53" i="18"/>
  <c r="E15" i="7" s="1"/>
  <c r="E53" i="17"/>
  <c r="F14" i="7" s="1"/>
  <c r="B53" i="17"/>
  <c r="C14" i="7" s="1"/>
  <c r="H65" i="17"/>
  <c r="H84" i="16"/>
  <c r="I7" i="42" s="1"/>
  <c r="B82" i="16"/>
  <c r="B52" i="16" s="1"/>
  <c r="E53" i="15"/>
  <c r="F12" i="7" s="1"/>
  <c r="I46" i="12"/>
  <c r="B33" i="12"/>
  <c r="F28" i="1" s="1"/>
  <c r="E63" i="8" s="1"/>
  <c r="O72" i="8" s="1"/>
  <c r="I46" i="22"/>
  <c r="H65" i="22"/>
  <c r="E16" i="21"/>
  <c r="E17" i="21" s="1"/>
  <c r="B26" i="20"/>
  <c r="C33" i="20" s="1"/>
  <c r="H101" i="20"/>
  <c r="M59" i="42" s="1"/>
  <c r="C32" i="18"/>
  <c r="C31" i="18"/>
  <c r="C30" i="18"/>
  <c r="C28" i="18"/>
  <c r="L12" i="16"/>
  <c r="J13" i="16" s="1"/>
  <c r="G53" i="16"/>
  <c r="H13" i="7" s="1"/>
  <c r="L12" i="13"/>
  <c r="J13" i="13" s="1"/>
  <c r="H49" i="13"/>
  <c r="L12" i="19"/>
  <c r="J13" i="19" s="1"/>
  <c r="I46" i="19"/>
  <c r="B33" i="19"/>
  <c r="M28" i="1" s="1"/>
  <c r="L63" i="8" s="1"/>
  <c r="O79" i="8" s="1"/>
  <c r="E53" i="19"/>
  <c r="F16" i="7" s="1"/>
  <c r="H85" i="19"/>
  <c r="L8" i="42" s="1"/>
  <c r="G53" i="17"/>
  <c r="H14" i="7" s="1"/>
  <c r="H46" i="16"/>
  <c r="I46" i="16" s="1"/>
  <c r="C30" i="15"/>
  <c r="C28" i="15"/>
  <c r="B35" i="15"/>
  <c r="C27" i="15"/>
  <c r="C26" i="15" s="1"/>
  <c r="C32" i="15"/>
  <c r="C31" i="15"/>
  <c r="F82" i="13"/>
  <c r="F52" i="13" s="1"/>
  <c r="F53" i="13" s="1"/>
  <c r="G10" i="7" s="1"/>
  <c r="H84" i="13"/>
  <c r="L12" i="17"/>
  <c r="K13" i="17" s="1"/>
  <c r="C30" i="16"/>
  <c r="C29" i="16"/>
  <c r="F16" i="13"/>
  <c r="F17" i="13" s="1"/>
  <c r="B82" i="12"/>
  <c r="B52" i="12" s="1"/>
  <c r="H85" i="12"/>
  <c r="E8" i="42" s="1"/>
  <c r="H49" i="11"/>
  <c r="H51" i="11"/>
  <c r="C82" i="11"/>
  <c r="C52" i="11" s="1"/>
  <c r="F82" i="14"/>
  <c r="F52" i="14" s="1"/>
  <c r="H52" i="14" s="1"/>
  <c r="H49" i="12"/>
  <c r="D50" i="11"/>
  <c r="C50" i="14"/>
  <c r="H50" i="14" s="1"/>
  <c r="B26" i="13"/>
  <c r="B35" i="13" s="1"/>
  <c r="L12" i="12"/>
  <c r="C53" i="12"/>
  <c r="D9" i="7" s="1"/>
  <c r="B35" i="22"/>
  <c r="H73" i="18"/>
  <c r="H84" i="18"/>
  <c r="K7" i="42" s="1"/>
  <c r="I46" i="17"/>
  <c r="C28" i="16"/>
  <c r="D82" i="16"/>
  <c r="D52" i="16" s="1"/>
  <c r="D53" i="16" s="1"/>
  <c r="E13" i="7" s="1"/>
  <c r="H49" i="15"/>
  <c r="H84" i="15"/>
  <c r="H7" i="42" s="1"/>
  <c r="H22" i="42" s="1"/>
  <c r="H101" i="15"/>
  <c r="H59" i="42" s="1"/>
  <c r="H85" i="14"/>
  <c r="G8" i="42" s="1"/>
  <c r="H73" i="11"/>
  <c r="H84" i="11"/>
  <c r="H101" i="18"/>
  <c r="K59" i="42" s="1"/>
  <c r="C31" i="16"/>
  <c r="H59" i="16"/>
  <c r="H56" i="16" s="1"/>
  <c r="H85" i="15"/>
  <c r="H8" i="42" s="1"/>
  <c r="H84" i="14"/>
  <c r="E82" i="13"/>
  <c r="E52" i="13" s="1"/>
  <c r="I13" i="11"/>
  <c r="L13" i="11" s="1"/>
  <c r="F53" i="11"/>
  <c r="G8" i="7" s="1"/>
  <c r="G82" i="11"/>
  <c r="G52" i="11" s="1"/>
  <c r="G53" i="11" s="1"/>
  <c r="H8" i="7" s="1"/>
  <c r="B33" i="14"/>
  <c r="H28" i="1" s="1"/>
  <c r="G63" i="8" s="1"/>
  <c r="O74" i="8" s="1"/>
  <c r="I46" i="14"/>
  <c r="E53" i="14"/>
  <c r="F11" i="7" s="1"/>
  <c r="J13" i="11"/>
  <c r="H101" i="11"/>
  <c r="D59" i="42" s="1"/>
  <c r="C33" i="16"/>
  <c r="H135" i="16"/>
  <c r="I74" i="42" s="1"/>
  <c r="I75" i="42" s="1"/>
  <c r="F53" i="15"/>
  <c r="G12" i="7" s="1"/>
  <c r="H59" i="15"/>
  <c r="H56" i="15" s="1"/>
  <c r="D82" i="15"/>
  <c r="D52" i="15" s="1"/>
  <c r="D53" i="15" s="1"/>
  <c r="E12" i="7" s="1"/>
  <c r="H85" i="13"/>
  <c r="F8" i="42" s="1"/>
  <c r="G53" i="12"/>
  <c r="H9" i="7" s="1"/>
  <c r="H84" i="12"/>
  <c r="H46" i="11"/>
  <c r="I46" i="11" s="1"/>
  <c r="H85" i="11"/>
  <c r="D8" i="42" s="1"/>
  <c r="B26" i="9"/>
  <c r="B35" i="9" s="1"/>
  <c r="G82" i="9"/>
  <c r="G52" i="9" s="1"/>
  <c r="G53" i="9" s="1"/>
  <c r="H6" i="7" s="1"/>
  <c r="B82" i="9"/>
  <c r="H85" i="9"/>
  <c r="B8" i="42" s="1"/>
  <c r="H49" i="9"/>
  <c r="L12" i="9"/>
  <c r="K13" i="9" s="1"/>
  <c r="F50" i="3"/>
  <c r="G50" i="3"/>
  <c r="G82" i="3"/>
  <c r="G52" i="3" s="1"/>
  <c r="F82" i="3"/>
  <c r="F52" i="3" s="1"/>
  <c r="C50" i="3"/>
  <c r="E82" i="3"/>
  <c r="E52" i="3" s="1"/>
  <c r="D82" i="3"/>
  <c r="D52" i="3" s="1"/>
  <c r="H84" i="3"/>
  <c r="B82" i="3"/>
  <c r="B52" i="3" s="1"/>
  <c r="H85" i="3"/>
  <c r="C82" i="3"/>
  <c r="C52" i="3" s="1"/>
  <c r="H101" i="3"/>
  <c r="H135" i="3"/>
  <c r="B50" i="3"/>
  <c r="E50" i="3"/>
  <c r="D50" i="3"/>
  <c r="H49" i="3"/>
  <c r="H51" i="3"/>
  <c r="H46" i="3"/>
  <c r="I46" i="3" s="1"/>
  <c r="H68" i="3"/>
  <c r="H65" i="3"/>
  <c r="H73" i="3"/>
  <c r="F16" i="3"/>
  <c r="F17" i="3" s="1"/>
  <c r="H59" i="3"/>
  <c r="H56" i="3" s="1"/>
  <c r="E16" i="3"/>
  <c r="E17" i="3" s="1"/>
  <c r="B33" i="3"/>
  <c r="O22" i="42" l="1"/>
  <c r="Z22" i="42"/>
  <c r="B75" i="42"/>
  <c r="K22" i="42"/>
  <c r="X22" i="42"/>
  <c r="I19" i="7"/>
  <c r="I60" i="42"/>
  <c r="H52" i="32"/>
  <c r="D53" i="13"/>
  <c r="E10" i="7" s="1"/>
  <c r="C53" i="11"/>
  <c r="D8" i="7" s="1"/>
  <c r="H52" i="37"/>
  <c r="H53" i="37" s="1"/>
  <c r="J34" i="7" s="1"/>
  <c r="B53" i="26"/>
  <c r="C23" i="7" s="1"/>
  <c r="N60" i="42"/>
  <c r="Y60" i="42"/>
  <c r="I36" i="7"/>
  <c r="H52" i="38"/>
  <c r="I27" i="7"/>
  <c r="X60" i="42"/>
  <c r="E53" i="36"/>
  <c r="F33" i="7" s="1"/>
  <c r="T60" i="42"/>
  <c r="H52" i="34"/>
  <c r="I22" i="7"/>
  <c r="H52" i="17"/>
  <c r="H53" i="34"/>
  <c r="J31" i="7" s="1"/>
  <c r="I16" i="7"/>
  <c r="H52" i="23"/>
  <c r="B36" i="1"/>
  <c r="AG46" i="4"/>
  <c r="AG48" i="4" s="1"/>
  <c r="H82" i="23"/>
  <c r="P23" i="42" s="1"/>
  <c r="P7" i="42"/>
  <c r="P22" i="42" s="1"/>
  <c r="C29" i="37"/>
  <c r="D53" i="34"/>
  <c r="E31" i="7" s="1"/>
  <c r="B28" i="1"/>
  <c r="B35" i="43" s="1"/>
  <c r="C38" i="43" s="1"/>
  <c r="E29" i="1"/>
  <c r="J90" i="8"/>
  <c r="W64" i="8"/>
  <c r="J64" i="8"/>
  <c r="J77" i="8"/>
  <c r="E75" i="42"/>
  <c r="L75" i="42"/>
  <c r="AF64" i="8"/>
  <c r="Q60" i="42"/>
  <c r="W60" i="42"/>
  <c r="AG52" i="4"/>
  <c r="B54" i="4"/>
  <c r="C51" i="4" s="1"/>
  <c r="H82" i="12"/>
  <c r="E23" i="42" s="1"/>
  <c r="E7" i="42"/>
  <c r="E22" i="42" s="1"/>
  <c r="H82" i="24"/>
  <c r="Q23" i="42" s="1"/>
  <c r="Q7" i="42"/>
  <c r="Q22" i="42" s="1"/>
  <c r="C33" i="28"/>
  <c r="AB29" i="1"/>
  <c r="G64" i="8"/>
  <c r="J74" i="8"/>
  <c r="X29" i="1"/>
  <c r="D60" i="42"/>
  <c r="M60" i="42"/>
  <c r="AE60" i="42"/>
  <c r="AG17" i="4"/>
  <c r="AG20" i="4" s="1"/>
  <c r="B34" i="1"/>
  <c r="M75" i="42"/>
  <c r="R75" i="42"/>
  <c r="AC60" i="42"/>
  <c r="AF60" i="42"/>
  <c r="H82" i="17"/>
  <c r="J23" i="42" s="1"/>
  <c r="J7" i="42"/>
  <c r="J22" i="42" s="1"/>
  <c r="AG24" i="4"/>
  <c r="B25" i="4"/>
  <c r="B39" i="4" s="1"/>
  <c r="C23" i="4" s="1"/>
  <c r="C25" i="4" s="1"/>
  <c r="C39" i="4" s="1"/>
  <c r="D23" i="4" s="1"/>
  <c r="D25" i="4" s="1"/>
  <c r="D39" i="4" s="1"/>
  <c r="E23" i="4" s="1"/>
  <c r="E25" i="4" s="1"/>
  <c r="E39" i="4" s="1"/>
  <c r="F23" i="4" s="1"/>
  <c r="F25" i="4" s="1"/>
  <c r="F39" i="4" s="1"/>
  <c r="G23" i="4" s="1"/>
  <c r="G25" i="4" s="1"/>
  <c r="G39" i="4" s="1"/>
  <c r="H23" i="4" s="1"/>
  <c r="H25" i="4" s="1"/>
  <c r="H39" i="4" s="1"/>
  <c r="I23" i="4" s="1"/>
  <c r="I25" i="4" s="1"/>
  <c r="I39" i="4" s="1"/>
  <c r="J23" i="4" s="1"/>
  <c r="J25" i="4" s="1"/>
  <c r="J39" i="4" s="1"/>
  <c r="K23" i="4" s="1"/>
  <c r="K25" i="4" s="1"/>
  <c r="K39" i="4" s="1"/>
  <c r="L23" i="4" s="1"/>
  <c r="L25" i="4" s="1"/>
  <c r="L39" i="4" s="1"/>
  <c r="M23" i="4" s="1"/>
  <c r="M25" i="4" s="1"/>
  <c r="M39" i="4" s="1"/>
  <c r="N23" i="4" s="1"/>
  <c r="N25" i="4" s="1"/>
  <c r="N39" i="4" s="1"/>
  <c r="O23" i="4" s="1"/>
  <c r="O25" i="4" s="1"/>
  <c r="O39" i="4" s="1"/>
  <c r="P23" i="4" s="1"/>
  <c r="P25" i="4" s="1"/>
  <c r="P39" i="4" s="1"/>
  <c r="Q23" i="4" s="1"/>
  <c r="Q25" i="4" s="1"/>
  <c r="Q39" i="4" s="1"/>
  <c r="R23" i="4" s="1"/>
  <c r="R25" i="4" s="1"/>
  <c r="R39" i="4" s="1"/>
  <c r="S23" i="4" s="1"/>
  <c r="S25" i="4" s="1"/>
  <c r="S39" i="4" s="1"/>
  <c r="T23" i="4" s="1"/>
  <c r="T25" i="4" s="1"/>
  <c r="T39" i="4" s="1"/>
  <c r="U23" i="4" s="1"/>
  <c r="U25" i="4" s="1"/>
  <c r="U39" i="4" s="1"/>
  <c r="V23" i="4" s="1"/>
  <c r="V25" i="4" s="1"/>
  <c r="V39" i="4" s="1"/>
  <c r="W23" i="4" s="1"/>
  <c r="W25" i="4" s="1"/>
  <c r="W39" i="4" s="1"/>
  <c r="X23" i="4" s="1"/>
  <c r="X25" i="4" s="1"/>
  <c r="X39" i="4" s="1"/>
  <c r="Y23" i="4" s="1"/>
  <c r="Y25" i="4" s="1"/>
  <c r="Y39" i="4" s="1"/>
  <c r="Z23" i="4" s="1"/>
  <c r="Z25" i="4" s="1"/>
  <c r="Z39" i="4" s="1"/>
  <c r="AA23" i="4" s="1"/>
  <c r="AA25" i="4" s="1"/>
  <c r="AA39" i="4" s="1"/>
  <c r="AB23" i="4" s="1"/>
  <c r="AB25" i="4" s="1"/>
  <c r="AB39" i="4" s="1"/>
  <c r="AC23" i="4" s="1"/>
  <c r="AC25" i="4" s="1"/>
  <c r="AC39" i="4" s="1"/>
  <c r="AD23" i="4" s="1"/>
  <c r="AD25" i="4" s="1"/>
  <c r="AD39" i="4" s="1"/>
  <c r="AE23" i="4" s="1"/>
  <c r="AE25" i="4" s="1"/>
  <c r="AE39" i="4" s="1"/>
  <c r="AF23" i="4" s="1"/>
  <c r="AF25" i="4" s="1"/>
  <c r="AF39" i="4" s="1"/>
  <c r="F64" i="8"/>
  <c r="J73" i="8"/>
  <c r="C33" i="13"/>
  <c r="C30" i="37"/>
  <c r="H82" i="37"/>
  <c r="AD23" i="42" s="1"/>
  <c r="AD7" i="42"/>
  <c r="AD22" i="42" s="1"/>
  <c r="C29" i="32"/>
  <c r="H82" i="36"/>
  <c r="AC23" i="42" s="1"/>
  <c r="AC24" i="42" s="1"/>
  <c r="C53" i="15"/>
  <c r="D12" i="7" s="1"/>
  <c r="I12" i="7" s="1"/>
  <c r="D53" i="31"/>
  <c r="E28" i="7" s="1"/>
  <c r="C28" i="28"/>
  <c r="H50" i="19"/>
  <c r="H82" i="38"/>
  <c r="AE23" i="42" s="1"/>
  <c r="AE24" i="42" s="1"/>
  <c r="F29" i="1"/>
  <c r="L29" i="1"/>
  <c r="AG29" i="1"/>
  <c r="C75" i="42"/>
  <c r="N75" i="42"/>
  <c r="B60" i="42"/>
  <c r="G60" i="42"/>
  <c r="AD75" i="42"/>
  <c r="B38" i="1"/>
  <c r="AG60" i="4"/>
  <c r="S60" i="42"/>
  <c r="H82" i="13"/>
  <c r="F23" i="42" s="1"/>
  <c r="F7" i="42"/>
  <c r="F22" i="42" s="1"/>
  <c r="H82" i="25"/>
  <c r="R23" i="42" s="1"/>
  <c r="R24" i="42" s="1"/>
  <c r="H82" i="19"/>
  <c r="L23" i="42" s="1"/>
  <c r="L7" i="42"/>
  <c r="L22" i="42" s="1"/>
  <c r="C31" i="28"/>
  <c r="I13" i="24"/>
  <c r="L13" i="24" s="1"/>
  <c r="C53" i="31"/>
  <c r="D28" i="7" s="1"/>
  <c r="H82" i="27"/>
  <c r="T23" i="42" s="1"/>
  <c r="T7" i="42"/>
  <c r="T22" i="42" s="1"/>
  <c r="C30" i="32"/>
  <c r="C28" i="37"/>
  <c r="C30" i="28"/>
  <c r="H50" i="27"/>
  <c r="D29" i="1"/>
  <c r="T60" i="5"/>
  <c r="V60" i="5" s="1"/>
  <c r="Y60" i="5" s="1"/>
  <c r="E60" i="42"/>
  <c r="J89" i="8"/>
  <c r="V64" i="8"/>
  <c r="J72" i="8"/>
  <c r="E64" i="8"/>
  <c r="H29" i="1"/>
  <c r="U60" i="42"/>
  <c r="T75" i="42"/>
  <c r="J75" i="42"/>
  <c r="V75" i="42"/>
  <c r="K60" i="42"/>
  <c r="B10" i="4"/>
  <c r="B12" i="4" s="1"/>
  <c r="C7" i="4" s="1"/>
  <c r="C10" i="4" s="1"/>
  <c r="C12" i="4" s="1"/>
  <c r="D7" i="4" s="1"/>
  <c r="D10" i="4" s="1"/>
  <c r="D12" i="4" s="1"/>
  <c r="E7" i="4" s="1"/>
  <c r="E10" i="4" s="1"/>
  <c r="E12" i="4" s="1"/>
  <c r="F7" i="4" s="1"/>
  <c r="F10" i="4" s="1"/>
  <c r="F12" i="4" s="1"/>
  <c r="G7" i="4" s="1"/>
  <c r="G10" i="4" s="1"/>
  <c r="G12" i="4" s="1"/>
  <c r="H7" i="4" s="1"/>
  <c r="H10" i="4" s="1"/>
  <c r="H12" i="4" s="1"/>
  <c r="I7" i="4" s="1"/>
  <c r="I10" i="4" s="1"/>
  <c r="I12" i="4" s="1"/>
  <c r="J7" i="4" s="1"/>
  <c r="J10" i="4" s="1"/>
  <c r="J12" i="4" s="1"/>
  <c r="K7" i="4" s="1"/>
  <c r="K10" i="4" s="1"/>
  <c r="K12" i="4" s="1"/>
  <c r="L7" i="4" s="1"/>
  <c r="L10" i="4" s="1"/>
  <c r="L12" i="4" s="1"/>
  <c r="M7" i="4" s="1"/>
  <c r="M10" i="4" s="1"/>
  <c r="M12" i="4" s="1"/>
  <c r="N7" i="4" s="1"/>
  <c r="N10" i="4" s="1"/>
  <c r="N12" i="4" s="1"/>
  <c r="O7" i="4" s="1"/>
  <c r="O10" i="4" s="1"/>
  <c r="O12" i="4" s="1"/>
  <c r="P7" i="4" s="1"/>
  <c r="P10" i="4" s="1"/>
  <c r="P12" i="4" s="1"/>
  <c r="Q7" i="4" s="1"/>
  <c r="Q10" i="4" s="1"/>
  <c r="Q12" i="4" s="1"/>
  <c r="R7" i="4" s="1"/>
  <c r="R10" i="4" s="1"/>
  <c r="R12" i="4" s="1"/>
  <c r="S7" i="4" s="1"/>
  <c r="S10" i="4" s="1"/>
  <c r="S12" i="4" s="1"/>
  <c r="T7" i="4" s="1"/>
  <c r="T10" i="4" s="1"/>
  <c r="T12" i="4" s="1"/>
  <c r="U7" i="4" s="1"/>
  <c r="U10" i="4" s="1"/>
  <c r="U12" i="4" s="1"/>
  <c r="V7" i="4" s="1"/>
  <c r="V10" i="4" s="1"/>
  <c r="V12" i="4" s="1"/>
  <c r="W7" i="4" s="1"/>
  <c r="W10" i="4" s="1"/>
  <c r="W12" i="4" s="1"/>
  <c r="X7" i="4" s="1"/>
  <c r="X10" i="4" s="1"/>
  <c r="X12" i="4" s="1"/>
  <c r="Y7" i="4" s="1"/>
  <c r="Y10" i="4" s="1"/>
  <c r="Y12" i="4" s="1"/>
  <c r="Z7" i="4" s="1"/>
  <c r="Z10" i="4" s="1"/>
  <c r="Z12" i="4" s="1"/>
  <c r="AA7" i="4" s="1"/>
  <c r="AA10" i="4" s="1"/>
  <c r="AA12" i="4" s="1"/>
  <c r="AB7" i="4" s="1"/>
  <c r="AB10" i="4" s="1"/>
  <c r="AB12" i="4" s="1"/>
  <c r="AC7" i="4" s="1"/>
  <c r="AC10" i="4" s="1"/>
  <c r="AC12" i="4" s="1"/>
  <c r="AD7" i="4" s="1"/>
  <c r="AD10" i="4" s="1"/>
  <c r="AD12" i="4" s="1"/>
  <c r="AE7" i="4" s="1"/>
  <c r="AE10" i="4" s="1"/>
  <c r="AE12" i="4" s="1"/>
  <c r="AF7" i="4" s="1"/>
  <c r="AF10" i="4" s="1"/>
  <c r="AF12" i="4" s="1"/>
  <c r="AG8" i="4"/>
  <c r="Q75" i="42"/>
  <c r="AC75" i="42"/>
  <c r="H82" i="28"/>
  <c r="U23" i="42" s="1"/>
  <c r="U7" i="42"/>
  <c r="U22" i="42" s="1"/>
  <c r="H82" i="9"/>
  <c r="B23" i="42" s="1"/>
  <c r="B7" i="42"/>
  <c r="B22" i="42" s="1"/>
  <c r="F75" i="42"/>
  <c r="H82" i="14"/>
  <c r="G23" i="42" s="1"/>
  <c r="G7" i="42"/>
  <c r="G22" i="42" s="1"/>
  <c r="H82" i="16"/>
  <c r="I23" i="42" s="1"/>
  <c r="I8" i="42"/>
  <c r="I22" i="42" s="1"/>
  <c r="H82" i="26"/>
  <c r="S23" i="42" s="1"/>
  <c r="S7" i="42"/>
  <c r="S22" i="42" s="1"/>
  <c r="H82" i="21"/>
  <c r="N23" i="42" s="1"/>
  <c r="N7" i="42"/>
  <c r="N22" i="42" s="1"/>
  <c r="H82" i="32"/>
  <c r="Y23" i="42" s="1"/>
  <c r="Y8" i="42"/>
  <c r="Y22" i="42" s="1"/>
  <c r="H82" i="29"/>
  <c r="V23" i="42" s="1"/>
  <c r="V7" i="42"/>
  <c r="V22" i="42" s="1"/>
  <c r="H82" i="39"/>
  <c r="AF23" i="42" s="1"/>
  <c r="AF7" i="42"/>
  <c r="AF22" i="42" s="1"/>
  <c r="C31" i="32"/>
  <c r="H50" i="33"/>
  <c r="J76" i="8"/>
  <c r="I64" i="8"/>
  <c r="W29" i="1"/>
  <c r="J70" i="8"/>
  <c r="C64" i="8"/>
  <c r="D64" i="8"/>
  <c r="J94" i="8"/>
  <c r="AA64" i="8"/>
  <c r="O75" i="42"/>
  <c r="C42" i="4"/>
  <c r="C46" i="4" s="1"/>
  <c r="B48" i="4"/>
  <c r="V60" i="42"/>
  <c r="AD60" i="42"/>
  <c r="AE75" i="42"/>
  <c r="AG66" i="4"/>
  <c r="B39" i="1"/>
  <c r="H82" i="11"/>
  <c r="D23" i="42" s="1"/>
  <c r="D7" i="42"/>
  <c r="D22" i="42" s="1"/>
  <c r="G53" i="29"/>
  <c r="H26" i="7" s="1"/>
  <c r="H52" i="20"/>
  <c r="H53" i="20" s="1"/>
  <c r="J17" i="7" s="1"/>
  <c r="J13" i="24"/>
  <c r="J98" i="8"/>
  <c r="AE64" i="8"/>
  <c r="F60" i="42"/>
  <c r="N64" i="8"/>
  <c r="J81" i="8"/>
  <c r="K64" i="8"/>
  <c r="J78" i="8"/>
  <c r="H60" i="42"/>
  <c r="J86" i="8"/>
  <c r="S64" i="8"/>
  <c r="L60" i="42"/>
  <c r="AA60" i="42"/>
  <c r="P60" i="42"/>
  <c r="L64" i="8"/>
  <c r="O60" i="42"/>
  <c r="J75" i="8"/>
  <c r="H64" i="8"/>
  <c r="J82" i="8"/>
  <c r="O64" i="8"/>
  <c r="AD64" i="8"/>
  <c r="J97" i="8"/>
  <c r="H50" i="11"/>
  <c r="G53" i="36"/>
  <c r="H33" i="7" s="1"/>
  <c r="I33" i="7" s="1"/>
  <c r="D53" i="11"/>
  <c r="E8" i="7" s="1"/>
  <c r="H52" i="12"/>
  <c r="F53" i="18"/>
  <c r="G15" i="7" s="1"/>
  <c r="I15" i="7" s="1"/>
  <c r="D53" i="27"/>
  <c r="E24" i="7" s="1"/>
  <c r="F53" i="31"/>
  <c r="G28" i="7" s="1"/>
  <c r="F53" i="14"/>
  <c r="G11" i="7" s="1"/>
  <c r="F53" i="33"/>
  <c r="G30" i="7" s="1"/>
  <c r="D53" i="35"/>
  <c r="E32" i="7" s="1"/>
  <c r="H50" i="26"/>
  <c r="M29" i="1"/>
  <c r="G75" i="42"/>
  <c r="J69" i="8"/>
  <c r="J100" i="8" s="1"/>
  <c r="B64" i="8"/>
  <c r="O29" i="1"/>
  <c r="D75" i="42"/>
  <c r="S75" i="42"/>
  <c r="X75" i="42"/>
  <c r="R60" i="42"/>
  <c r="AB60" i="42"/>
  <c r="AB75" i="42"/>
  <c r="AC64" i="8"/>
  <c r="C27" i="16"/>
  <c r="C26" i="16" s="1"/>
  <c r="C32" i="16"/>
  <c r="B35" i="16"/>
  <c r="C60" i="42"/>
  <c r="A73" i="8"/>
  <c r="I72" i="8"/>
  <c r="K30" i="5"/>
  <c r="N30" i="5" s="1"/>
  <c r="K31" i="5" s="1"/>
  <c r="N31" i="5" s="1"/>
  <c r="B7" i="5"/>
  <c r="J123" i="6"/>
  <c r="J133" i="6"/>
  <c r="N133" i="6" s="1"/>
  <c r="J114" i="6"/>
  <c r="N114" i="6" s="1"/>
  <c r="J134" i="6"/>
  <c r="R134" i="6" s="1"/>
  <c r="J115" i="6"/>
  <c r="J125" i="6"/>
  <c r="K173" i="6"/>
  <c r="L173" i="6" s="1"/>
  <c r="M173" i="6" s="1"/>
  <c r="N173" i="6" s="1"/>
  <c r="O173" i="6" s="1"/>
  <c r="P173" i="6" s="1"/>
  <c r="Q173" i="6" s="1"/>
  <c r="R173" i="6" s="1"/>
  <c r="S173" i="6" s="1"/>
  <c r="T173" i="6" s="1"/>
  <c r="U173" i="6" s="1"/>
  <c r="V173" i="6" s="1"/>
  <c r="W173" i="6" s="1"/>
  <c r="X173" i="6" s="1"/>
  <c r="Y173" i="6" s="1"/>
  <c r="Z173" i="6" s="1"/>
  <c r="AA173" i="6" s="1"/>
  <c r="AB173" i="6" s="1"/>
  <c r="AC173" i="6" s="1"/>
  <c r="AD173" i="6" s="1"/>
  <c r="AE173" i="6" s="1"/>
  <c r="AF173" i="6" s="1"/>
  <c r="B18" i="1"/>
  <c r="B42" i="1" s="1"/>
  <c r="B29" i="1"/>
  <c r="J122" i="6"/>
  <c r="N122" i="6" s="1"/>
  <c r="J118" i="6"/>
  <c r="N118" i="6" s="1"/>
  <c r="J126" i="6"/>
  <c r="N126" i="6" s="1"/>
  <c r="J107" i="6"/>
  <c r="R107" i="6" s="1"/>
  <c r="J108" i="6"/>
  <c r="R108" i="6" s="1"/>
  <c r="N135" i="6"/>
  <c r="J111" i="6"/>
  <c r="R111" i="6" s="1"/>
  <c r="J130" i="6"/>
  <c r="R130" i="6" s="1"/>
  <c r="J131" i="6"/>
  <c r="R131" i="6" s="1"/>
  <c r="J116" i="6"/>
  <c r="R116" i="6" s="1"/>
  <c r="J119" i="6"/>
  <c r="N119" i="6" s="1"/>
  <c r="J124" i="6"/>
  <c r="R124" i="6" s="1"/>
  <c r="J127" i="6"/>
  <c r="N127" i="6" s="1"/>
  <c r="J120" i="6"/>
  <c r="N120" i="6" s="1"/>
  <c r="J121" i="6"/>
  <c r="N121" i="6" s="1"/>
  <c r="J109" i="6"/>
  <c r="N109" i="6" s="1"/>
  <c r="J112" i="6"/>
  <c r="R112" i="6" s="1"/>
  <c r="J113" i="6"/>
  <c r="N113" i="6" s="1"/>
  <c r="J110" i="6"/>
  <c r="N110" i="6" s="1"/>
  <c r="J132" i="6"/>
  <c r="N132" i="6" s="1"/>
  <c r="J128" i="6"/>
  <c r="N128" i="6" s="1"/>
  <c r="J129" i="6"/>
  <c r="N129" i="6" s="1"/>
  <c r="J117" i="6"/>
  <c r="N117" i="6" s="1"/>
  <c r="E136" i="6"/>
  <c r="N125" i="6"/>
  <c r="R125" i="6"/>
  <c r="N134" i="6"/>
  <c r="R123" i="6"/>
  <c r="N123" i="6"/>
  <c r="R114" i="6"/>
  <c r="N115" i="6"/>
  <c r="R115" i="6"/>
  <c r="F132" i="5"/>
  <c r="I132" i="5" s="1"/>
  <c r="D9" i="5"/>
  <c r="D7" i="1" s="1"/>
  <c r="B21" i="43" s="1"/>
  <c r="C24" i="43" s="1"/>
  <c r="E21" i="5"/>
  <c r="E23" i="5" s="1"/>
  <c r="E24" i="5" s="1"/>
  <c r="N96" i="5"/>
  <c r="P96" i="5" s="1"/>
  <c r="D8" i="5"/>
  <c r="D6" i="1" s="1"/>
  <c r="U96" i="5"/>
  <c r="F96" i="5"/>
  <c r="I96" i="5" s="1"/>
  <c r="T96" i="5"/>
  <c r="C66" i="5"/>
  <c r="F66" i="5" s="1"/>
  <c r="C67" i="5" s="1"/>
  <c r="F67" i="5" s="1"/>
  <c r="G19" i="5"/>
  <c r="B9" i="5"/>
  <c r="B7" i="1" s="1"/>
  <c r="B7" i="43" s="1"/>
  <c r="N60" i="5"/>
  <c r="P60" i="5" s="1"/>
  <c r="G20" i="5"/>
  <c r="F60" i="5"/>
  <c r="H60" i="5" s="1"/>
  <c r="B21" i="5"/>
  <c r="B23" i="5" s="1"/>
  <c r="B24" i="5" s="1"/>
  <c r="B8" i="5"/>
  <c r="B6" i="1" s="1"/>
  <c r="H102" i="5"/>
  <c r="D202" i="5" s="1"/>
  <c r="P66" i="5"/>
  <c r="I13" i="3"/>
  <c r="L13" i="3" s="1"/>
  <c r="K13" i="13"/>
  <c r="J13" i="39"/>
  <c r="J13" i="23"/>
  <c r="K13" i="21"/>
  <c r="J13" i="3"/>
  <c r="J13" i="20"/>
  <c r="K13" i="25"/>
  <c r="J13" i="14"/>
  <c r="I13" i="19"/>
  <c r="L13" i="19" s="1"/>
  <c r="J13" i="21"/>
  <c r="K13" i="19"/>
  <c r="H53" i="14"/>
  <c r="J11" i="7" s="1"/>
  <c r="I13" i="13"/>
  <c r="L13" i="13" s="1"/>
  <c r="G53" i="37"/>
  <c r="H34" i="7" s="1"/>
  <c r="I34" i="7" s="1"/>
  <c r="C53" i="14"/>
  <c r="D11" i="7" s="1"/>
  <c r="I11" i="7" s="1"/>
  <c r="B53" i="21"/>
  <c r="K13" i="23"/>
  <c r="H50" i="32"/>
  <c r="H52" i="27"/>
  <c r="H53" i="27" s="1"/>
  <c r="J24" i="7" s="1"/>
  <c r="G53" i="27"/>
  <c r="H24" i="7" s="1"/>
  <c r="J13" i="32"/>
  <c r="H82" i="10"/>
  <c r="C23" i="42" s="1"/>
  <c r="C24" i="42" s="1"/>
  <c r="H50" i="13"/>
  <c r="H50" i="15"/>
  <c r="I13" i="9"/>
  <c r="H52" i="11"/>
  <c r="H50" i="25"/>
  <c r="H52" i="29"/>
  <c r="H53" i="29" s="1"/>
  <c r="J26" i="7" s="1"/>
  <c r="H50" i="31"/>
  <c r="H52" i="33"/>
  <c r="H53" i="33" s="1"/>
  <c r="J30" i="7" s="1"/>
  <c r="G53" i="35"/>
  <c r="H32" i="7" s="1"/>
  <c r="H50" i="12"/>
  <c r="B26" i="11"/>
  <c r="C33" i="11" s="1"/>
  <c r="J13" i="29"/>
  <c r="C53" i="33"/>
  <c r="D30" i="7" s="1"/>
  <c r="C53" i="20"/>
  <c r="D17" i="7" s="1"/>
  <c r="I17" i="7" s="1"/>
  <c r="K17" i="7" s="1"/>
  <c r="D53" i="17"/>
  <c r="E14" i="7" s="1"/>
  <c r="I14" i="7" s="1"/>
  <c r="J13" i="25"/>
  <c r="K13" i="39"/>
  <c r="H52" i="9"/>
  <c r="H53" i="9" s="1"/>
  <c r="J6" i="7" s="1"/>
  <c r="J13" i="26"/>
  <c r="B53" i="24"/>
  <c r="C21" i="7" s="1"/>
  <c r="I21" i="7" s="1"/>
  <c r="K21" i="7" s="1"/>
  <c r="H52" i="10"/>
  <c r="H53" i="10" s="1"/>
  <c r="J7" i="7" s="1"/>
  <c r="H82" i="35"/>
  <c r="AB23" i="42" s="1"/>
  <c r="AB24" i="42" s="1"/>
  <c r="H82" i="30"/>
  <c r="W23" i="42" s="1"/>
  <c r="W24" i="42" s="1"/>
  <c r="C32" i="37"/>
  <c r="C31" i="37"/>
  <c r="H50" i="16"/>
  <c r="H52" i="13"/>
  <c r="H53" i="13" s="1"/>
  <c r="J10" i="7" s="1"/>
  <c r="E53" i="23"/>
  <c r="F20" i="7" s="1"/>
  <c r="H52" i="15"/>
  <c r="H52" i="31"/>
  <c r="G53" i="32"/>
  <c r="H29" i="7" s="1"/>
  <c r="I29" i="7" s="1"/>
  <c r="H82" i="34"/>
  <c r="AA23" i="42" s="1"/>
  <c r="AA24" i="42" s="1"/>
  <c r="H82" i="31"/>
  <c r="X23" i="42" s="1"/>
  <c r="X24" i="42" s="1"/>
  <c r="I13" i="32"/>
  <c r="L13" i="32" s="1"/>
  <c r="K13" i="20"/>
  <c r="C33" i="37"/>
  <c r="C21" i="5"/>
  <c r="C23" i="5" s="1"/>
  <c r="C24" i="5" s="1"/>
  <c r="D7" i="5"/>
  <c r="D21" i="5"/>
  <c r="D23" i="5" s="1"/>
  <c r="C7" i="5"/>
  <c r="C10" i="5" s="1"/>
  <c r="C12" i="5" s="1"/>
  <c r="P65" i="5"/>
  <c r="Q65" i="5" s="1"/>
  <c r="F21" i="5"/>
  <c r="F23" i="5" s="1"/>
  <c r="G18" i="5"/>
  <c r="V29" i="5"/>
  <c r="S30" i="5" s="1"/>
  <c r="V30" i="5" s="1"/>
  <c r="S31" i="5" s="1"/>
  <c r="V31" i="5" s="1"/>
  <c r="V65" i="5"/>
  <c r="S66" i="5" s="1"/>
  <c r="V66" i="5" s="1"/>
  <c r="S67" i="5" s="1"/>
  <c r="V67" i="5" s="1"/>
  <c r="S68" i="5" s="1"/>
  <c r="V68" i="5" s="1"/>
  <c r="S69" i="5" s="1"/>
  <c r="V69" i="5" s="1"/>
  <c r="S70" i="5" s="1"/>
  <c r="V70" i="5" s="1"/>
  <c r="X70" i="5" s="1"/>
  <c r="E206" i="5" s="1"/>
  <c r="H30" i="5"/>
  <c r="I30" i="5" s="1"/>
  <c r="C31" i="5"/>
  <c r="F31" i="5" s="1"/>
  <c r="H101" i="5"/>
  <c r="K68" i="5"/>
  <c r="N68" i="5" s="1"/>
  <c r="P67" i="5"/>
  <c r="H103" i="5"/>
  <c r="D203" i="5" s="1"/>
  <c r="C104" i="5"/>
  <c r="F104" i="5" s="1"/>
  <c r="H53" i="17"/>
  <c r="J14" i="7" s="1"/>
  <c r="C30" i="17"/>
  <c r="C27" i="17"/>
  <c r="C26" i="17" s="1"/>
  <c r="C29" i="17"/>
  <c r="C32" i="17"/>
  <c r="C28" i="17"/>
  <c r="C31" i="17"/>
  <c r="C29" i="35"/>
  <c r="C28" i="35"/>
  <c r="C30" i="35"/>
  <c r="C32" i="35"/>
  <c r="C31" i="35"/>
  <c r="C27" i="35"/>
  <c r="C26" i="35" s="1"/>
  <c r="B53" i="38"/>
  <c r="C35" i="7" s="1"/>
  <c r="I35" i="7" s="1"/>
  <c r="H82" i="15"/>
  <c r="H23" i="42" s="1"/>
  <c r="H24" i="42" s="1"/>
  <c r="B53" i="12"/>
  <c r="C9" i="7" s="1"/>
  <c r="I9" i="7" s="1"/>
  <c r="H52" i="16"/>
  <c r="C33" i="17"/>
  <c r="H52" i="24"/>
  <c r="H52" i="22"/>
  <c r="H53" i="22" s="1"/>
  <c r="J19" i="7" s="1"/>
  <c r="K19" i="7" s="1"/>
  <c r="B26" i="26"/>
  <c r="H52" i="19"/>
  <c r="H53" i="19" s="1"/>
  <c r="J16" i="7" s="1"/>
  <c r="C53" i="27"/>
  <c r="D24" i="7" s="1"/>
  <c r="C53" i="26"/>
  <c r="D23" i="7" s="1"/>
  <c r="I23" i="7" s="1"/>
  <c r="H52" i="26"/>
  <c r="B53" i="34"/>
  <c r="C31" i="7" s="1"/>
  <c r="B35" i="35"/>
  <c r="C33" i="10"/>
  <c r="B26" i="10"/>
  <c r="C33" i="35"/>
  <c r="B53" i="31"/>
  <c r="C28" i="7" s="1"/>
  <c r="H52" i="35"/>
  <c r="H53" i="35" s="1"/>
  <c r="J32" i="7" s="1"/>
  <c r="I13" i="16"/>
  <c r="L13" i="16" s="1"/>
  <c r="I13" i="17"/>
  <c r="L13" i="17" s="1"/>
  <c r="E53" i="13"/>
  <c r="F10" i="7" s="1"/>
  <c r="H82" i="22"/>
  <c r="O23" i="42" s="1"/>
  <c r="O24" i="42" s="1"/>
  <c r="B26" i="21"/>
  <c r="C33" i="21" s="1"/>
  <c r="I13" i="26"/>
  <c r="L13" i="26" s="1"/>
  <c r="C31" i="31"/>
  <c r="C28" i="31"/>
  <c r="C32" i="31"/>
  <c r="C30" i="31"/>
  <c r="C29" i="31"/>
  <c r="C27" i="31"/>
  <c r="C26" i="31" s="1"/>
  <c r="B35" i="31"/>
  <c r="H82" i="33"/>
  <c r="Z23" i="42" s="1"/>
  <c r="I13" i="27"/>
  <c r="L13" i="27" s="1"/>
  <c r="K13" i="27"/>
  <c r="H52" i="30"/>
  <c r="H53" i="30" s="1"/>
  <c r="J27" i="7" s="1"/>
  <c r="K27" i="7" s="1"/>
  <c r="J13" i="15"/>
  <c r="I13" i="15"/>
  <c r="L13" i="15" s="1"/>
  <c r="B26" i="19"/>
  <c r="B26" i="12"/>
  <c r="H52" i="18"/>
  <c r="H53" i="18" s="1"/>
  <c r="J15" i="7" s="1"/>
  <c r="H82" i="20"/>
  <c r="M23" i="42" s="1"/>
  <c r="M24" i="42" s="1"/>
  <c r="I13" i="14"/>
  <c r="L13" i="14" s="1"/>
  <c r="J13" i="17"/>
  <c r="C33" i="29"/>
  <c r="B26" i="29"/>
  <c r="F53" i="28"/>
  <c r="G25" i="7" s="1"/>
  <c r="I25" i="7" s="1"/>
  <c r="J13" i="22"/>
  <c r="I13" i="22"/>
  <c r="L13" i="22" s="1"/>
  <c r="H53" i="32"/>
  <c r="J29" i="7" s="1"/>
  <c r="H53" i="16"/>
  <c r="J13" i="7" s="1"/>
  <c r="H53" i="23"/>
  <c r="J20" i="7" s="1"/>
  <c r="C32" i="25"/>
  <c r="C31" i="25"/>
  <c r="C29" i="25"/>
  <c r="C27" i="25"/>
  <c r="C26" i="25" s="1"/>
  <c r="B35" i="25"/>
  <c r="C30" i="25"/>
  <c r="C28" i="25"/>
  <c r="H53" i="24"/>
  <c r="J21" i="7" s="1"/>
  <c r="H52" i="39"/>
  <c r="H53" i="39" s="1"/>
  <c r="J36" i="7" s="1"/>
  <c r="B53" i="10"/>
  <c r="C7" i="7" s="1"/>
  <c r="I7" i="7" s="1"/>
  <c r="H52" i="36"/>
  <c r="H53" i="36" s="1"/>
  <c r="J33" i="7" s="1"/>
  <c r="K13" i="12"/>
  <c r="J13" i="12"/>
  <c r="K13" i="16"/>
  <c r="H53" i="28"/>
  <c r="J25" i="7" s="1"/>
  <c r="K13" i="38"/>
  <c r="I13" i="38"/>
  <c r="L13" i="38" s="1"/>
  <c r="I13" i="12"/>
  <c r="L13" i="12" s="1"/>
  <c r="B26" i="14"/>
  <c r="C33" i="14"/>
  <c r="H82" i="18"/>
  <c r="K23" i="42" s="1"/>
  <c r="K24" i="42" s="1"/>
  <c r="C28" i="13"/>
  <c r="C31" i="13"/>
  <c r="C30" i="13"/>
  <c r="C32" i="13"/>
  <c r="C29" i="13"/>
  <c r="C27" i="13"/>
  <c r="C26" i="13" s="1"/>
  <c r="H53" i="11"/>
  <c r="J8" i="7" s="1"/>
  <c r="C28" i="20"/>
  <c r="C32" i="20"/>
  <c r="C30" i="20"/>
  <c r="C31" i="20"/>
  <c r="B35" i="20"/>
  <c r="C29" i="20"/>
  <c r="C27" i="20"/>
  <c r="C26" i="20" s="1"/>
  <c r="B53" i="16"/>
  <c r="C13" i="7" s="1"/>
  <c r="I13" i="7" s="1"/>
  <c r="H52" i="25"/>
  <c r="H53" i="25" s="1"/>
  <c r="J22" i="7" s="1"/>
  <c r="H52" i="21"/>
  <c r="H53" i="21" s="1"/>
  <c r="B53" i="23"/>
  <c r="C20" i="7" s="1"/>
  <c r="B26" i="30"/>
  <c r="C33" i="30" s="1"/>
  <c r="B53" i="33"/>
  <c r="C30" i="7" s="1"/>
  <c r="K13" i="37"/>
  <c r="I13" i="37"/>
  <c r="L13" i="37" s="1"/>
  <c r="B53" i="29"/>
  <c r="C26" i="7" s="1"/>
  <c r="I26" i="7" s="1"/>
  <c r="J13" i="38"/>
  <c r="H53" i="38"/>
  <c r="J35" i="7" s="1"/>
  <c r="B26" i="3"/>
  <c r="C33" i="3" s="1"/>
  <c r="C32" i="9"/>
  <c r="C30" i="9"/>
  <c r="C29" i="9"/>
  <c r="C28" i="9"/>
  <c r="C31" i="9"/>
  <c r="C27" i="9"/>
  <c r="C33" i="9"/>
  <c r="B53" i="9"/>
  <c r="C6" i="7" s="1"/>
  <c r="J13" i="9"/>
  <c r="F53" i="3"/>
  <c r="G53" i="3"/>
  <c r="E53" i="3"/>
  <c r="H82" i="3"/>
  <c r="D53" i="3"/>
  <c r="H52" i="3"/>
  <c r="C53" i="3"/>
  <c r="B53" i="3"/>
  <c r="H50" i="3"/>
  <c r="B28" i="43" l="1"/>
  <c r="C31" i="43" s="1"/>
  <c r="C10" i="43"/>
  <c r="L13" i="9"/>
  <c r="P30" i="5"/>
  <c r="Q30" i="5" s="1"/>
  <c r="K16" i="7"/>
  <c r="Z24" i="42"/>
  <c r="I24" i="7"/>
  <c r="K24" i="7" s="1"/>
  <c r="K25" i="7"/>
  <c r="I28" i="7"/>
  <c r="K28" i="7" s="1"/>
  <c r="K36" i="7"/>
  <c r="I31" i="7"/>
  <c r="K31" i="7" s="1"/>
  <c r="K29" i="7"/>
  <c r="Y24" i="42"/>
  <c r="G24" i="42"/>
  <c r="AD24" i="42"/>
  <c r="J24" i="42"/>
  <c r="Q24" i="42"/>
  <c r="I30" i="7"/>
  <c r="K15" i="7"/>
  <c r="P24" i="42"/>
  <c r="E37" i="7"/>
  <c r="H53" i="12"/>
  <c r="J9" i="7" s="1"/>
  <c r="K9" i="7" s="1"/>
  <c r="F37" i="7"/>
  <c r="K11" i="7"/>
  <c r="I32" i="7"/>
  <c r="K32" i="7" s="1"/>
  <c r="K33" i="7"/>
  <c r="V24" i="42"/>
  <c r="I24" i="42"/>
  <c r="K22" i="7"/>
  <c r="K34" i="7"/>
  <c r="I8" i="7"/>
  <c r="K8" i="7" s="1"/>
  <c r="K26" i="7"/>
  <c r="K13" i="7"/>
  <c r="K14" i="7"/>
  <c r="H53" i="31"/>
  <c r="J28" i="7" s="1"/>
  <c r="G37" i="7"/>
  <c r="D24" i="42"/>
  <c r="H37" i="7"/>
  <c r="L24" i="42"/>
  <c r="B35" i="1"/>
  <c r="AG25" i="4"/>
  <c r="AG39" i="4" s="1"/>
  <c r="D42" i="4"/>
  <c r="D46" i="4" s="1"/>
  <c r="C48" i="4"/>
  <c r="B37" i="1"/>
  <c r="AG54" i="4"/>
  <c r="D37" i="7"/>
  <c r="H53" i="26"/>
  <c r="J23" i="7" s="1"/>
  <c r="K23" i="7" s="1"/>
  <c r="B33" i="1"/>
  <c r="AG10" i="4"/>
  <c r="AG12" i="4" s="1"/>
  <c r="I10" i="7"/>
  <c r="K10" i="7" s="1"/>
  <c r="K30" i="7"/>
  <c r="K7" i="7"/>
  <c r="I6" i="7"/>
  <c r="I20" i="7"/>
  <c r="K20" i="7" s="1"/>
  <c r="N24" i="42"/>
  <c r="H53" i="15"/>
  <c r="J12" i="7" s="1"/>
  <c r="K12" i="7" s="1"/>
  <c r="C18" i="7"/>
  <c r="I18" i="7" s="1"/>
  <c r="J18" i="7"/>
  <c r="B24" i="42"/>
  <c r="B40" i="1"/>
  <c r="AF24" i="42"/>
  <c r="S24" i="42"/>
  <c r="T24" i="42"/>
  <c r="F24" i="42"/>
  <c r="K35" i="7"/>
  <c r="U24" i="42"/>
  <c r="E24" i="42"/>
  <c r="H66" i="5"/>
  <c r="I66" i="5" s="1"/>
  <c r="E7" i="5"/>
  <c r="I101" i="5"/>
  <c r="I102" i="5" s="1"/>
  <c r="I103" i="5" s="1"/>
  <c r="D201" i="5"/>
  <c r="A74" i="8"/>
  <c r="I73" i="8"/>
  <c r="R133" i="6"/>
  <c r="R110" i="6"/>
  <c r="R118" i="6"/>
  <c r="N116" i="6"/>
  <c r="N131" i="6"/>
  <c r="R128" i="6"/>
  <c r="R126" i="6"/>
  <c r="R113" i="6"/>
  <c r="R119" i="6"/>
  <c r="N107" i="6"/>
  <c r="R109" i="6"/>
  <c r="N130" i="6"/>
  <c r="N111" i="6"/>
  <c r="R122" i="6"/>
  <c r="N112" i="6"/>
  <c r="R120" i="6"/>
  <c r="R127" i="6"/>
  <c r="N108" i="6"/>
  <c r="R132" i="6"/>
  <c r="N124" i="6"/>
  <c r="R121" i="6"/>
  <c r="R117" i="6"/>
  <c r="R129" i="6"/>
  <c r="H132" i="5"/>
  <c r="Q96" i="5"/>
  <c r="D10" i="5"/>
  <c r="D12" i="5" s="1"/>
  <c r="E9" i="5"/>
  <c r="V96" i="5"/>
  <c r="X96" i="5" s="1"/>
  <c r="E13" i="5"/>
  <c r="E8" i="5"/>
  <c r="H96" i="5"/>
  <c r="Q66" i="5"/>
  <c r="Q60" i="5"/>
  <c r="G21" i="5"/>
  <c r="G23" i="5" s="1"/>
  <c r="G24" i="5" s="1"/>
  <c r="B10" i="5"/>
  <c r="B12" i="5" s="1"/>
  <c r="I60" i="5"/>
  <c r="X60" i="5"/>
  <c r="C32" i="11"/>
  <c r="C27" i="11"/>
  <c r="C26" i="11" s="1"/>
  <c r="C30" i="11"/>
  <c r="C29" i="11"/>
  <c r="B35" i="11"/>
  <c r="C31" i="11"/>
  <c r="C28" i="11"/>
  <c r="C26" i="9"/>
  <c r="B13" i="5"/>
  <c r="F24" i="5"/>
  <c r="D13" i="5"/>
  <c r="D24" i="5"/>
  <c r="X65" i="5"/>
  <c r="S71" i="5"/>
  <c r="V71" i="5" s="1"/>
  <c r="X71" i="5" s="1"/>
  <c r="E207" i="5" s="1"/>
  <c r="X67" i="5"/>
  <c r="E203" i="5" s="1"/>
  <c r="X30" i="5"/>
  <c r="C202" i="5" s="1"/>
  <c r="X68" i="5"/>
  <c r="E204" i="5" s="1"/>
  <c r="X66" i="5"/>
  <c r="E202" i="5" s="1"/>
  <c r="Q67" i="5"/>
  <c r="X29" i="5"/>
  <c r="X69" i="5"/>
  <c r="E205" i="5" s="1"/>
  <c r="S32" i="5"/>
  <c r="V32" i="5" s="1"/>
  <c r="X31" i="5"/>
  <c r="C203" i="5" s="1"/>
  <c r="C32" i="5"/>
  <c r="F32" i="5" s="1"/>
  <c r="H31" i="5"/>
  <c r="I31" i="5" s="1"/>
  <c r="K69" i="5"/>
  <c r="N69" i="5" s="1"/>
  <c r="P68" i="5"/>
  <c r="C68" i="5"/>
  <c r="F68" i="5" s="1"/>
  <c r="H67" i="5"/>
  <c r="C105" i="5"/>
  <c r="F105" i="5" s="1"/>
  <c r="H104" i="5"/>
  <c r="D204" i="5" s="1"/>
  <c r="K32" i="5"/>
  <c r="N32" i="5" s="1"/>
  <c r="P31" i="5"/>
  <c r="Q31" i="5" s="1"/>
  <c r="C31" i="19"/>
  <c r="C29" i="19"/>
  <c r="C28" i="19"/>
  <c r="C27" i="19"/>
  <c r="C26" i="19" s="1"/>
  <c r="C30" i="19"/>
  <c r="C32" i="19"/>
  <c r="B35" i="19"/>
  <c r="C31" i="14"/>
  <c r="C30" i="14"/>
  <c r="C28" i="14"/>
  <c r="C27" i="14"/>
  <c r="C26" i="14" s="1"/>
  <c r="C32" i="14"/>
  <c r="C29" i="14"/>
  <c r="B35" i="14"/>
  <c r="C31" i="30"/>
  <c r="C30" i="30"/>
  <c r="C29" i="30"/>
  <c r="C28" i="30"/>
  <c r="C27" i="30"/>
  <c r="C26" i="30" s="1"/>
  <c r="C32" i="30"/>
  <c r="B35" i="30"/>
  <c r="C31" i="21"/>
  <c r="C30" i="21"/>
  <c r="C27" i="21"/>
  <c r="C26" i="21" s="1"/>
  <c r="C32" i="21"/>
  <c r="C29" i="21"/>
  <c r="C28" i="21"/>
  <c r="B35" i="21"/>
  <c r="C31" i="12"/>
  <c r="C30" i="12"/>
  <c r="C29" i="12"/>
  <c r="C28" i="12"/>
  <c r="C27" i="12"/>
  <c r="C26" i="12" s="1"/>
  <c r="C32" i="12"/>
  <c r="B35" i="12"/>
  <c r="C29" i="10"/>
  <c r="C30" i="10"/>
  <c r="C28" i="10"/>
  <c r="C27" i="10"/>
  <c r="C26" i="10" s="1"/>
  <c r="C31" i="10"/>
  <c r="C32" i="10"/>
  <c r="B35" i="10"/>
  <c r="C33" i="12"/>
  <c r="C29" i="26"/>
  <c r="C28" i="26"/>
  <c r="B35" i="26"/>
  <c r="C32" i="26"/>
  <c r="C30" i="26"/>
  <c r="C31" i="26"/>
  <c r="C27" i="26"/>
  <c r="C26" i="26" s="1"/>
  <c r="C29" i="29"/>
  <c r="C31" i="29"/>
  <c r="C30" i="29"/>
  <c r="C28" i="29"/>
  <c r="C27" i="29"/>
  <c r="C26" i="29" s="1"/>
  <c r="C32" i="29"/>
  <c r="B35" i="29"/>
  <c r="C33" i="19"/>
  <c r="C33" i="26"/>
  <c r="B35" i="3"/>
  <c r="C32" i="3"/>
  <c r="C27" i="3"/>
  <c r="C26" i="3" s="1"/>
  <c r="C28" i="3"/>
  <c r="C31" i="3"/>
  <c r="C29" i="3"/>
  <c r="C30" i="3"/>
  <c r="H53" i="3"/>
  <c r="J37" i="7" l="1"/>
  <c r="K18" i="7"/>
  <c r="D48" i="4"/>
  <c r="E42" i="4"/>
  <c r="E46" i="4" s="1"/>
  <c r="B41" i="1"/>
  <c r="B43" i="1" s="1"/>
  <c r="C37" i="7"/>
  <c r="K6" i="7"/>
  <c r="I37" i="7"/>
  <c r="B43" i="43" s="1"/>
  <c r="I67" i="5"/>
  <c r="Y65" i="5"/>
  <c r="Y66" i="5" s="1"/>
  <c r="Y67" i="5" s="1"/>
  <c r="Y68" i="5" s="1"/>
  <c r="Y69" i="5" s="1"/>
  <c r="Y70" i="5" s="1"/>
  <c r="Y71" i="5" s="1"/>
  <c r="E201" i="5"/>
  <c r="Y29" i="5"/>
  <c r="Y30" i="5" s="1"/>
  <c r="Y31" i="5" s="1"/>
  <c r="C201" i="5"/>
  <c r="A75" i="8"/>
  <c r="I74" i="8"/>
  <c r="D14" i="5"/>
  <c r="E10" i="5"/>
  <c r="E12" i="5" s="1"/>
  <c r="E14" i="5" s="1"/>
  <c r="Y96" i="5"/>
  <c r="Q68" i="5"/>
  <c r="C13" i="5"/>
  <c r="C14" i="5" s="1"/>
  <c r="B14" i="5"/>
  <c r="S72" i="5"/>
  <c r="V72" i="5" s="1"/>
  <c r="S73" i="5" s="1"/>
  <c r="V73" i="5" s="1"/>
  <c r="I104" i="5"/>
  <c r="S33" i="5"/>
  <c r="V33" i="5" s="1"/>
  <c r="X32" i="5"/>
  <c r="C204" i="5" s="1"/>
  <c r="C33" i="5"/>
  <c r="F33" i="5" s="1"/>
  <c r="H32" i="5"/>
  <c r="I32" i="5" s="1"/>
  <c r="P69" i="5"/>
  <c r="K70" i="5"/>
  <c r="N70" i="5" s="1"/>
  <c r="C69" i="5"/>
  <c r="F69" i="5" s="1"/>
  <c r="H68" i="5"/>
  <c r="H105" i="5"/>
  <c r="D205" i="5" s="1"/>
  <c r="C106" i="5"/>
  <c r="F106" i="5" s="1"/>
  <c r="K33" i="5"/>
  <c r="N33" i="5" s="1"/>
  <c r="P32" i="5"/>
  <c r="Q32" i="5" s="1"/>
  <c r="I68" i="5" l="1"/>
  <c r="K37" i="7"/>
  <c r="K38" i="7"/>
  <c r="E48" i="4"/>
  <c r="F42" i="4"/>
  <c r="F46" i="4" s="1"/>
  <c r="A76" i="8"/>
  <c r="I75" i="8"/>
  <c r="Q69" i="5"/>
  <c r="X72" i="5"/>
  <c r="I105" i="5"/>
  <c r="S74" i="5"/>
  <c r="V74" i="5" s="1"/>
  <c r="X73" i="5"/>
  <c r="E209" i="5" s="1"/>
  <c r="Y32" i="5"/>
  <c r="S34" i="5"/>
  <c r="V34" i="5" s="1"/>
  <c r="X33" i="5"/>
  <c r="C205" i="5" s="1"/>
  <c r="H33" i="5"/>
  <c r="I33" i="5" s="1"/>
  <c r="C34" i="5"/>
  <c r="F34" i="5" s="1"/>
  <c r="K71" i="5"/>
  <c r="N71" i="5" s="1"/>
  <c r="P70" i="5"/>
  <c r="H69" i="5"/>
  <c r="C70" i="5"/>
  <c r="F70" i="5" s="1"/>
  <c r="C107" i="5"/>
  <c r="F107" i="5" s="1"/>
  <c r="H106" i="5"/>
  <c r="D206" i="5" s="1"/>
  <c r="K34" i="5"/>
  <c r="N34" i="5" s="1"/>
  <c r="P33" i="5"/>
  <c r="Q33" i="5" s="1"/>
  <c r="I69" i="5" l="1"/>
  <c r="G42" i="4"/>
  <c r="G46" i="4" s="1"/>
  <c r="F48" i="4"/>
  <c r="Y72" i="5"/>
  <c r="Y73" i="5" s="1"/>
  <c r="E208" i="5"/>
  <c r="A77" i="8"/>
  <c r="I76" i="8"/>
  <c r="Q70" i="5"/>
  <c r="Y33" i="5"/>
  <c r="I106" i="5"/>
  <c r="S75" i="5"/>
  <c r="V75" i="5" s="1"/>
  <c r="X74" i="5"/>
  <c r="S35" i="5"/>
  <c r="V35" i="5" s="1"/>
  <c r="X34" i="5"/>
  <c r="C206" i="5" s="1"/>
  <c r="H34" i="5"/>
  <c r="I34" i="5" s="1"/>
  <c r="C35" i="5"/>
  <c r="F35" i="5" s="1"/>
  <c r="K72" i="5"/>
  <c r="N72" i="5" s="1"/>
  <c r="P71" i="5"/>
  <c r="C71" i="5"/>
  <c r="F71" i="5" s="1"/>
  <c r="H70" i="5"/>
  <c r="I70" i="5" s="1"/>
  <c r="C108" i="5"/>
  <c r="F108" i="5" s="1"/>
  <c r="H107" i="5"/>
  <c r="D207" i="5" s="1"/>
  <c r="K35" i="5"/>
  <c r="N35" i="5" s="1"/>
  <c r="P34" i="5"/>
  <c r="Q34" i="5" s="1"/>
  <c r="H42" i="4" l="1"/>
  <c r="H46" i="4" s="1"/>
  <c r="G48" i="4"/>
  <c r="Y74" i="5"/>
  <c r="E210" i="5"/>
  <c r="A78" i="8"/>
  <c r="I77" i="8"/>
  <c r="Q71" i="5"/>
  <c r="Y34" i="5"/>
  <c r="I107" i="5"/>
  <c r="S76" i="5"/>
  <c r="V76" i="5" s="1"/>
  <c r="X75" i="5"/>
  <c r="S36" i="5"/>
  <c r="V36" i="5" s="1"/>
  <c r="X35" i="5"/>
  <c r="C36" i="5"/>
  <c r="F36" i="5" s="1"/>
  <c r="H35" i="5"/>
  <c r="I35" i="5" s="1"/>
  <c r="K73" i="5"/>
  <c r="N73" i="5" s="1"/>
  <c r="P72" i="5"/>
  <c r="C72" i="5"/>
  <c r="F72" i="5" s="1"/>
  <c r="H71" i="5"/>
  <c r="I71" i="5" s="1"/>
  <c r="C109" i="5"/>
  <c r="F109" i="5" s="1"/>
  <c r="H108" i="5"/>
  <c r="D208" i="5" s="1"/>
  <c r="P35" i="5"/>
  <c r="Q35" i="5" s="1"/>
  <c r="K36" i="5"/>
  <c r="N36" i="5" s="1"/>
  <c r="H48" i="4" l="1"/>
  <c r="I42" i="4"/>
  <c r="I46" i="4" s="1"/>
  <c r="Y35" i="5"/>
  <c r="C207" i="5"/>
  <c r="Y75" i="5"/>
  <c r="E211" i="5"/>
  <c r="A79" i="8"/>
  <c r="I78" i="8"/>
  <c r="Q72" i="5"/>
  <c r="I108" i="5"/>
  <c r="S77" i="5"/>
  <c r="V77" i="5" s="1"/>
  <c r="X76" i="5"/>
  <c r="S37" i="5"/>
  <c r="V37" i="5" s="1"/>
  <c r="X36" i="5"/>
  <c r="C37" i="5"/>
  <c r="F37" i="5" s="1"/>
  <c r="H36" i="5"/>
  <c r="I36" i="5" s="1"/>
  <c r="P73" i="5"/>
  <c r="K74" i="5"/>
  <c r="N74" i="5" s="1"/>
  <c r="C73" i="5"/>
  <c r="F73" i="5" s="1"/>
  <c r="H72" i="5"/>
  <c r="I72" i="5" s="1"/>
  <c r="H109" i="5"/>
  <c r="D209" i="5" s="1"/>
  <c r="C110" i="5"/>
  <c r="F110" i="5" s="1"/>
  <c r="K37" i="5"/>
  <c r="N37" i="5" s="1"/>
  <c r="P36" i="5"/>
  <c r="Q36" i="5" s="1"/>
  <c r="Q73" i="5" l="1"/>
  <c r="I48" i="4"/>
  <c r="J42" i="4"/>
  <c r="J46" i="4" s="1"/>
  <c r="Y36" i="5"/>
  <c r="C208" i="5"/>
  <c r="Y76" i="5"/>
  <c r="E212" i="5"/>
  <c r="A80" i="8"/>
  <c r="I79" i="8"/>
  <c r="I109" i="5"/>
  <c r="S78" i="5"/>
  <c r="V78" i="5" s="1"/>
  <c r="X77" i="5"/>
  <c r="S38" i="5"/>
  <c r="V38" i="5" s="1"/>
  <c r="X37" i="5"/>
  <c r="C38" i="5"/>
  <c r="F38" i="5" s="1"/>
  <c r="H37" i="5"/>
  <c r="I37" i="5" s="1"/>
  <c r="K75" i="5"/>
  <c r="N75" i="5" s="1"/>
  <c r="P74" i="5"/>
  <c r="H73" i="5"/>
  <c r="I73" i="5" s="1"/>
  <c r="C74" i="5"/>
  <c r="F74" i="5" s="1"/>
  <c r="C111" i="5"/>
  <c r="F111" i="5" s="1"/>
  <c r="H110" i="5"/>
  <c r="D210" i="5" s="1"/>
  <c r="K38" i="5"/>
  <c r="N38" i="5" s="1"/>
  <c r="P37" i="5"/>
  <c r="Q37" i="5" s="1"/>
  <c r="Q74" i="5" l="1"/>
  <c r="J48" i="4"/>
  <c r="K42" i="4"/>
  <c r="K46" i="4" s="1"/>
  <c r="Y77" i="5"/>
  <c r="E213" i="5"/>
  <c r="Y37" i="5"/>
  <c r="C209" i="5"/>
  <c r="A81" i="8"/>
  <c r="I80" i="8"/>
  <c r="I110" i="5"/>
  <c r="S79" i="5"/>
  <c r="V79" i="5" s="1"/>
  <c r="X78" i="5"/>
  <c r="S39" i="5"/>
  <c r="V39" i="5" s="1"/>
  <c r="X38" i="5"/>
  <c r="H38" i="5"/>
  <c r="I38" i="5" s="1"/>
  <c r="C39" i="5"/>
  <c r="F39" i="5" s="1"/>
  <c r="K76" i="5"/>
  <c r="N76" i="5" s="1"/>
  <c r="P75" i="5"/>
  <c r="Q75" i="5" s="1"/>
  <c r="C75" i="5"/>
  <c r="F75" i="5" s="1"/>
  <c r="H74" i="5"/>
  <c r="I74" i="5" s="1"/>
  <c r="C112" i="5"/>
  <c r="F112" i="5" s="1"/>
  <c r="H111" i="5"/>
  <c r="D211" i="5" s="1"/>
  <c r="K39" i="5"/>
  <c r="N39" i="5" s="1"/>
  <c r="P38" i="5"/>
  <c r="Q38" i="5" s="1"/>
  <c r="K48" i="4" l="1"/>
  <c r="L42" i="4"/>
  <c r="L46" i="4" s="1"/>
  <c r="Y78" i="5"/>
  <c r="E214" i="5"/>
  <c r="Y38" i="5"/>
  <c r="C210" i="5"/>
  <c r="A82" i="8"/>
  <c r="I81" i="8"/>
  <c r="I111" i="5"/>
  <c r="X79" i="5"/>
  <c r="S80" i="5"/>
  <c r="V80" i="5" s="1"/>
  <c r="S40" i="5"/>
  <c r="V40" i="5" s="1"/>
  <c r="X39" i="5"/>
  <c r="H39" i="5"/>
  <c r="I39" i="5" s="1"/>
  <c r="C40" i="5"/>
  <c r="F40" i="5" s="1"/>
  <c r="K77" i="5"/>
  <c r="N77" i="5" s="1"/>
  <c r="P76" i="5"/>
  <c r="Q76" i="5" s="1"/>
  <c r="C76" i="5"/>
  <c r="F76" i="5" s="1"/>
  <c r="H75" i="5"/>
  <c r="I75" i="5" s="1"/>
  <c r="C113" i="5"/>
  <c r="F113" i="5" s="1"/>
  <c r="H112" i="5"/>
  <c r="K40" i="5"/>
  <c r="N40" i="5" s="1"/>
  <c r="P39" i="5"/>
  <c r="Q39" i="5" s="1"/>
  <c r="M42" i="4" l="1"/>
  <c r="M46" i="4" s="1"/>
  <c r="L48" i="4"/>
  <c r="Y39" i="5"/>
  <c r="C211" i="5"/>
  <c r="Y79" i="5"/>
  <c r="E215" i="5"/>
  <c r="I112" i="5"/>
  <c r="D212" i="5"/>
  <c r="A83" i="8"/>
  <c r="I82" i="8"/>
  <c r="S81" i="5"/>
  <c r="V81" i="5" s="1"/>
  <c r="X80" i="5"/>
  <c r="S41" i="5"/>
  <c r="V41" i="5" s="1"/>
  <c r="X40" i="5"/>
  <c r="C41" i="5"/>
  <c r="F41" i="5" s="1"/>
  <c r="H40" i="5"/>
  <c r="I40" i="5" s="1"/>
  <c r="P77" i="5"/>
  <c r="Q77" i="5" s="1"/>
  <c r="K78" i="5"/>
  <c r="N78" i="5" s="1"/>
  <c r="C77" i="5"/>
  <c r="F77" i="5" s="1"/>
  <c r="H76" i="5"/>
  <c r="I76" i="5" s="1"/>
  <c r="H113" i="5"/>
  <c r="C114" i="5"/>
  <c r="F114" i="5" s="1"/>
  <c r="K41" i="5"/>
  <c r="N41" i="5" s="1"/>
  <c r="P40" i="5"/>
  <c r="Q40" i="5" s="1"/>
  <c r="M48" i="4" l="1"/>
  <c r="N42" i="4"/>
  <c r="N46" i="4" s="1"/>
  <c r="Y40" i="5"/>
  <c r="C212" i="5"/>
  <c r="Y80" i="5"/>
  <c r="E216" i="5"/>
  <c r="I113" i="5"/>
  <c r="D213" i="5"/>
  <c r="A84" i="8"/>
  <c r="I83" i="8"/>
  <c r="S82" i="5"/>
  <c r="V82" i="5" s="1"/>
  <c r="X81" i="5"/>
  <c r="S42" i="5"/>
  <c r="V42" i="5" s="1"/>
  <c r="X41" i="5"/>
  <c r="C42" i="5"/>
  <c r="F42" i="5" s="1"/>
  <c r="H41" i="5"/>
  <c r="I41" i="5" s="1"/>
  <c r="K79" i="5"/>
  <c r="N79" i="5" s="1"/>
  <c r="P78" i="5"/>
  <c r="Q78" i="5" s="1"/>
  <c r="H77" i="5"/>
  <c r="I77" i="5" s="1"/>
  <c r="C78" i="5"/>
  <c r="F78" i="5" s="1"/>
  <c r="C115" i="5"/>
  <c r="F115" i="5" s="1"/>
  <c r="H114" i="5"/>
  <c r="K42" i="5"/>
  <c r="N42" i="5" s="1"/>
  <c r="P41" i="5"/>
  <c r="Q41" i="5" s="1"/>
  <c r="N48" i="4" l="1"/>
  <c r="O42" i="4"/>
  <c r="O46" i="4" s="1"/>
  <c r="Y41" i="5"/>
  <c r="C213" i="5"/>
  <c r="I114" i="5"/>
  <c r="D214" i="5"/>
  <c r="Y81" i="5"/>
  <c r="E217" i="5"/>
  <c r="A85" i="8"/>
  <c r="I84" i="8"/>
  <c r="S83" i="5"/>
  <c r="V83" i="5" s="1"/>
  <c r="X82" i="5"/>
  <c r="S43" i="5"/>
  <c r="V43" i="5" s="1"/>
  <c r="X42" i="5"/>
  <c r="C43" i="5"/>
  <c r="F43" i="5" s="1"/>
  <c r="H42" i="5"/>
  <c r="I42" i="5" s="1"/>
  <c r="K80" i="5"/>
  <c r="N80" i="5" s="1"/>
  <c r="P79" i="5"/>
  <c r="Q79" i="5" s="1"/>
  <c r="C79" i="5"/>
  <c r="F79" i="5" s="1"/>
  <c r="H78" i="5"/>
  <c r="I78" i="5" s="1"/>
  <c r="C116" i="5"/>
  <c r="F116" i="5" s="1"/>
  <c r="H115" i="5"/>
  <c r="K43" i="5"/>
  <c r="N43" i="5" s="1"/>
  <c r="P42" i="5"/>
  <c r="Q42" i="5" s="1"/>
  <c r="P42" i="4" l="1"/>
  <c r="P46" i="4" s="1"/>
  <c r="O48" i="4"/>
  <c r="Y42" i="5"/>
  <c r="C214" i="5"/>
  <c r="I115" i="5"/>
  <c r="D215" i="5"/>
  <c r="Y82" i="5"/>
  <c r="E218" i="5"/>
  <c r="A86" i="8"/>
  <c r="I85" i="8"/>
  <c r="S84" i="5"/>
  <c r="V84" i="5" s="1"/>
  <c r="X83" i="5"/>
  <c r="S44" i="5"/>
  <c r="V44" i="5" s="1"/>
  <c r="X43" i="5"/>
  <c r="C44" i="5"/>
  <c r="F44" i="5" s="1"/>
  <c r="H43" i="5"/>
  <c r="I43" i="5" s="1"/>
  <c r="K81" i="5"/>
  <c r="N81" i="5" s="1"/>
  <c r="P80" i="5"/>
  <c r="Q80" i="5" s="1"/>
  <c r="C80" i="5"/>
  <c r="F80" i="5" s="1"/>
  <c r="H79" i="5"/>
  <c r="I79" i="5" s="1"/>
  <c r="C117" i="5"/>
  <c r="F117" i="5" s="1"/>
  <c r="H116" i="5"/>
  <c r="P43" i="5"/>
  <c r="Q43" i="5" s="1"/>
  <c r="K44" i="5"/>
  <c r="N44" i="5" s="1"/>
  <c r="P48" i="4" l="1"/>
  <c r="Q42" i="4"/>
  <c r="Q46" i="4" s="1"/>
  <c r="Y43" i="5"/>
  <c r="C215" i="5"/>
  <c r="I116" i="5"/>
  <c r="D216" i="5"/>
  <c r="Y83" i="5"/>
  <c r="E219" i="5"/>
  <c r="A87" i="8"/>
  <c r="I86" i="8"/>
  <c r="S85" i="5"/>
  <c r="V85" i="5" s="1"/>
  <c r="X84" i="5"/>
  <c r="S45" i="5"/>
  <c r="V45" i="5" s="1"/>
  <c r="X44" i="5"/>
  <c r="H44" i="5"/>
  <c r="I44" i="5" s="1"/>
  <c r="C45" i="5"/>
  <c r="F45" i="5" s="1"/>
  <c r="P81" i="5"/>
  <c r="Q81" i="5" s="1"/>
  <c r="K82" i="5"/>
  <c r="N82" i="5" s="1"/>
  <c r="C81" i="5"/>
  <c r="F81" i="5" s="1"/>
  <c r="H80" i="5"/>
  <c r="I80" i="5" s="1"/>
  <c r="H117" i="5"/>
  <c r="C118" i="5"/>
  <c r="F118" i="5" s="1"/>
  <c r="K45" i="5"/>
  <c r="N45" i="5" s="1"/>
  <c r="P44" i="5"/>
  <c r="Q44" i="5" s="1"/>
  <c r="R42" i="4" l="1"/>
  <c r="R46" i="4" s="1"/>
  <c r="Q48" i="4"/>
  <c r="Y44" i="5"/>
  <c r="C216" i="5"/>
  <c r="Y84" i="5"/>
  <c r="E220" i="5"/>
  <c r="I117" i="5"/>
  <c r="D217" i="5"/>
  <c r="A88" i="8"/>
  <c r="I87" i="8"/>
  <c r="S86" i="5"/>
  <c r="V86" i="5" s="1"/>
  <c r="X85" i="5"/>
  <c r="S46" i="5"/>
  <c r="V46" i="5" s="1"/>
  <c r="X45" i="5"/>
  <c r="H45" i="5"/>
  <c r="I45" i="5" s="1"/>
  <c r="C46" i="5"/>
  <c r="F46" i="5" s="1"/>
  <c r="K83" i="5"/>
  <c r="N83" i="5" s="1"/>
  <c r="P82" i="5"/>
  <c r="Q82" i="5" s="1"/>
  <c r="H81" i="5"/>
  <c r="I81" i="5" s="1"/>
  <c r="C82" i="5"/>
  <c r="F82" i="5" s="1"/>
  <c r="C119" i="5"/>
  <c r="F119" i="5" s="1"/>
  <c r="H118" i="5"/>
  <c r="K46" i="5"/>
  <c r="N46" i="5" s="1"/>
  <c r="P45" i="5"/>
  <c r="Q45" i="5" s="1"/>
  <c r="S42" i="4" l="1"/>
  <c r="S46" i="4" s="1"/>
  <c r="R48" i="4"/>
  <c r="Y85" i="5"/>
  <c r="E221" i="5"/>
  <c r="I118" i="5"/>
  <c r="D218" i="5"/>
  <c r="Y45" i="5"/>
  <c r="C217" i="5"/>
  <c r="A89" i="8"/>
  <c r="I88" i="8"/>
  <c r="X86" i="5"/>
  <c r="S87" i="5"/>
  <c r="V87" i="5" s="1"/>
  <c r="S47" i="5"/>
  <c r="V47" i="5" s="1"/>
  <c r="X46" i="5"/>
  <c r="C47" i="5"/>
  <c r="F47" i="5" s="1"/>
  <c r="H46" i="5"/>
  <c r="I46" i="5" s="1"/>
  <c r="P83" i="5"/>
  <c r="Q83" i="5" s="1"/>
  <c r="K84" i="5"/>
  <c r="N84" i="5" s="1"/>
  <c r="C83" i="5"/>
  <c r="F83" i="5" s="1"/>
  <c r="H82" i="5"/>
  <c r="I82" i="5" s="1"/>
  <c r="H119" i="5"/>
  <c r="C120" i="5"/>
  <c r="F120" i="5" s="1"/>
  <c r="K47" i="5"/>
  <c r="N47" i="5" s="1"/>
  <c r="P46" i="5"/>
  <c r="Q46" i="5" s="1"/>
  <c r="T42" i="4" l="1"/>
  <c r="T46" i="4" s="1"/>
  <c r="S48" i="4"/>
  <c r="Y46" i="5"/>
  <c r="C218" i="5"/>
  <c r="Y86" i="5"/>
  <c r="E222" i="5"/>
  <c r="I119" i="5"/>
  <c r="D219" i="5"/>
  <c r="A90" i="8"/>
  <c r="I89" i="8"/>
  <c r="S88" i="5"/>
  <c r="V88" i="5" s="1"/>
  <c r="X87" i="5"/>
  <c r="S48" i="5"/>
  <c r="V48" i="5" s="1"/>
  <c r="X47" i="5"/>
  <c r="C48" i="5"/>
  <c r="F48" i="5" s="1"/>
  <c r="H47" i="5"/>
  <c r="I47" i="5" s="1"/>
  <c r="K85" i="5"/>
  <c r="N85" i="5" s="1"/>
  <c r="P84" i="5"/>
  <c r="Q84" i="5" s="1"/>
  <c r="H83" i="5"/>
  <c r="I83" i="5" s="1"/>
  <c r="C84" i="5"/>
  <c r="F84" i="5" s="1"/>
  <c r="C121" i="5"/>
  <c r="F121" i="5" s="1"/>
  <c r="H120" i="5"/>
  <c r="K48" i="5"/>
  <c r="N48" i="5" s="1"/>
  <c r="P47" i="5"/>
  <c r="Q47" i="5" s="1"/>
  <c r="T48" i="4" l="1"/>
  <c r="U42" i="4"/>
  <c r="U46" i="4" s="1"/>
  <c r="I120" i="5"/>
  <c r="D220" i="5"/>
  <c r="Y87" i="5"/>
  <c r="E223" i="5"/>
  <c r="Y47" i="5"/>
  <c r="C219" i="5"/>
  <c r="A91" i="8"/>
  <c r="I90" i="8"/>
  <c r="S89" i="5"/>
  <c r="V89" i="5" s="1"/>
  <c r="X88" i="5"/>
  <c r="S49" i="5"/>
  <c r="V49" i="5" s="1"/>
  <c r="X48" i="5"/>
  <c r="C49" i="5"/>
  <c r="F49" i="5" s="1"/>
  <c r="H48" i="5"/>
  <c r="I48" i="5" s="1"/>
  <c r="P85" i="5"/>
  <c r="Q85" i="5" s="1"/>
  <c r="K86" i="5"/>
  <c r="N86" i="5" s="1"/>
  <c r="C85" i="5"/>
  <c r="F85" i="5" s="1"/>
  <c r="H84" i="5"/>
  <c r="I84" i="5" s="1"/>
  <c r="H121" i="5"/>
  <c r="C122" i="5"/>
  <c r="F122" i="5" s="1"/>
  <c r="K49" i="5"/>
  <c r="N49" i="5" s="1"/>
  <c r="P48" i="5"/>
  <c r="Q48" i="5" s="1"/>
  <c r="U48" i="4" l="1"/>
  <c r="V42" i="4"/>
  <c r="V46" i="4" s="1"/>
  <c r="Y48" i="5"/>
  <c r="C220" i="5"/>
  <c r="I121" i="5"/>
  <c r="D221" i="5"/>
  <c r="Y88" i="5"/>
  <c r="E224" i="5"/>
  <c r="A92" i="8"/>
  <c r="I91" i="8"/>
  <c r="S90" i="5"/>
  <c r="V90" i="5" s="1"/>
  <c r="X89" i="5"/>
  <c r="S50" i="5"/>
  <c r="V50" i="5" s="1"/>
  <c r="X49" i="5"/>
  <c r="H49" i="5"/>
  <c r="I49" i="5" s="1"/>
  <c r="C50" i="5"/>
  <c r="F50" i="5" s="1"/>
  <c r="K87" i="5"/>
  <c r="N87" i="5" s="1"/>
  <c r="P86" i="5"/>
  <c r="Q86" i="5" s="1"/>
  <c r="H85" i="5"/>
  <c r="I85" i="5" s="1"/>
  <c r="C86" i="5"/>
  <c r="F86" i="5" s="1"/>
  <c r="C123" i="5"/>
  <c r="F123" i="5" s="1"/>
  <c r="H122" i="5"/>
  <c r="K50" i="5"/>
  <c r="N50" i="5" s="1"/>
  <c r="P49" i="5"/>
  <c r="Q49" i="5" s="1"/>
  <c r="V48" i="4" l="1"/>
  <c r="W42" i="4"/>
  <c r="W46" i="4" s="1"/>
  <c r="Y49" i="5"/>
  <c r="C221" i="5"/>
  <c r="Y89" i="5"/>
  <c r="E225" i="5"/>
  <c r="I122" i="5"/>
  <c r="D222" i="5"/>
  <c r="A93" i="8"/>
  <c r="I92" i="8"/>
  <c r="S91" i="5"/>
  <c r="V91" i="5" s="1"/>
  <c r="X90" i="5"/>
  <c r="S51" i="5"/>
  <c r="V51" i="5" s="1"/>
  <c r="X50" i="5"/>
  <c r="C51" i="5"/>
  <c r="F51" i="5" s="1"/>
  <c r="H50" i="5"/>
  <c r="I50" i="5" s="1"/>
  <c r="P87" i="5"/>
  <c r="Q87" i="5" s="1"/>
  <c r="K88" i="5"/>
  <c r="N88" i="5" s="1"/>
  <c r="C87" i="5"/>
  <c r="F87" i="5" s="1"/>
  <c r="H86" i="5"/>
  <c r="I86" i="5" s="1"/>
  <c r="H123" i="5"/>
  <c r="C124" i="5"/>
  <c r="F124" i="5" s="1"/>
  <c r="K51" i="5"/>
  <c r="N51" i="5" s="1"/>
  <c r="P50" i="5"/>
  <c r="Q50" i="5" s="1"/>
  <c r="X42" i="4" l="1"/>
  <c r="X46" i="4" s="1"/>
  <c r="W48" i="4"/>
  <c r="Y50" i="5"/>
  <c r="C222" i="5"/>
  <c r="Y90" i="5"/>
  <c r="E226" i="5"/>
  <c r="I123" i="5"/>
  <c r="D223" i="5"/>
  <c r="A94" i="8"/>
  <c r="I93" i="8"/>
  <c r="S92" i="5"/>
  <c r="V92" i="5" s="1"/>
  <c r="X91" i="5"/>
  <c r="S52" i="5"/>
  <c r="V52" i="5" s="1"/>
  <c r="X51" i="5"/>
  <c r="H51" i="5"/>
  <c r="I51" i="5" s="1"/>
  <c r="C52" i="5"/>
  <c r="F52" i="5" s="1"/>
  <c r="K89" i="5"/>
  <c r="N89" i="5" s="1"/>
  <c r="P88" i="5"/>
  <c r="Q88" i="5" s="1"/>
  <c r="H87" i="5"/>
  <c r="I87" i="5" s="1"/>
  <c r="C88" i="5"/>
  <c r="F88" i="5" s="1"/>
  <c r="C125" i="5"/>
  <c r="F125" i="5" s="1"/>
  <c r="H124" i="5"/>
  <c r="K52" i="5"/>
  <c r="N52" i="5" s="1"/>
  <c r="P51" i="5"/>
  <c r="Q51" i="5" s="1"/>
  <c r="Y42" i="4" l="1"/>
  <c r="Y46" i="4" s="1"/>
  <c r="X48" i="4"/>
  <c r="Y91" i="5"/>
  <c r="E227" i="5"/>
  <c r="Y51" i="5"/>
  <c r="C223" i="5"/>
  <c r="I124" i="5"/>
  <c r="D224" i="5"/>
  <c r="A95" i="8"/>
  <c r="I94" i="8"/>
  <c r="S93" i="5"/>
  <c r="V93" i="5" s="1"/>
  <c r="X92" i="5"/>
  <c r="S53" i="5"/>
  <c r="V53" i="5" s="1"/>
  <c r="X52" i="5"/>
  <c r="H52" i="5"/>
  <c r="I52" i="5" s="1"/>
  <c r="C53" i="5"/>
  <c r="F53" i="5" s="1"/>
  <c r="P89" i="5"/>
  <c r="Q89" i="5" s="1"/>
  <c r="K90" i="5"/>
  <c r="N90" i="5" s="1"/>
  <c r="C89" i="5"/>
  <c r="F89" i="5" s="1"/>
  <c r="H88" i="5"/>
  <c r="I88" i="5" s="1"/>
  <c r="H125" i="5"/>
  <c r="C126" i="5"/>
  <c r="F126" i="5" s="1"/>
  <c r="K53" i="5"/>
  <c r="N53" i="5" s="1"/>
  <c r="P52" i="5"/>
  <c r="Q52" i="5" s="1"/>
  <c r="Z42" i="4" l="1"/>
  <c r="Z46" i="4" s="1"/>
  <c r="Y48" i="4"/>
  <c r="Y92" i="5"/>
  <c r="E228" i="5"/>
  <c r="Y52" i="5"/>
  <c r="C224" i="5"/>
  <c r="I125" i="5"/>
  <c r="D225" i="5"/>
  <c r="A96" i="8"/>
  <c r="I95" i="8"/>
  <c r="S94" i="5"/>
  <c r="V94" i="5" s="1"/>
  <c r="X93" i="5"/>
  <c r="S54" i="5"/>
  <c r="V54" i="5" s="1"/>
  <c r="X53" i="5"/>
  <c r="H53" i="5"/>
  <c r="I53" i="5" s="1"/>
  <c r="C54" i="5"/>
  <c r="F54" i="5" s="1"/>
  <c r="K91" i="5"/>
  <c r="N91" i="5" s="1"/>
  <c r="P90" i="5"/>
  <c r="Q90" i="5" s="1"/>
  <c r="H89" i="5"/>
  <c r="I89" i="5" s="1"/>
  <c r="C90" i="5"/>
  <c r="F90" i="5" s="1"/>
  <c r="C127" i="5"/>
  <c r="F127" i="5" s="1"/>
  <c r="H126" i="5"/>
  <c r="K54" i="5"/>
  <c r="N54" i="5" s="1"/>
  <c r="P53" i="5"/>
  <c r="Q53" i="5" s="1"/>
  <c r="Z48" i="4" l="1"/>
  <c r="AA42" i="4"/>
  <c r="AA46" i="4" s="1"/>
  <c r="Y53" i="5"/>
  <c r="C225" i="5"/>
  <c r="Y93" i="5"/>
  <c r="E229" i="5"/>
  <c r="I126" i="5"/>
  <c r="D226" i="5"/>
  <c r="A97" i="8"/>
  <c r="I96" i="8"/>
  <c r="X94" i="5"/>
  <c r="S95" i="5"/>
  <c r="V95" i="5" s="1"/>
  <c r="X95" i="5" s="1"/>
  <c r="E231" i="5" s="1"/>
  <c r="S55" i="5"/>
  <c r="V55" i="5" s="1"/>
  <c r="X54" i="5"/>
  <c r="H54" i="5"/>
  <c r="I54" i="5" s="1"/>
  <c r="C55" i="5"/>
  <c r="F55" i="5" s="1"/>
  <c r="K92" i="5"/>
  <c r="N92" i="5" s="1"/>
  <c r="P91" i="5"/>
  <c r="Q91" i="5" s="1"/>
  <c r="C91" i="5"/>
  <c r="F91" i="5" s="1"/>
  <c r="H90" i="5"/>
  <c r="I90" i="5" s="1"/>
  <c r="C128" i="5"/>
  <c r="F128" i="5" s="1"/>
  <c r="H127" i="5"/>
  <c r="K55" i="5"/>
  <c r="N55" i="5" s="1"/>
  <c r="P54" i="5"/>
  <c r="Q54" i="5" s="1"/>
  <c r="AA48" i="4" l="1"/>
  <c r="AB42" i="4"/>
  <c r="AB46" i="4" s="1"/>
  <c r="I127" i="5"/>
  <c r="D227" i="5"/>
  <c r="Y94" i="5"/>
  <c r="Y95" i="5" s="1"/>
  <c r="E230" i="5"/>
  <c r="Y54" i="5"/>
  <c r="C226" i="5"/>
  <c r="A98" i="8"/>
  <c r="I97" i="8"/>
  <c r="S56" i="5"/>
  <c r="V56" i="5" s="1"/>
  <c r="X55" i="5"/>
  <c r="C56" i="5"/>
  <c r="F56" i="5" s="1"/>
  <c r="H55" i="5"/>
  <c r="I55" i="5" s="1"/>
  <c r="K93" i="5"/>
  <c r="N93" i="5" s="1"/>
  <c r="P92" i="5"/>
  <c r="Q92" i="5" s="1"/>
  <c r="C92" i="5"/>
  <c r="F92" i="5" s="1"/>
  <c r="H91" i="5"/>
  <c r="I91" i="5" s="1"/>
  <c r="C129" i="5"/>
  <c r="F129" i="5" s="1"/>
  <c r="H128" i="5"/>
  <c r="K56" i="5"/>
  <c r="N56" i="5" s="1"/>
  <c r="P55" i="5"/>
  <c r="Q55" i="5" s="1"/>
  <c r="AC42" i="4" l="1"/>
  <c r="AC46" i="4" s="1"/>
  <c r="AB48" i="4"/>
  <c r="Y55" i="5"/>
  <c r="C227" i="5"/>
  <c r="I128" i="5"/>
  <c r="D228" i="5"/>
  <c r="A99" i="8"/>
  <c r="I99" i="8" s="1"/>
  <c r="I98" i="8"/>
  <c r="S57" i="5"/>
  <c r="V57" i="5" s="1"/>
  <c r="X56" i="5"/>
  <c r="H56" i="5"/>
  <c r="I56" i="5" s="1"/>
  <c r="C57" i="5"/>
  <c r="F57" i="5" s="1"/>
  <c r="P93" i="5"/>
  <c r="Q93" i="5" s="1"/>
  <c r="K94" i="5"/>
  <c r="N94" i="5" s="1"/>
  <c r="C93" i="5"/>
  <c r="F93" i="5" s="1"/>
  <c r="H92" i="5"/>
  <c r="I92" i="5" s="1"/>
  <c r="H129" i="5"/>
  <c r="C130" i="5"/>
  <c r="F130" i="5" s="1"/>
  <c r="K57" i="5"/>
  <c r="N57" i="5" s="1"/>
  <c r="P56" i="5"/>
  <c r="Q56" i="5" s="1"/>
  <c r="AC48" i="4" l="1"/>
  <c r="AD42" i="4"/>
  <c r="AD46" i="4" s="1"/>
  <c r="Y56" i="5"/>
  <c r="C228" i="5"/>
  <c r="I129" i="5"/>
  <c r="D229" i="5"/>
  <c r="S58" i="5"/>
  <c r="V58" i="5" s="1"/>
  <c r="X57" i="5"/>
  <c r="C58" i="5"/>
  <c r="F58" i="5" s="1"/>
  <c r="H57" i="5"/>
  <c r="I57" i="5" s="1"/>
  <c r="K95" i="5"/>
  <c r="N95" i="5" s="1"/>
  <c r="P95" i="5" s="1"/>
  <c r="P94" i="5"/>
  <c r="Q94" i="5" s="1"/>
  <c r="H93" i="5"/>
  <c r="I93" i="5" s="1"/>
  <c r="C94" i="5"/>
  <c r="F94" i="5" s="1"/>
  <c r="C131" i="5"/>
  <c r="F131" i="5" s="1"/>
  <c r="H131" i="5" s="1"/>
  <c r="D231" i="5" s="1"/>
  <c r="H130" i="5"/>
  <c r="P57" i="5"/>
  <c r="Q57" i="5" s="1"/>
  <c r="K58" i="5"/>
  <c r="N58" i="5" s="1"/>
  <c r="AD48" i="4" l="1"/>
  <c r="AE42" i="4"/>
  <c r="AE46" i="4" s="1"/>
  <c r="I130" i="5"/>
  <c r="I131" i="5" s="1"/>
  <c r="D230" i="5"/>
  <c r="Y57" i="5"/>
  <c r="C229" i="5"/>
  <c r="Q95" i="5"/>
  <c r="S59" i="5"/>
  <c r="X58" i="5"/>
  <c r="H58" i="5"/>
  <c r="I58" i="5" s="1"/>
  <c r="C59" i="5"/>
  <c r="F59" i="5" s="1"/>
  <c r="H59" i="5" s="1"/>
  <c r="C95" i="5"/>
  <c r="F95" i="5" s="1"/>
  <c r="H95" i="5" s="1"/>
  <c r="H94" i="5"/>
  <c r="I94" i="5" s="1"/>
  <c r="K59" i="5"/>
  <c r="N59" i="5" s="1"/>
  <c r="P59" i="5" s="1"/>
  <c r="P58" i="5"/>
  <c r="Q58" i="5" s="1"/>
  <c r="AF42" i="4" l="1"/>
  <c r="AF46" i="4" s="1"/>
  <c r="AF48" i="4" s="1"/>
  <c r="AE48" i="4"/>
  <c r="Y58" i="5"/>
  <c r="C230" i="5"/>
  <c r="I95" i="5"/>
  <c r="V59" i="5"/>
  <c r="X59" i="5" s="1"/>
  <c r="Q59" i="5"/>
  <c r="I59" i="5"/>
  <c r="Y59" i="5" l="1"/>
  <c r="C231" i="5"/>
</calcChain>
</file>

<file path=xl/sharedStrings.xml><?xml version="1.0" encoding="utf-8"?>
<sst xmlns="http://schemas.openxmlformats.org/spreadsheetml/2006/main" count="3483" uniqueCount="251">
  <si>
    <t>FUEL ROCK (PTY) LTD</t>
  </si>
  <si>
    <t>Daily Management - Input</t>
  </si>
  <si>
    <t>Cashiers</t>
  </si>
  <si>
    <t>Fuel Litres - Opening</t>
  </si>
  <si>
    <t xml:space="preserve"> - ULP 93</t>
  </si>
  <si>
    <t xml:space="preserve"> - ULP 95</t>
  </si>
  <si>
    <t xml:space="preserve"> - Diesel</t>
  </si>
  <si>
    <t>Date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</si>
  <si>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</si>
  <si>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</si>
  <si>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</si>
  <si>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</si>
  <si>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</si>
  <si>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</si>
  <si>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</si>
  <si>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</si>
  <si>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Diesel</t>
  </si>
  <si>
    <t>ULP95</t>
  </si>
  <si>
    <t>ULP93</t>
  </si>
  <si>
    <t xml:space="preserve"> - Litres Sold</t>
  </si>
  <si>
    <t xml:space="preserve"> - Litres Purchased</t>
  </si>
  <si>
    <t xml:space="preserve"> - Closing Dip</t>
  </si>
  <si>
    <t xml:space="preserve"> - Selling Price</t>
  </si>
  <si>
    <t xml:space="preserve"> - Cost Price</t>
  </si>
  <si>
    <t xml:space="preserve"> - Gross Profit</t>
  </si>
  <si>
    <t xml:space="preserve"> - Gross Profit %</t>
  </si>
  <si>
    <t>DAY END REPORT</t>
  </si>
  <si>
    <t>DATA: LITRES</t>
  </si>
  <si>
    <t xml:space="preserve"> - Total Sales</t>
  </si>
  <si>
    <t xml:space="preserve"> - Sub Total</t>
  </si>
  <si>
    <t xml:space="preserve"> - Total Net Sales</t>
  </si>
  <si>
    <t>SALES BY DIVISION</t>
  </si>
  <si>
    <t xml:space="preserve"> - Bakery</t>
  </si>
  <si>
    <t xml:space="preserve"> - Bakpre</t>
  </si>
  <si>
    <t xml:space="preserve"> - Barist</t>
  </si>
  <si>
    <t xml:space="preserve"> - Fuel</t>
  </si>
  <si>
    <t xml:space="preserve"> - Lubes</t>
  </si>
  <si>
    <t xml:space="preserve"> - VV</t>
  </si>
  <si>
    <t xml:space="preserve"> - Quickshop</t>
  </si>
  <si>
    <t>CONTROL TOTAL</t>
  </si>
  <si>
    <t xml:space="preserve"> - Must be zero</t>
  </si>
  <si>
    <t>CASHIERS RECONCILIATION</t>
  </si>
  <si>
    <t>Shift Number</t>
  </si>
  <si>
    <t xml:space="preserve"> - Cash drops</t>
  </si>
  <si>
    <t xml:space="preserve"> - Fleet Cards</t>
  </si>
  <si>
    <t xml:space="preserve"> - Net Speedpoints</t>
  </si>
  <si>
    <t>CASH</t>
  </si>
  <si>
    <t>DEBTORS</t>
  </si>
  <si>
    <t xml:space="preserve"> - On Account</t>
  </si>
  <si>
    <t>ADJUSTMENTS</t>
  </si>
  <si>
    <t xml:space="preserve"> - EFT</t>
  </si>
  <si>
    <t xml:space="preserve"> - Drive Off</t>
  </si>
  <si>
    <t xml:space="preserve"> - Contamination</t>
  </si>
  <si>
    <t xml:space="preserve"> - To Settle</t>
  </si>
  <si>
    <t xml:space="preserve"> - Other</t>
  </si>
  <si>
    <t xml:space="preserve"> - Loyalty</t>
  </si>
  <si>
    <t>PETTY CASH</t>
  </si>
  <si>
    <t xml:space="preserve"> - Wages</t>
  </si>
  <si>
    <t xml:space="preserve"> - Salaries</t>
  </si>
  <si>
    <t xml:space="preserve"> - Staff Welfare</t>
  </si>
  <si>
    <t xml:space="preserve"> - Staff Transport</t>
  </si>
  <si>
    <t>Creditors</t>
  </si>
  <si>
    <t xml:space="preserve"> - Cleaning</t>
  </si>
  <si>
    <t xml:space="preserve"> - Forecourt: R &amp; M</t>
  </si>
  <si>
    <t xml:space="preserve"> - Retail: R &amp; M</t>
  </si>
  <si>
    <t xml:space="preserve"> - Printing &amp; Stationery</t>
  </si>
  <si>
    <t xml:space="preserve"> - Other: Vatable</t>
  </si>
  <si>
    <t xml:space="preserve"> - Other: Non-Vatable</t>
  </si>
  <si>
    <t>TOTAL</t>
  </si>
  <si>
    <t>Cashier Name</t>
  </si>
  <si>
    <r>
      <t xml:space="preserve"> - Less: Returns </t>
    </r>
    <r>
      <rPr>
        <sz val="11"/>
        <color rgb="FFFF0000"/>
        <rFont val="Aptos Narrow"/>
        <family val="2"/>
        <scheme val="minor"/>
      </rPr>
      <t>(Show as a negative)</t>
    </r>
  </si>
  <si>
    <t>CT</t>
  </si>
  <si>
    <t>SUMMARY</t>
  </si>
  <si>
    <t xml:space="preserve"> - Net Sales</t>
  </si>
  <si>
    <t xml:space="preserve"> - Banking</t>
  </si>
  <si>
    <t xml:space="preserve"> - Adjustments</t>
  </si>
  <si>
    <t xml:space="preserve"> - Petty Cash</t>
  </si>
  <si>
    <r>
      <t xml:space="preserve"> - Account Receipts </t>
    </r>
    <r>
      <rPr>
        <sz val="11"/>
        <color rgb="FFFF0000"/>
        <rFont val="Aptos Narrow"/>
        <family val="2"/>
        <scheme val="minor"/>
      </rPr>
      <t>(Show as a negative)</t>
    </r>
  </si>
  <si>
    <t xml:space="preserve"> - Aksia Sales</t>
  </si>
  <si>
    <t xml:space="preserve"> - Albany</t>
  </si>
  <si>
    <t xml:space="preserve"> - Atlantic Ice</t>
  </si>
  <si>
    <t xml:space="preserve"> - Bake It Easy</t>
  </si>
  <si>
    <t xml:space="preserve"> - Blue Ribbon</t>
  </si>
  <si>
    <t xml:space="preserve"> - Clover</t>
  </si>
  <si>
    <t xml:space="preserve"> - Cool Runnings</t>
  </si>
  <si>
    <t xml:space="preserve"> - Digistics</t>
  </si>
  <si>
    <t xml:space="preserve"> - Engen Lubes</t>
  </si>
  <si>
    <t xml:space="preserve"> - Engen Fuel</t>
  </si>
  <si>
    <t xml:space="preserve"> - Hazard</t>
  </si>
  <si>
    <t xml:space="preserve"> - JM Foods</t>
  </si>
  <si>
    <t xml:space="preserve"> - Key Distributors</t>
  </si>
  <si>
    <t xml:space="preserve"> - La Concord</t>
  </si>
  <si>
    <t xml:space="preserve"> - Lettuse Eat</t>
  </si>
  <si>
    <t xml:space="preserve"> - Makro</t>
  </si>
  <si>
    <t xml:space="preserve"> - Ola</t>
  </si>
  <si>
    <t xml:space="preserve"> - RFP Distributors</t>
  </si>
  <si>
    <t xml:space="preserve"> - Sasko</t>
  </si>
  <si>
    <t xml:space="preserve"> - Sondela Eggs</t>
  </si>
  <si>
    <t xml:space="preserve"> - Sunbake</t>
  </si>
  <si>
    <t xml:space="preserve"> - W Convenience</t>
  </si>
  <si>
    <t>Creditors: New</t>
  </si>
  <si>
    <t xml:space="preserve"> - Other 1</t>
  </si>
  <si>
    <t xml:space="preserve"> - Other 2</t>
  </si>
  <si>
    <t xml:space="preserve"> - Other 3</t>
  </si>
  <si>
    <t xml:space="preserve"> - Other 4</t>
  </si>
  <si>
    <t xml:space="preserve"> - Other 5</t>
  </si>
  <si>
    <t xml:space="preserve"> - Other 6</t>
  </si>
  <si>
    <t xml:space="preserve"> - Other 7</t>
  </si>
  <si>
    <t xml:space="preserve"> - Other 8</t>
  </si>
  <si>
    <t xml:space="preserve"> - Other 9</t>
  </si>
  <si>
    <t xml:space="preserve"> - Other 10</t>
  </si>
  <si>
    <t>CREDITORS: EXISTING</t>
  </si>
  <si>
    <t xml:space="preserve"> - Creditors: Existing</t>
  </si>
  <si>
    <t xml:space="preserve"> - Creditors: New</t>
  </si>
  <si>
    <t>ENGEN JETPARK</t>
  </si>
  <si>
    <t>BANKING SUMMARY</t>
  </si>
  <si>
    <t xml:space="preserve"> - Cash: Till</t>
  </si>
  <si>
    <t xml:space="preserve"> - Cash: Coins</t>
  </si>
  <si>
    <t xml:space="preserve"> - Banking Slip</t>
  </si>
  <si>
    <t xml:space="preserve"> - Closing Balance</t>
  </si>
  <si>
    <t>CASH RECONCILIATION</t>
  </si>
  <si>
    <t xml:space="preserve"> - Safe Drop Total</t>
  </si>
  <si>
    <t xml:space="preserve"> - Uplift Total</t>
  </si>
  <si>
    <t xml:space="preserve"> - Seq Number</t>
  </si>
  <si>
    <t>SPEEDPOINT RECONCILIATION</t>
  </si>
  <si>
    <t xml:space="preserve"> - Opening Balance</t>
  </si>
  <si>
    <t xml:space="preserve"> - Speedpoint Total</t>
  </si>
  <si>
    <t xml:space="preserve"> - Bank 1: Total</t>
  </si>
  <si>
    <t xml:space="preserve"> - Bank 1: Seq No.</t>
  </si>
  <si>
    <t xml:space="preserve"> - Bank 2: Total</t>
  </si>
  <si>
    <t xml:space="preserve"> - Bank 2: Seq No.</t>
  </si>
  <si>
    <t xml:space="preserve"> - Bank 3: Total</t>
  </si>
  <si>
    <t xml:space="preserve"> - Bank 3: Seq No.</t>
  </si>
  <si>
    <t xml:space="preserve"> - Bank 4: Total</t>
  </si>
  <si>
    <t xml:space="preserve"> - Bank 4: Seq No.</t>
  </si>
  <si>
    <t xml:space="preserve"> - Bank 5: Total</t>
  </si>
  <si>
    <t xml:space="preserve"> - Bank 5: Seq No.</t>
  </si>
  <si>
    <t xml:space="preserve"> - Bank 6: Total</t>
  </si>
  <si>
    <t xml:space="preserve"> - Bank 6: Seq No.</t>
  </si>
  <si>
    <t xml:space="preserve"> - Banked Total</t>
  </si>
  <si>
    <t xml:space="preserve"> - On Account Total</t>
  </si>
  <si>
    <t xml:space="preserve"> - Debtor Receipts</t>
  </si>
  <si>
    <t xml:space="preserve"> - Debtor Jnls</t>
  </si>
  <si>
    <t xml:space="preserve"> - Total: Age Analysis</t>
  </si>
  <si>
    <t xml:space="preserve"> - Variance</t>
  </si>
  <si>
    <t>DEBTORS RECONCILIATION</t>
  </si>
  <si>
    <t>Comment</t>
  </si>
  <si>
    <t>EFT RECONCILIATION</t>
  </si>
  <si>
    <t xml:space="preserve"> - EFT Total B/Fwd</t>
  </si>
  <si>
    <t xml:space="preserve"> - Bank Statement Receipt</t>
  </si>
  <si>
    <t>LOYALTY RECONCILIATION</t>
  </si>
  <si>
    <t xml:space="preserve"> - Loyalty Total</t>
  </si>
  <si>
    <t>TO SETTLE</t>
  </si>
  <si>
    <t xml:space="preserve"> - To Settle Total</t>
  </si>
  <si>
    <t xml:space="preserve"> - Receipt: Cash</t>
  </si>
  <si>
    <t>O/Bal</t>
  </si>
  <si>
    <t>Purch</t>
  </si>
  <si>
    <t>Sold</t>
  </si>
  <si>
    <t>C/Bal</t>
  </si>
  <si>
    <t>ATG</t>
  </si>
  <si>
    <t>Variance</t>
  </si>
  <si>
    <t>Prog Vari</t>
  </si>
  <si>
    <t>TANK 1: DIESEL</t>
  </si>
  <si>
    <t>TANK 2: ULP 95</t>
  </si>
  <si>
    <t>TANK 3: ULP 93</t>
  </si>
  <si>
    <t>TANK 5: DIESEL</t>
  </si>
  <si>
    <t xml:space="preserve"> - Purchases</t>
  </si>
  <si>
    <t xml:space="preserve"> - ATG</t>
  </si>
  <si>
    <t>SUMMARY: BY TANK</t>
  </si>
  <si>
    <t>SUMMARY: BY GRADE</t>
  </si>
  <si>
    <t>VARIANCE</t>
  </si>
  <si>
    <t>Daily Analysis</t>
  </si>
  <si>
    <t>SITE NAME:</t>
  </si>
  <si>
    <t>Copy Day &amp; Date till last day of the month</t>
  </si>
  <si>
    <t>Month Under Review:</t>
  </si>
  <si>
    <t>Tank: 1</t>
  </si>
  <si>
    <t>Tank: 2</t>
  </si>
  <si>
    <t>Tank: 3</t>
  </si>
  <si>
    <t>Tank: 4</t>
  </si>
  <si>
    <t>Tank: 5</t>
  </si>
  <si>
    <t>UNDER REVIEW</t>
  </si>
  <si>
    <t>Must be Zero</t>
  </si>
  <si>
    <r>
      <t xml:space="preserve"> - </t>
    </r>
    <r>
      <rPr>
        <b/>
        <sz val="11"/>
        <color rgb="FFFF0000"/>
        <rFont val="Aptos Narrow"/>
        <family val="2"/>
        <scheme val="minor"/>
      </rPr>
      <t xml:space="preserve">(OVER) </t>
    </r>
    <r>
      <rPr>
        <b/>
        <sz val="11"/>
        <color theme="1"/>
        <rFont val="Aptos Narrow"/>
        <family val="2"/>
        <scheme val="minor"/>
      </rPr>
      <t>/ UNDER</t>
    </r>
  </si>
  <si>
    <t>SPEDPOINTS</t>
  </si>
  <si>
    <r>
      <t xml:space="preserve">CREDITORS: NEW </t>
    </r>
    <r>
      <rPr>
        <b/>
        <sz val="11"/>
        <color rgb="FFFF0000"/>
        <rFont val="Aptos Narrow"/>
        <family val="2"/>
        <scheme val="minor"/>
      </rPr>
      <t>(Update Input)</t>
    </r>
  </si>
  <si>
    <t>ULP: 95</t>
  </si>
  <si>
    <t>ULP: 93</t>
  </si>
  <si>
    <t>TOTAL: DIESEL</t>
  </si>
  <si>
    <t>TANK 4 : ULP 95</t>
  </si>
  <si>
    <t>TOTAL: ULP 95</t>
  </si>
  <si>
    <t xml:space="preserve"> - Control Total</t>
  </si>
  <si>
    <t xml:space="preserve"> - % Variance</t>
  </si>
  <si>
    <t>Complete this line every day</t>
  </si>
  <si>
    <t>Cashiers Report</t>
  </si>
  <si>
    <t>Cashier 5</t>
  </si>
  <si>
    <t>Cashier 6</t>
  </si>
  <si>
    <t>Monthly Summary</t>
  </si>
  <si>
    <t xml:space="preserve"> - Closing Dip: ATG</t>
  </si>
  <si>
    <t>LITRES SOLD BY GRADE</t>
  </si>
  <si>
    <t>CLOSING STOCK</t>
  </si>
  <si>
    <t>Budget</t>
  </si>
  <si>
    <t>Dashboard: Fuel</t>
  </si>
  <si>
    <t>Oil Sales</t>
  </si>
  <si>
    <t>Lts Budget</t>
  </si>
  <si>
    <t>SS26 Report</t>
  </si>
  <si>
    <t>xxxxxx</t>
  </si>
  <si>
    <t>CASH DROPS</t>
  </si>
  <si>
    <t xml:space="preserve"> - TOTAL</t>
  </si>
  <si>
    <t xml:space="preserve"> - TOTAL B/FWD</t>
  </si>
  <si>
    <t xml:space="preserve"> - VARIANCE</t>
  </si>
  <si>
    <t>Petty Cash Analysis</t>
  </si>
  <si>
    <t>BANKING</t>
  </si>
  <si>
    <t xml:space="preserve"> - Cash</t>
  </si>
  <si>
    <t xml:space="preserve"> - Cash Drops</t>
  </si>
  <si>
    <t xml:space="preserve"> - Speedpoint</t>
  </si>
  <si>
    <t xml:space="preserve"> - Debtors</t>
  </si>
  <si>
    <t>Dashboard: Retail</t>
  </si>
  <si>
    <t xml:space="preserve"> - TOTAL BANKING</t>
  </si>
  <si>
    <t xml:space="preserve"> - SALES B/FWD</t>
  </si>
  <si>
    <r>
      <t xml:space="preserve"> - OVER / </t>
    </r>
    <r>
      <rPr>
        <b/>
        <sz val="11"/>
        <color rgb="FFFF0000"/>
        <rFont val="Aptos Narrow"/>
        <family val="2"/>
        <scheme val="minor"/>
      </rPr>
      <t>(Under)</t>
    </r>
  </si>
  <si>
    <t>Bakery</t>
  </si>
  <si>
    <t>Conven</t>
  </si>
  <si>
    <t>Lts</t>
  </si>
  <si>
    <t>Actual</t>
  </si>
  <si>
    <t>C/Store</t>
  </si>
  <si>
    <t>Monthly Dashboard</t>
  </si>
  <si>
    <t>Target Litres For The Month</t>
  </si>
  <si>
    <t>As A % Of Target</t>
  </si>
  <si>
    <t>Liters Sold: Diesel</t>
  </si>
  <si>
    <t>TOTAL LITRES SOLD</t>
  </si>
  <si>
    <t>Quickshop Sales</t>
  </si>
  <si>
    <t>Target Sales For The Month</t>
  </si>
  <si>
    <t xml:space="preserve"> - Bamco Tabacco</t>
  </si>
  <si>
    <t xml:space="preserve"> - Catercorp</t>
  </si>
  <si>
    <t xml:space="preserve"> - Deep Frozen</t>
  </si>
  <si>
    <t xml:space="preserve"> - F1 Packaging</t>
  </si>
  <si>
    <t xml:space="preserve"> - Lasaffre</t>
  </si>
  <si>
    <t xml:space="preserve"> - Super Group (SG)</t>
  </si>
  <si>
    <t xml:space="preserve"> - Rulerite</t>
  </si>
  <si>
    <t xml:space="preserve"> - Spar</t>
  </si>
  <si>
    <t xml:space="preserve"> - Checkers</t>
  </si>
  <si>
    <t>Liters Sold: ULP 93</t>
  </si>
  <si>
    <t>FUEL RATIOS</t>
  </si>
  <si>
    <t>LTS SOLD</t>
  </si>
  <si>
    <t>CASHIER SHORTG</t>
  </si>
  <si>
    <t>Cashier Shortages</t>
  </si>
  <si>
    <t>Wed</t>
  </si>
  <si>
    <t>Mandla</t>
  </si>
  <si>
    <t>Caroline</t>
  </si>
  <si>
    <t>Siyabonga</t>
  </si>
  <si>
    <t>Thumelo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</si>
</sst>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&quot;#,##0.00;[Red]\-&quot;R&quot;#,##0.00"/>
    <numFmt numFmtId="164" formatCode="#,##0.00_ ;[Red]\-#,##0.00\ "/>
    <numFmt numFmtId="165" formatCode="#,##0_ ;[Red]\-#,##0\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0" fontId="6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2" xfId="0" applyNumberFormat="1" applyBorder="1"/>
    <xf numFmtId="17" fontId="4" fillId="2" borderId="0" xfId="0" applyNumberFormat="1" applyFont="1" applyFill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6" fillId="9" borderId="3" xfId="0" applyNumberFormat="1" applyFont="1" applyFill="1" applyBorder="1" applyAlignment="1">
      <alignment horizontal="center"/>
    </xf>
    <xf numFmtId="164" fontId="12" fillId="9" borderId="3" xfId="0" applyNumberFormat="1" applyFont="1" applyFill="1" applyBorder="1" applyAlignment="1">
      <alignment horizontal="center"/>
    </xf>
    <xf numFmtId="164" fontId="13" fillId="9" borderId="3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4" fillId="9" borderId="2" xfId="0" applyNumberFormat="1" applyFont="1" applyFill="1" applyBorder="1"/>
    <xf numFmtId="164" fontId="0" fillId="0" borderId="6" xfId="0" applyNumberFormat="1" applyBorder="1"/>
    <xf numFmtId="164" fontId="0" fillId="0" borderId="3" xfId="0" applyNumberFormat="1" applyBorder="1"/>
    <xf numFmtId="164" fontId="0" fillId="9" borderId="6" xfId="0" applyNumberFormat="1" applyFill="1" applyBorder="1"/>
    <xf numFmtId="164" fontId="0" fillId="9" borderId="3" xfId="0" applyNumberFormat="1" applyFill="1" applyBorder="1"/>
    <xf numFmtId="164" fontId="4" fillId="0" borderId="6" xfId="0" applyNumberFormat="1" applyFont="1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2" xfId="0" applyBorder="1"/>
    <xf numFmtId="0" fontId="4" fillId="0" borderId="2" xfId="0" applyFont="1" applyBorder="1"/>
    <xf numFmtId="0" fontId="2" fillId="10" borderId="2" xfId="0" applyFont="1" applyFill="1" applyBorder="1"/>
    <xf numFmtId="14" fontId="4" fillId="0" borderId="3" xfId="0" applyNumberFormat="1" applyFont="1" applyBorder="1"/>
    <xf numFmtId="0" fontId="4" fillId="0" borderId="6" xfId="0" applyFont="1" applyBorder="1"/>
    <xf numFmtId="164" fontId="0" fillId="0" borderId="7" xfId="0" applyNumberFormat="1" applyBorder="1"/>
    <xf numFmtId="164" fontId="4" fillId="9" borderId="3" xfId="0" applyNumberFormat="1" applyFont="1" applyFill="1" applyBorder="1"/>
    <xf numFmtId="164" fontId="6" fillId="9" borderId="2" xfId="0" applyNumberFormat="1" applyFont="1" applyFill="1" applyBorder="1"/>
    <xf numFmtId="0" fontId="14" fillId="2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4" fillId="9" borderId="8" xfId="0" applyFont="1" applyFill="1" applyBorder="1"/>
    <xf numFmtId="164" fontId="6" fillId="2" borderId="1" xfId="0" applyNumberFormat="1" applyFont="1" applyFill="1" applyBorder="1" applyAlignment="1">
      <alignment horizontal="center"/>
    </xf>
    <xf numFmtId="164" fontId="15" fillId="3" borderId="1" xfId="0" applyNumberFormat="1" applyFont="1" applyFill="1" applyBorder="1" applyAlignment="1">
      <alignment horizontal="center"/>
    </xf>
    <xf numFmtId="0" fontId="6" fillId="12" borderId="2" xfId="0" applyFont="1" applyFill="1" applyBorder="1"/>
    <xf numFmtId="0" fontId="4" fillId="0" borderId="9" xfId="0" applyFont="1" applyBorder="1"/>
    <xf numFmtId="0" fontId="0" fillId="0" borderId="10" xfId="0" applyBorder="1"/>
    <xf numFmtId="164" fontId="4" fillId="0" borderId="9" xfId="0" applyNumberFormat="1" applyFon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0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4" fillId="0" borderId="8" xfId="0" applyNumberFormat="1" applyFont="1" applyBorder="1"/>
    <xf numFmtId="164" fontId="4" fillId="0" borderId="15" xfId="0" applyNumberFormat="1" applyFont="1" applyBorder="1"/>
    <xf numFmtId="164" fontId="4" fillId="0" borderId="5" xfId="0" applyNumberFormat="1" applyFont="1" applyBorder="1"/>
    <xf numFmtId="164" fontId="4" fillId="9" borderId="8" xfId="0" applyNumberFormat="1" applyFont="1" applyFill="1" applyBorder="1"/>
    <xf numFmtId="164" fontId="4" fillId="9" borderId="15" xfId="0" applyNumberFormat="1" applyFont="1" applyFill="1" applyBorder="1"/>
    <xf numFmtId="164" fontId="4" fillId="9" borderId="5" xfId="0" applyNumberFormat="1" applyFont="1" applyFill="1" applyBorder="1"/>
    <xf numFmtId="164" fontId="4" fillId="9" borderId="6" xfId="0" applyNumberFormat="1" applyFont="1" applyFill="1" applyBorder="1"/>
    <xf numFmtId="0" fontId="6" fillId="12" borderId="6" xfId="0" applyFont="1" applyFill="1" applyBorder="1"/>
    <xf numFmtId="164" fontId="0" fillId="0" borderId="9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9" borderId="9" xfId="0" applyNumberFormat="1" applyFill="1" applyBorder="1"/>
    <xf numFmtId="164" fontId="0" fillId="9" borderId="11" xfId="0" applyNumberFormat="1" applyFill="1" applyBorder="1"/>
    <xf numFmtId="164" fontId="0" fillId="9" borderId="12" xfId="0" applyNumberFormat="1" applyFill="1" applyBorder="1"/>
    <xf numFmtId="164" fontId="0" fillId="9" borderId="16" xfId="0" applyNumberFormat="1" applyFill="1" applyBorder="1"/>
    <xf numFmtId="164" fontId="0" fillId="9" borderId="0" xfId="0" applyNumberFormat="1" applyFill="1"/>
    <xf numFmtId="164" fontId="0" fillId="9" borderId="17" xfId="0" applyNumberFormat="1" applyFill="1" applyBorder="1"/>
    <xf numFmtId="164" fontId="0" fillId="9" borderId="7" xfId="0" applyNumberFormat="1" applyFill="1" applyBorder="1"/>
    <xf numFmtId="164" fontId="0" fillId="9" borderId="10" xfId="0" applyNumberFormat="1" applyFill="1" applyBorder="1"/>
    <xf numFmtId="164" fontId="0" fillId="9" borderId="13" xfId="0" applyNumberFormat="1" applyFill="1" applyBorder="1"/>
    <xf numFmtId="164" fontId="0" fillId="9" borderId="14" xfId="0" applyNumberFormat="1" applyFill="1" applyBorder="1"/>
    <xf numFmtId="164" fontId="4" fillId="9" borderId="7" xfId="0" applyNumberFormat="1" applyFont="1" applyFill="1" applyBorder="1"/>
    <xf numFmtId="164" fontId="0" fillId="0" borderId="8" xfId="0" applyNumberFormat="1" applyBorder="1"/>
    <xf numFmtId="164" fontId="0" fillId="0" borderId="15" xfId="0" applyNumberFormat="1" applyBorder="1"/>
    <xf numFmtId="164" fontId="0" fillId="0" borderId="5" xfId="0" applyNumberFormat="1" applyBorder="1"/>
    <xf numFmtId="164" fontId="0" fillId="9" borderId="15" xfId="0" applyNumberFormat="1" applyFill="1" applyBorder="1"/>
    <xf numFmtId="164" fontId="0" fillId="9" borderId="5" xfId="0" applyNumberFormat="1" applyFill="1" applyBorder="1"/>
    <xf numFmtId="0" fontId="0" fillId="0" borderId="9" xfId="0" applyBorder="1"/>
    <xf numFmtId="0" fontId="0" fillId="0" borderId="8" xfId="0" applyBorder="1"/>
    <xf numFmtId="0" fontId="4" fillId="12" borderId="2" xfId="0" applyFont="1" applyFill="1" applyBorder="1"/>
    <xf numFmtId="164" fontId="6" fillId="9" borderId="8" xfId="0" applyNumberFormat="1" applyFont="1" applyFill="1" applyBorder="1"/>
    <xf numFmtId="0" fontId="6" fillId="2" borderId="9" xfId="0" applyFont="1" applyFill="1" applyBorder="1"/>
    <xf numFmtId="0" fontId="2" fillId="5" borderId="9" xfId="0" applyFont="1" applyFill="1" applyBorder="1"/>
    <xf numFmtId="0" fontId="2" fillId="4" borderId="9" xfId="0" applyFont="1" applyFill="1" applyBorder="1"/>
    <xf numFmtId="0" fontId="2" fillId="11" borderId="9" xfId="0" applyFont="1" applyFill="1" applyBorder="1"/>
    <xf numFmtId="0" fontId="2" fillId="6" borderId="9" xfId="0" applyFont="1" applyFill="1" applyBorder="1"/>
    <xf numFmtId="0" fontId="14" fillId="7" borderId="9" xfId="0" applyFont="1" applyFill="1" applyBorder="1"/>
    <xf numFmtId="0" fontId="4" fillId="13" borderId="2" xfId="0" applyFont="1" applyFill="1" applyBorder="1"/>
    <xf numFmtId="0" fontId="4" fillId="9" borderId="1" xfId="0" applyFont="1" applyFill="1" applyBorder="1"/>
    <xf numFmtId="10" fontId="4" fillId="9" borderId="6" xfId="1" applyNumberFormat="1" applyFont="1" applyFill="1" applyBorder="1"/>
    <xf numFmtId="10" fontId="4" fillId="9" borderId="7" xfId="1" applyNumberFormat="1" applyFont="1" applyFill="1" applyBorder="1"/>
    <xf numFmtId="10" fontId="4" fillId="9" borderId="3" xfId="1" applyNumberFormat="1" applyFont="1" applyFill="1" applyBorder="1"/>
    <xf numFmtId="0" fontId="0" fillId="0" borderId="14" xfId="0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2" fillId="10" borderId="1" xfId="0" applyFont="1" applyFill="1" applyBorder="1"/>
    <xf numFmtId="0" fontId="4" fillId="7" borderId="7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64" fontId="4" fillId="9" borderId="17" xfId="0" applyNumberFormat="1" applyFont="1" applyFill="1" applyBorder="1"/>
    <xf numFmtId="164" fontId="4" fillId="9" borderId="12" xfId="0" applyNumberFormat="1" applyFont="1" applyFill="1" applyBorder="1"/>
    <xf numFmtId="164" fontId="4" fillId="9" borderId="9" xfId="0" applyNumberFormat="1" applyFont="1" applyFill="1" applyBorder="1"/>
    <xf numFmtId="164" fontId="4" fillId="9" borderId="16" xfId="0" applyNumberFormat="1" applyFont="1" applyFill="1" applyBorder="1"/>
    <xf numFmtId="164" fontId="4" fillId="9" borderId="10" xfId="0" applyNumberFormat="1" applyFont="1" applyFill="1" applyBorder="1"/>
    <xf numFmtId="164" fontId="4" fillId="9" borderId="14" xfId="0" applyNumberFormat="1" applyFont="1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3" xfId="0" applyFont="1" applyBorder="1"/>
    <xf numFmtId="164" fontId="4" fillId="0" borderId="3" xfId="0" applyNumberFormat="1" applyFont="1" applyBorder="1"/>
    <xf numFmtId="164" fontId="4" fillId="12" borderId="2" xfId="0" applyNumberFormat="1" applyFont="1" applyFill="1" applyBorder="1"/>
    <xf numFmtId="0" fontId="4" fillId="14" borderId="2" xfId="0" applyFont="1" applyFill="1" applyBorder="1"/>
    <xf numFmtId="164" fontId="4" fillId="14" borderId="2" xfId="0" applyNumberFormat="1" applyFont="1" applyFill="1" applyBorder="1"/>
    <xf numFmtId="0" fontId="4" fillId="12" borderId="8" xfId="0" applyFont="1" applyFill="1" applyBorder="1"/>
    <xf numFmtId="0" fontId="4" fillId="15" borderId="2" xfId="0" applyFont="1" applyFill="1" applyBorder="1"/>
    <xf numFmtId="10" fontId="4" fillId="15" borderId="2" xfId="1" applyNumberFormat="1" applyFont="1" applyFill="1" applyBorder="1"/>
    <xf numFmtId="0" fontId="4" fillId="14" borderId="8" xfId="0" applyFont="1" applyFill="1" applyBorder="1"/>
    <xf numFmtId="164" fontId="4" fillId="14" borderId="8" xfId="0" applyNumberFormat="1" applyFont="1" applyFill="1" applyBorder="1"/>
    <xf numFmtId="164" fontId="4" fillId="14" borderId="15" xfId="0" applyNumberFormat="1" applyFont="1" applyFill="1" applyBorder="1"/>
    <xf numFmtId="164" fontId="4" fillId="14" borderId="5" xfId="0" applyNumberFormat="1" applyFont="1" applyFill="1" applyBorder="1"/>
    <xf numFmtId="164" fontId="6" fillId="14" borderId="2" xfId="0" applyNumberFormat="1" applyFont="1" applyFill="1" applyBorder="1"/>
    <xf numFmtId="10" fontId="4" fillId="12" borderId="2" xfId="1" applyNumberFormat="1" applyFont="1" applyFill="1" applyBorder="1"/>
    <xf numFmtId="14" fontId="0" fillId="0" borderId="16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164" fontId="4" fillId="12" borderId="8" xfId="0" applyNumberFormat="1" applyFont="1" applyFill="1" applyBorder="1"/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4" fillId="0" borderId="0" xfId="0" applyNumberFormat="1" applyFont="1"/>
    <xf numFmtId="10" fontId="4" fillId="0" borderId="0" xfId="1" applyNumberFormat="1" applyFont="1" applyFill="1" applyBorder="1"/>
    <xf numFmtId="164" fontId="4" fillId="12" borderId="3" xfId="0" applyNumberFormat="1" applyFont="1" applyFill="1" applyBorder="1"/>
    <xf numFmtId="0" fontId="6" fillId="2" borderId="2" xfId="0" applyFont="1" applyFill="1" applyBorder="1" applyAlignment="1">
      <alignment horizontal="center"/>
    </xf>
    <xf numFmtId="0" fontId="2" fillId="10" borderId="8" xfId="0" applyFont="1" applyFill="1" applyBorder="1"/>
    <xf numFmtId="0" fontId="0" fillId="0" borderId="16" xfId="0" applyBorder="1"/>
    <xf numFmtId="164" fontId="15" fillId="3" borderId="2" xfId="0" applyNumberFormat="1" applyFont="1" applyFill="1" applyBorder="1" applyAlignment="1">
      <alignment horizontal="center"/>
    </xf>
    <xf numFmtId="165" fontId="0" fillId="0" borderId="0" xfId="0" applyNumberFormat="1"/>
    <xf numFmtId="165" fontId="0" fillId="0" borderId="6" xfId="0" applyNumberFormat="1" applyBorder="1"/>
    <xf numFmtId="165" fontId="0" fillId="0" borderId="7" xfId="0" applyNumberFormat="1" applyBorder="1"/>
    <xf numFmtId="165" fontId="0" fillId="0" borderId="3" xfId="0" applyNumberFormat="1" applyBorder="1"/>
    <xf numFmtId="165" fontId="4" fillId="9" borderId="7" xfId="0" applyNumberFormat="1" applyFont="1" applyFill="1" applyBorder="1"/>
    <xf numFmtId="165" fontId="4" fillId="9" borderId="3" xfId="0" applyNumberFormat="1" applyFont="1" applyFill="1" applyBorder="1"/>
    <xf numFmtId="165" fontId="4" fillId="9" borderId="2" xfId="0" applyNumberFormat="1" applyFont="1" applyFill="1" applyBorder="1"/>
    <xf numFmtId="165" fontId="4" fillId="0" borderId="0" xfId="0" applyNumberFormat="1" applyFont="1"/>
    <xf numFmtId="10" fontId="0" fillId="0" borderId="0" xfId="1" applyNumberFormat="1" applyFont="1"/>
    <xf numFmtId="0" fontId="0" fillId="0" borderId="18" xfId="0" applyBorder="1"/>
    <xf numFmtId="0" fontId="4" fillId="0" borderId="7" xfId="0" applyFont="1" applyBorder="1"/>
    <xf numFmtId="164" fontId="4" fillId="12" borderId="9" xfId="0" applyNumberFormat="1" applyFont="1" applyFill="1" applyBorder="1"/>
    <xf numFmtId="164" fontId="4" fillId="0" borderId="11" xfId="0" applyNumberFormat="1" applyFont="1" applyBorder="1"/>
    <xf numFmtId="164" fontId="4" fillId="0" borderId="12" xfId="0" applyNumberFormat="1" applyFont="1" applyBorder="1"/>
    <xf numFmtId="164" fontId="4" fillId="0" borderId="16" xfId="0" applyNumberFormat="1" applyFont="1" applyBorder="1"/>
    <xf numFmtId="164" fontId="4" fillId="0" borderId="17" xfId="0" applyNumberFormat="1" applyFont="1" applyBorder="1"/>
    <xf numFmtId="164" fontId="4" fillId="0" borderId="10" xfId="0" applyNumberFormat="1" applyFont="1" applyBorder="1"/>
    <xf numFmtId="164" fontId="4" fillId="0" borderId="13" xfId="0" applyNumberFormat="1" applyFont="1" applyBorder="1"/>
    <xf numFmtId="164" fontId="4" fillId="0" borderId="14" xfId="0" applyNumberFormat="1" applyFont="1" applyBorder="1"/>
    <xf numFmtId="0" fontId="2" fillId="10" borderId="6" xfId="0" applyFont="1" applyFill="1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6" fillId="0" borderId="6" xfId="0" applyFont="1" applyBorder="1"/>
    <xf numFmtId="0" fontId="6" fillId="0" borderId="7" xfId="0" applyFont="1" applyBorder="1"/>
    <xf numFmtId="0" fontId="6" fillId="0" borderId="3" xfId="0" applyFont="1" applyBorder="1"/>
    <xf numFmtId="164" fontId="0" fillId="12" borderId="16" xfId="0" applyNumberFormat="1" applyFill="1" applyBorder="1"/>
    <xf numFmtId="164" fontId="0" fillId="12" borderId="0" xfId="0" applyNumberFormat="1" applyFill="1"/>
    <xf numFmtId="164" fontId="0" fillId="12" borderId="17" xfId="0" applyNumberFormat="1" applyFill="1" applyBorder="1"/>
    <xf numFmtId="164" fontId="0" fillId="12" borderId="9" xfId="0" applyNumberFormat="1" applyFill="1" applyBorder="1"/>
    <xf numFmtId="164" fontId="0" fillId="12" borderId="11" xfId="0" applyNumberFormat="1" applyFill="1" applyBorder="1"/>
    <xf numFmtId="0" fontId="0" fillId="12" borderId="10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164" fontId="0" fillId="14" borderId="10" xfId="0" applyNumberFormat="1" applyFill="1" applyBorder="1"/>
    <xf numFmtId="164" fontId="0" fillId="14" borderId="13" xfId="0" applyNumberFormat="1" applyFill="1" applyBorder="1"/>
    <xf numFmtId="164" fontId="0" fillId="14" borderId="14" xfId="0" applyNumberFormat="1" applyFill="1" applyBorder="1"/>
    <xf numFmtId="164" fontId="0" fillId="12" borderId="8" xfId="0" applyNumberFormat="1" applyFill="1" applyBorder="1"/>
    <xf numFmtId="164" fontId="0" fillId="12" borderId="15" xfId="0" applyNumberFormat="1" applyFill="1" applyBorder="1"/>
    <xf numFmtId="164" fontId="0" fillId="12" borderId="5" xfId="0" applyNumberFormat="1" applyFill="1" applyBorder="1"/>
    <xf numFmtId="164" fontId="4" fillId="15" borderId="8" xfId="0" applyNumberFormat="1" applyFont="1" applyFill="1" applyBorder="1"/>
    <xf numFmtId="164" fontId="4" fillId="15" borderId="15" xfId="0" applyNumberFormat="1" applyFont="1" applyFill="1" applyBorder="1"/>
    <xf numFmtId="164" fontId="4" fillId="15" borderId="5" xfId="0" applyNumberFormat="1" applyFont="1" applyFill="1" applyBorder="1"/>
    <xf numFmtId="164" fontId="4" fillId="12" borderId="15" xfId="0" applyNumberFormat="1" applyFont="1" applyFill="1" applyBorder="1"/>
    <xf numFmtId="164" fontId="4" fillId="12" borderId="5" xfId="0" applyNumberFormat="1" applyFont="1" applyFill="1" applyBorder="1"/>
    <xf numFmtId="165" fontId="0" fillId="0" borderId="12" xfId="0" applyNumberFormat="1" applyBorder="1"/>
    <xf numFmtId="165" fontId="0" fillId="0" borderId="17" xfId="0" applyNumberFormat="1" applyBorder="1"/>
    <xf numFmtId="165" fontId="0" fillId="0" borderId="14" xfId="0" applyNumberFormat="1" applyBorder="1"/>
    <xf numFmtId="165" fontId="4" fillId="14" borderId="2" xfId="0" applyNumberFormat="1" applyFont="1" applyFill="1" applyBorder="1"/>
    <xf numFmtId="0" fontId="15" fillId="3" borderId="2" xfId="0" applyFont="1" applyFill="1" applyBorder="1" applyAlignment="1">
      <alignment horizontal="center"/>
    </xf>
    <xf numFmtId="0" fontId="4" fillId="9" borderId="3" xfId="0" applyFont="1" applyFill="1" applyBorder="1"/>
    <xf numFmtId="0" fontId="2" fillId="10" borderId="9" xfId="0" applyFont="1" applyFill="1" applyBorder="1"/>
    <xf numFmtId="164" fontId="15" fillId="3" borderId="6" xfId="0" applyNumberFormat="1" applyFont="1" applyFill="1" applyBorder="1" applyAlignment="1">
      <alignment horizontal="center"/>
    </xf>
    <xf numFmtId="164" fontId="4" fillId="15" borderId="2" xfId="0" applyNumberFormat="1" applyFont="1" applyFill="1" applyBorder="1"/>
    <xf numFmtId="0" fontId="0" fillId="9" borderId="21" xfId="0" applyFill="1" applyBorder="1"/>
    <xf numFmtId="0" fontId="0" fillId="9" borderId="0" xfId="0" applyFill="1"/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8" fontId="0" fillId="9" borderId="0" xfId="0" applyNumberFormat="1" applyFill="1"/>
    <xf numFmtId="0" fontId="0" fillId="9" borderId="25" xfId="0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165" fontId="4" fillId="0" borderId="0" xfId="0" quotePrefix="1" applyNumberFormat="1" applyFont="1" applyAlignment="1">
      <alignment horizontal="center"/>
    </xf>
    <xf numFmtId="10" fontId="0" fillId="0" borderId="0" xfId="0" applyNumberFormat="1"/>
    <xf numFmtId="10" fontId="0" fillId="0" borderId="25" xfId="0" applyNumberFormat="1" applyBorder="1"/>
    <xf numFmtId="165" fontId="0" fillId="0" borderId="25" xfId="1" applyNumberFormat="1" applyFont="1" applyBorder="1" applyAlignment="1">
      <alignment horizontal="center"/>
    </xf>
    <xf numFmtId="0" fontId="0" fillId="0" borderId="26" xfId="0" applyBorder="1"/>
    <xf numFmtId="10" fontId="0" fillId="0" borderId="27" xfId="1" applyNumberFormat="1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0" fillId="0" borderId="27" xfId="0" applyBorder="1"/>
    <xf numFmtId="165" fontId="0" fillId="0" borderId="25" xfId="0" applyNumberFormat="1" applyBorder="1" applyAlignment="1">
      <alignment horizontal="center"/>
    </xf>
    <xf numFmtId="8" fontId="0" fillId="0" borderId="27" xfId="0" applyNumberFormat="1" applyBorder="1" applyAlignment="1">
      <alignment horizontal="center"/>
    </xf>
    <xf numFmtId="0" fontId="0" fillId="9" borderId="26" xfId="0" applyFill="1" applyBorder="1"/>
    <xf numFmtId="0" fontId="0" fillId="9" borderId="18" xfId="0" applyFill="1" applyBorder="1"/>
    <xf numFmtId="0" fontId="0" fillId="9" borderId="27" xfId="0" applyFill="1" applyBorder="1"/>
    <xf numFmtId="0" fontId="14" fillId="7" borderId="6" xfId="0" applyFont="1" applyFill="1" applyBorder="1"/>
    <xf numFmtId="0" fontId="4" fillId="12" borderId="3" xfId="0" applyFont="1" applyFill="1" applyBorder="1"/>
    <xf numFmtId="17" fontId="16" fillId="0" borderId="18" xfId="0" applyNumberFormat="1" applyFont="1" applyBorder="1" applyAlignment="1">
      <alignment horizontal="center"/>
    </xf>
    <xf numFmtId="165" fontId="19" fillId="0" borderId="24" xfId="0" applyNumberFormat="1" applyFont="1" applyBorder="1" applyAlignment="1">
      <alignment horizontal="center"/>
    </xf>
    <xf numFmtId="165" fontId="19" fillId="0" borderId="25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6" fillId="9" borderId="0" xfId="0" applyFont="1" applyFill="1" applyAlignment="1">
      <alignment horizontal="center"/>
    </xf>
    <xf numFmtId="0" fontId="11" fillId="17" borderId="0" xfId="0" applyFont="1" applyFill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7" fontId="11" fillId="2" borderId="19" xfId="0" applyNumberFormat="1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5" fontId="19" fillId="0" borderId="24" xfId="1" applyNumberFormat="1" applyFont="1" applyBorder="1" applyAlignment="1">
      <alignment horizontal="center"/>
    </xf>
    <xf numFmtId="165" fontId="19" fillId="0" borderId="25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18" xfId="0" applyFont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0" fontId="2" fillId="11" borderId="20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4" fontId="2" fillId="3" borderId="19" xfId="0" applyNumberFormat="1" applyFont="1" applyFill="1" applyBorder="1" applyAlignment="1">
      <alignment horizontal="center"/>
    </xf>
    <xf numFmtId="164" fontId="2" fillId="3" borderId="20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Sales: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Summary!$A$22</c:f>
              <c:strCache>
                <c:ptCount val="1"/>
                <c:pt idx="0">
                  <c:v> - Bakery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Summary!$C$21:$AG$21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Summary!$C$22:$AG$22</c:f>
              <c:numCache>
                <c:formatCode>#\ ##0.00_ ;[Red]\-#\ ##0.00\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F-4136-8EA7-13DA30C71E3B}"/>
            </c:ext>
          </c:extLst>
        </c:ser>
        <c:ser>
          <c:idx val="1"/>
          <c:order val="1"/>
          <c:tx>
            <c:strRef>
              <c:f>Summary!$A$23</c:f>
              <c:strCache>
                <c:ptCount val="1"/>
                <c:pt idx="0">
                  <c:v> - Bakpre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Summary!$C$21:$AG$21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Summary!$C$23:$AG$23</c:f>
              <c:numCache>
                <c:formatCode>#\ ##0.00_ ;[Red]\-#\ ##0.00\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9F-4136-8EA7-13DA30C71E3B}"/>
            </c:ext>
          </c:extLst>
        </c:ser>
        <c:ser>
          <c:idx val="2"/>
          <c:order val="2"/>
          <c:tx>
            <c:strRef>
              <c:f>Summary!$A$24</c:f>
              <c:strCache>
                <c:ptCount val="1"/>
                <c:pt idx="0">
                  <c:v> - Barist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Summary!$C$21:$AG$21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Summary!$C$24:$AG$24</c:f>
              <c:numCache>
                <c:formatCode>#\ ##0.00_ ;[Red]\-#\ ##0.00\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9F-4136-8EA7-13DA30C71E3B}"/>
            </c:ext>
          </c:extLst>
        </c:ser>
        <c:ser>
          <c:idx val="3"/>
          <c:order val="3"/>
          <c:tx>
            <c:strRef>
              <c:f>Summary!$A$25</c:f>
              <c:strCache>
                <c:ptCount val="1"/>
                <c:pt idx="0">
                  <c:v> - Fuel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Summary!$C$21:$AG$21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Summary!$C$25:$AG$25</c:f>
              <c:numCache>
                <c:formatCode>#\ ##0.00_ ;[Red]\-#\ ##0.00\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9F-4136-8EA7-13DA30C71E3B}"/>
            </c:ext>
          </c:extLst>
        </c:ser>
        <c:ser>
          <c:idx val="4"/>
          <c:order val="4"/>
          <c:tx>
            <c:strRef>
              <c:f>Summary!$A$26</c:f>
              <c:strCache>
                <c:ptCount val="1"/>
                <c:pt idx="0">
                  <c:v> - Lubes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Summary!$C$21:$AG$21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Summary!$C$26:$AG$26</c:f>
              <c:numCache>
                <c:formatCode>#\ ##0.00_ ;[Red]\-#\ ##0.00\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F-4136-8EA7-13DA30C71E3B}"/>
            </c:ext>
          </c:extLst>
        </c:ser>
        <c:ser>
          <c:idx val="5"/>
          <c:order val="5"/>
          <c:tx>
            <c:strRef>
              <c:f>Summary!$A$27</c:f>
              <c:strCache>
                <c:ptCount val="1"/>
                <c:pt idx="0">
                  <c:v> - VV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Summary!$C$21:$AG$21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Summary!$C$27:$AG$27</c:f>
              <c:numCache>
                <c:formatCode>#\ ##0.00_ ;[Red]\-#\ ##0.00\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9F-4136-8EA7-13DA30C71E3B}"/>
            </c:ext>
          </c:extLst>
        </c:ser>
        <c:ser>
          <c:idx val="6"/>
          <c:order val="6"/>
          <c:tx>
            <c:strRef>
              <c:f>Summary!$A$28</c:f>
              <c:strCache>
                <c:ptCount val="1"/>
                <c:pt idx="0">
                  <c:v> - Quickshop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Summary!$C$21:$AG$21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Summary!$C$28:$AG$28</c:f>
              <c:numCache>
                <c:formatCode>#\ ##0.00_ ;[Red]\-#\ ##0.00\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9F-4136-8EA7-13DA30C71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934736"/>
        <c:axId val="1037936536"/>
      </c:lineChart>
      <c:catAx>
        <c:axId val="103793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36536"/>
        <c:crosses val="autoZero"/>
        <c:auto val="1"/>
        <c:lblAlgn val="ctr"/>
        <c:lblOffset val="100"/>
        <c:noMultiLvlLbl val="0"/>
      </c:catAx>
      <c:valAx>
        <c:axId val="103793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_ ;[Red]\-#\ 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3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Litres Sold By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'Dashboard-Fuel'!$B$104</c:f>
              <c:strCache>
                <c:ptCount val="1"/>
                <c:pt idx="0">
                  <c:v>Diesel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'Dashboard-Fuel'!$A$105:$A$135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'Dashboard-Fuel'!$B$105:$B$135</c:f>
              <c:numCache>
                <c:formatCode>#\ ##0_ ;[Red]\-#\ ##0\ </c:formatCode>
                <c:ptCount val="31"/>
                <c:pt idx="0">
                  <c:v>1659.39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A-4CF0-A4FC-A837BE1F9BBC}"/>
            </c:ext>
          </c:extLst>
        </c:ser>
        <c:ser>
          <c:idx val="1"/>
          <c:order val="1"/>
          <c:tx>
            <c:strRef>
              <c:f>'Dashboard-Fuel'!$C$104</c:f>
              <c:strCache>
                <c:ptCount val="1"/>
                <c:pt idx="0">
                  <c:v>ULP: 95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'Dashboard-Fuel'!$A$105:$A$135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'Dashboard-Fuel'!$C$105:$C$135</c:f>
              <c:numCache>
                <c:formatCode>#\ ##0_ ;[Red]\-#\ ##0\ </c:formatCode>
                <c:ptCount val="31"/>
                <c:pt idx="0">
                  <c:v>1920.7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A-4CF0-A4FC-A837BE1F9BBC}"/>
            </c:ext>
          </c:extLst>
        </c:ser>
        <c:ser>
          <c:idx val="2"/>
          <c:order val="2"/>
          <c:tx>
            <c:strRef>
              <c:f>'Dashboard-Fuel'!$D$104</c:f>
              <c:strCache>
                <c:ptCount val="1"/>
                <c:pt idx="0">
                  <c:v>ULP: 93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'Dashboard-Fuel'!$A$105:$A$135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'Dashboard-Fuel'!$D$105:$D$135</c:f>
              <c:numCache>
                <c:formatCode>#\ ##0_ ;[Red]\-#\ ##0\ </c:formatCode>
                <c:ptCount val="31"/>
                <c:pt idx="0">
                  <c:v>40.06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A-4CF0-A4FC-A837BE1F9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913440"/>
        <c:axId val="1042912720"/>
      </c:barChart>
      <c:lineChart>
        <c:grouping val="standard"/>
        <c:varyColors val="0"/>
        <c:ser>
          <c:idx val="3"/>
          <c:order val="3"/>
          <c:tx>
            <c:strRef>
              <c:f>'Dashboard-Fuel'!$E$104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'Dashboard-Fuel'!$A$105:$A$135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'Dashboard-Fuel'!$E$105:$E$135</c:f>
              <c:numCache>
                <c:formatCode>#\ ##0_ ;[Red]\-#\ ##0\ </c:formatCode>
                <c:ptCount val="31"/>
                <c:pt idx="0">
                  <c:v>3620.15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CA-4CF0-A4FC-A837BE1F9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910920"/>
        <c:axId val="1042909840"/>
      </c:lineChart>
      <c:catAx>
        <c:axId val="104291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12720"/>
        <c:crosses val="autoZero"/>
        <c:auto val="1"/>
        <c:lblAlgn val="ctr"/>
        <c:lblOffset val="100"/>
        <c:noMultiLvlLbl val="0"/>
      </c:catAx>
      <c:valAx>
        <c:axId val="104291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13440"/>
        <c:crosses val="autoZero"/>
        <c:crossBetween val="between"/>
      </c:valAx>
      <c:valAx>
        <c:axId val="1042909840"/>
        <c:scaling>
          <c:orientation val="minMax"/>
        </c:scaling>
        <c:delete val="0"/>
        <c:axPos val="r"/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10920"/>
        <c:crosses val="max"/>
        <c:crossBetween val="between"/>
      </c:valAx>
      <c:catAx>
        <c:axId val="1042910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2909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rgbClr val="FF0000"/>
                </a:solidFill>
              </a:rPr>
              <a:t>ATG Stock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'Dashboard-Fuel'!$B$139</c:f>
              <c:strCache>
                <c:ptCount val="1"/>
                <c:pt idx="0">
                  <c:v>Diesel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'Dashboard-Fuel'!$A$140:$A$170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'Dashboard-Fuel'!$B$140:$B$170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8-4107-9855-FC8AC5819876}"/>
            </c:ext>
          </c:extLst>
        </c:ser>
        <c:ser>
          <c:idx val="1"/>
          <c:order val="1"/>
          <c:tx>
            <c:strRef>
              <c:f>'Dashboard-Fuel'!$C$139</c:f>
              <c:strCache>
                <c:ptCount val="1"/>
                <c:pt idx="0">
                  <c:v>ULP: 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'Dashboard-Fuel'!$A$140:$A$170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'Dashboard-Fuel'!$C$140:$C$170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8-4107-9855-FC8AC5819876}"/>
            </c:ext>
          </c:extLst>
        </c:ser>
        <c:ser>
          <c:idx val="2"/>
          <c:order val="2"/>
          <c:tx>
            <c:strRef>
              <c:f>'Dashboard-Fuel'!$D$139</c:f>
              <c:strCache>
                <c:ptCount val="1"/>
                <c:pt idx="0">
                  <c:v>ULP: 93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'Dashboard-Fuel'!$A$140:$A$170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'Dashboard-Fuel'!$D$140:$D$170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B8-4107-9855-FC8AC5819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871848"/>
        <c:axId val="660866808"/>
      </c:lineChart>
      <c:catAx>
        <c:axId val="66087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66808"/>
        <c:crosses val="autoZero"/>
        <c:auto val="1"/>
        <c:lblAlgn val="ctr"/>
        <c:lblOffset val="100"/>
        <c:noMultiLvlLbl val="0"/>
      </c:catAx>
      <c:valAx>
        <c:axId val="66086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7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rgbClr val="FF0000"/>
                </a:solidFill>
              </a:rPr>
              <a:t>ULP95 Litres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'Dashboard-Fuel'!$O$104</c:f>
              <c:strCache>
                <c:ptCount val="1"/>
                <c:pt idx="0">
                  <c:v>ULP: 95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'Dashboard-Fuel'!$N$105:$N$135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'Dashboard-Fuel'!$O$105:$O$135</c:f>
              <c:numCache>
                <c:formatCode>#\ ##0_ ;[Red]\-#\ ##0\ </c:formatCode>
                <c:ptCount val="31"/>
                <c:pt idx="0">
                  <c:v>1920.7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5C-4D19-A879-461C835E8683}"/>
            </c:ext>
          </c:extLst>
        </c:ser>
        <c:ser>
          <c:idx val="1"/>
          <c:order val="1"/>
          <c:tx>
            <c:strRef>
              <c:f>'Dashboard-Fuel'!$P$104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'Dashboard-Fuel'!$N$105:$N$135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'Dashboard-Fuel'!$P$105:$P$135</c:f>
              <c:numCache>
                <c:formatCode>#\ ##0_ ;[Red]\-#\ ##0\ 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5C-4D19-A879-461C835E8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017512"/>
        <c:axId val="1040019312"/>
      </c:lineChart>
      <c:catAx>
        <c:axId val="104001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19312"/>
        <c:crosses val="autoZero"/>
        <c:auto val="1"/>
        <c:lblAlgn val="ctr"/>
        <c:lblOffset val="100"/>
        <c:noMultiLvlLbl val="0"/>
      </c:catAx>
      <c:valAx>
        <c:axId val="104001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1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rgbClr val="FF0000"/>
                </a:solidFill>
              </a:rPr>
              <a:t>Diesel Litres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'Dashboard-Fuel'!$K$104</c:f>
              <c:strCache>
                <c:ptCount val="1"/>
                <c:pt idx="0">
                  <c:v>Diesel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'Dashboard-Fuel'!$J$105:$J$135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'Dashboard-Fuel'!$K$105:$K$135</c:f>
              <c:numCache>
                <c:formatCode>#\ ##0_ ;[Red]\-#\ ##0\ </c:formatCode>
                <c:ptCount val="31"/>
                <c:pt idx="0">
                  <c:v>1659.39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E-43E5-ABDE-9274227D3FEB}"/>
            </c:ext>
          </c:extLst>
        </c:ser>
        <c:ser>
          <c:idx val="1"/>
          <c:order val="1"/>
          <c:tx>
            <c:strRef>
              <c:f>'Dashboard-Fuel'!$L$104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'Dashboard-Fuel'!$J$105:$J$135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'Dashboard-Fuel'!$L$105:$L$135</c:f>
              <c:numCache>
                <c:formatCode>#\ ##0_ ;[Red]\-#\ ##0\ 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E-43E5-ABDE-9274227D3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312600"/>
        <c:axId val="635312960"/>
      </c:lineChart>
      <c:catAx>
        <c:axId val="63531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12960"/>
        <c:crosses val="autoZero"/>
        <c:auto val="1"/>
        <c:lblAlgn val="ctr"/>
        <c:lblOffset val="100"/>
        <c:noMultiLvlLbl val="0"/>
      </c:catAx>
      <c:valAx>
        <c:axId val="6353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1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rgbClr val="FF0000"/>
                </a:solidFill>
              </a:rPr>
              <a:t>ULP93 Litres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'Dashboard-Fuel'!$S$104</c:f>
              <c:strCache>
                <c:ptCount val="1"/>
                <c:pt idx="0">
                  <c:v>ULP: 93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'Dashboard-Fuel'!$R$105:$R$135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'Dashboard-Fuel'!$S$105:$S$135</c:f>
              <c:numCache>
                <c:formatCode>#\ ##0_ ;[Red]\-#\ ##0\ </c:formatCode>
                <c:ptCount val="31"/>
                <c:pt idx="0">
                  <c:v>40.06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5B-42E4-81B2-2F6DD2716056}"/>
            </c:ext>
          </c:extLst>
        </c:ser>
        <c:ser>
          <c:idx val="1"/>
          <c:order val="1"/>
          <c:tx>
            <c:strRef>
              <c:f>'Dashboard-Fuel'!$T$104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'Dashboard-Fuel'!$R$105:$R$135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'Dashboard-Fuel'!$T$105:$T$135</c:f>
              <c:numCache>
                <c:formatCode>#\ ##0_ ;[Red]\-#\ ##0\ 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5B-42E4-81B2-2F6DD2716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903888"/>
        <c:axId val="601926976"/>
      </c:lineChart>
      <c:catAx>
        <c:axId val="64990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26976"/>
        <c:crosses val="autoZero"/>
        <c:auto val="1"/>
        <c:lblAlgn val="ctr"/>
        <c:lblOffset val="100"/>
        <c:noMultiLvlLbl val="0"/>
      </c:catAx>
      <c:valAx>
        <c:axId val="60192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0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Retail</a:t>
            </a:r>
            <a:r>
              <a:rPr lang="en-ZA" b="1" baseline="0"/>
              <a:t> Sales: By Division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'Dashboard-Retail'!$A$61</c:f>
              <c:strCache>
                <c:ptCount val="1"/>
                <c:pt idx="0">
                  <c:v> - Bakery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'Dashboard-Retail'!$B$60:$AF$60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'Dashboard-Retail'!$B$61:$AF$61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2-4AB3-A657-8254C3E1FB61}"/>
            </c:ext>
          </c:extLst>
        </c:ser>
        <c:ser>
          <c:idx val="1"/>
          <c:order val="1"/>
          <c:tx>
            <c:strRef>
              <c:f>'Dashboard-Retail'!$A$62</c:f>
              <c:strCache>
                <c:ptCount val="1"/>
                <c:pt idx="0">
                  <c:v> - VV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'Dashboard-Retail'!$B$60:$AF$60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'Dashboard-Retail'!$B$62:$AF$62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2-4AB3-A657-8254C3E1FB61}"/>
            </c:ext>
          </c:extLst>
        </c:ser>
        <c:ser>
          <c:idx val="2"/>
          <c:order val="2"/>
          <c:tx>
            <c:strRef>
              <c:f>'Dashboard-Retail'!$A$63</c:f>
              <c:strCache>
                <c:ptCount val="1"/>
                <c:pt idx="0">
                  <c:v> - Quickshop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'Dashboard-Retail'!$B$60:$AF$60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'Dashboard-Retail'!$B$63:$AF$63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2-4AB3-A657-8254C3E1F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4431"/>
        <c:axId val="39585151"/>
      </c:lineChart>
      <c:catAx>
        <c:axId val="3958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5151"/>
        <c:crosses val="autoZero"/>
        <c:auto val="1"/>
        <c:lblAlgn val="ctr"/>
        <c:lblOffset val="100"/>
        <c:noMultiLvlLbl val="0"/>
      </c:catAx>
      <c:valAx>
        <c:axId val="395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Sales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'Dashboard-Fuel'!$A$174</c:f>
              <c:strCache>
                <c:ptCount val="1"/>
                <c:pt idx="0">
                  <c:v>Oil 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'Dashboard-Fuel'!$B$173:$AF$173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'Dashboard-Fuel'!$B$174:$AF$174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CB-4530-B5D1-BEB736CFD9DC}"/>
            </c:ext>
          </c:extLst>
        </c:ser>
        <c:ser>
          <c:idx val="1"/>
          <c:order val="1"/>
          <c:tx>
            <c:strRef>
              <c:f>'Dashboard-Fuel'!$A$175</c:f>
              <c:strCache>
                <c:ptCount val="1"/>
                <c:pt idx="0">
                  <c:v>Budget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numRef>
              <c:f>'Dashboard-Fuel'!$B$173:$AF$173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'Dashboard-Fuel'!$B$175:$AF$175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CB-4530-B5D1-BEB736CFD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16199000"/>
        <c:axId val="916194680"/>
      </c:lineChart>
      <c:catAx>
        <c:axId val="91619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194680"/>
        <c:crosses val="autoZero"/>
        <c:auto val="1"/>
        <c:lblAlgn val="ctr"/>
        <c:lblOffset val="100"/>
        <c:noMultiLvlLbl val="0"/>
      </c:catAx>
      <c:valAx>
        <c:axId val="916194680"/>
        <c:scaling>
          <c:orientation val="minMax"/>
        </c:scaling>
        <c:delete val="0"/>
        <c:axPos val="l"/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19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Litres Sold By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'Dashboard-Fuel'!$B$104</c:f>
              <c:strCache>
                <c:ptCount val="1"/>
                <c:pt idx="0">
                  <c:v>Diesel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'Dashboard-Fuel'!$A$105:$A$135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'Dashboard-Fuel'!$B$105:$B$135</c:f>
              <c:numCache>
                <c:formatCode>#\ ##0_ ;[Red]\-#\ ##0\ </c:formatCode>
                <c:ptCount val="31"/>
                <c:pt idx="0">
                  <c:v>1659.39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E-4AF9-9523-82DE88F0569C}"/>
            </c:ext>
          </c:extLst>
        </c:ser>
        <c:ser>
          <c:idx val="1"/>
          <c:order val="1"/>
          <c:tx>
            <c:strRef>
              <c:f>'Dashboard-Fuel'!$C$104</c:f>
              <c:strCache>
                <c:ptCount val="1"/>
                <c:pt idx="0">
                  <c:v>ULP: 95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'Dashboard-Fuel'!$A$105:$A$135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'Dashboard-Fuel'!$C$105:$C$135</c:f>
              <c:numCache>
                <c:formatCode>#\ ##0_ ;[Red]\-#\ ##0\ </c:formatCode>
                <c:ptCount val="31"/>
                <c:pt idx="0">
                  <c:v>1920.7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E-4AF9-9523-82DE88F0569C}"/>
            </c:ext>
          </c:extLst>
        </c:ser>
        <c:ser>
          <c:idx val="2"/>
          <c:order val="2"/>
          <c:tx>
            <c:strRef>
              <c:f>'Dashboard-Fuel'!$D$104</c:f>
              <c:strCache>
                <c:ptCount val="1"/>
                <c:pt idx="0">
                  <c:v>ULP: 93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'Dashboard-Fuel'!$A$105:$A$135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'Dashboard-Fuel'!$D$105:$D$135</c:f>
              <c:numCache>
                <c:formatCode>#\ ##0_ ;[Red]\-#\ ##0\ </c:formatCode>
                <c:ptCount val="31"/>
                <c:pt idx="0">
                  <c:v>40.06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9E-4AF9-9523-82DE88F05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913440"/>
        <c:axId val="1042912720"/>
      </c:barChart>
      <c:lineChart>
        <c:grouping val="standard"/>
        <c:varyColors val="0"/>
        <c:ser>
          <c:idx val="3"/>
          <c:order val="3"/>
          <c:tx>
            <c:strRef>
              <c:f>'Dashboard-Fuel'!$E$104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'Dashboard-Fuel'!$A$105:$A$135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'Dashboard-Fuel'!$E$105:$E$135</c:f>
              <c:numCache>
                <c:formatCode>#\ ##0_ ;[Red]\-#\ ##0\ </c:formatCode>
                <c:ptCount val="31"/>
                <c:pt idx="0">
                  <c:v>3620.15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9E-4AF9-9523-82DE88F05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910920"/>
        <c:axId val="1042909840"/>
      </c:lineChart>
      <c:catAx>
        <c:axId val="104291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12720"/>
        <c:crosses val="autoZero"/>
        <c:auto val="1"/>
        <c:lblAlgn val="ctr"/>
        <c:lblOffset val="100"/>
        <c:noMultiLvlLbl val="0"/>
      </c:catAx>
      <c:valAx>
        <c:axId val="104291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13440"/>
        <c:crosses val="autoZero"/>
        <c:crossBetween val="between"/>
      </c:valAx>
      <c:valAx>
        <c:axId val="1042909840"/>
        <c:scaling>
          <c:orientation val="minMax"/>
        </c:scaling>
        <c:delete val="0"/>
        <c:axPos val="r"/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10920"/>
        <c:crosses val="max"/>
        <c:crossBetween val="between"/>
      </c:valAx>
      <c:catAx>
        <c:axId val="1042910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2909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rgbClr val="FF0000"/>
                </a:solidFill>
              </a:rPr>
              <a:t>ATG Stock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'Dashboard-Fuel'!$B$139</c:f>
              <c:strCache>
                <c:ptCount val="1"/>
                <c:pt idx="0">
                  <c:v>Diesel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'Dashboard-Fuel'!$A$140:$A$170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'Dashboard-Fuel'!$B$140:$B$170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C-4258-8777-2EEF4D4D7CE3}"/>
            </c:ext>
          </c:extLst>
        </c:ser>
        <c:ser>
          <c:idx val="1"/>
          <c:order val="1"/>
          <c:tx>
            <c:strRef>
              <c:f>'Dashboard-Fuel'!$C$139</c:f>
              <c:strCache>
                <c:ptCount val="1"/>
                <c:pt idx="0">
                  <c:v>ULP: 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'Dashboard-Fuel'!$A$140:$A$170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'Dashboard-Fuel'!$C$140:$C$170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2C-4258-8777-2EEF4D4D7CE3}"/>
            </c:ext>
          </c:extLst>
        </c:ser>
        <c:ser>
          <c:idx val="2"/>
          <c:order val="2"/>
          <c:tx>
            <c:strRef>
              <c:f>'Dashboard-Fuel'!$D$139</c:f>
              <c:strCache>
                <c:ptCount val="1"/>
                <c:pt idx="0">
                  <c:v>ULP: 93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'Dashboard-Fuel'!$A$140:$A$170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'Dashboard-Fuel'!$D$140:$D$170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2C-4258-8777-2EEF4D4D7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871848"/>
        <c:axId val="660866808"/>
      </c:lineChart>
      <c:catAx>
        <c:axId val="66087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66808"/>
        <c:crosses val="autoZero"/>
        <c:auto val="1"/>
        <c:lblAlgn val="ctr"/>
        <c:lblOffset val="100"/>
        <c:noMultiLvlLbl val="0"/>
      </c:catAx>
      <c:valAx>
        <c:axId val="66086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7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rgbClr val="FF0000"/>
                </a:solidFill>
              </a:rPr>
              <a:t>Diesel Litres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'Dashboard-Fuel'!$K$104</c:f>
              <c:strCache>
                <c:ptCount val="1"/>
                <c:pt idx="0">
                  <c:v>Diesel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'Dashboard-Fuel'!$J$105:$J$135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'Dashboard-Fuel'!$K$105:$K$135</c:f>
              <c:numCache>
                <c:formatCode>#\ ##0_ ;[Red]\-#\ ##0\ </c:formatCode>
                <c:ptCount val="31"/>
                <c:pt idx="0">
                  <c:v>1659.39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E-40D5-A27B-06495F358E3A}"/>
            </c:ext>
          </c:extLst>
        </c:ser>
        <c:ser>
          <c:idx val="1"/>
          <c:order val="1"/>
          <c:tx>
            <c:strRef>
              <c:f>'Dashboard-Fuel'!$L$104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'Dashboard-Fuel'!$J$105:$J$135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'Dashboard-Fuel'!$L$105:$L$135</c:f>
              <c:numCache>
                <c:formatCode>#\ ##0_ ;[Red]\-#\ ##0\ 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CE-40D5-A27B-06495F358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312600"/>
        <c:axId val="635312960"/>
      </c:lineChart>
      <c:catAx>
        <c:axId val="63531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12960"/>
        <c:crosses val="autoZero"/>
        <c:auto val="1"/>
        <c:lblAlgn val="ctr"/>
        <c:lblOffset val="100"/>
        <c:noMultiLvlLbl val="0"/>
      </c:catAx>
      <c:valAx>
        <c:axId val="6353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1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rgbClr val="FF0000"/>
                </a:solidFill>
              </a:rPr>
              <a:t>ULP95 Litres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'Dashboard-Fuel'!$O$104</c:f>
              <c:strCache>
                <c:ptCount val="1"/>
                <c:pt idx="0">
                  <c:v>ULP: 95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'Dashboard-Fuel'!$N$105:$N$135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'Dashboard-Fuel'!$O$105:$O$135</c:f>
              <c:numCache>
                <c:formatCode>#\ ##0_ ;[Red]\-#\ ##0\ </c:formatCode>
                <c:ptCount val="31"/>
                <c:pt idx="0">
                  <c:v>1920.7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D-4DB9-93F4-9F47AFD49565}"/>
            </c:ext>
          </c:extLst>
        </c:ser>
        <c:ser>
          <c:idx val="1"/>
          <c:order val="1"/>
          <c:tx>
            <c:strRef>
              <c:f>'Dashboard-Fuel'!$P$104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'Dashboard-Fuel'!$N$105:$N$135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'Dashboard-Fuel'!$P$105:$P$135</c:f>
              <c:numCache>
                <c:formatCode>#\ ##0_ ;[Red]\-#\ ##0\ 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D-4DB9-93F4-9F47AFD49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017512"/>
        <c:axId val="1040019312"/>
      </c:lineChart>
      <c:catAx>
        <c:axId val="104001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19312"/>
        <c:crosses val="autoZero"/>
        <c:auto val="1"/>
        <c:lblAlgn val="ctr"/>
        <c:lblOffset val="100"/>
        <c:noMultiLvlLbl val="0"/>
      </c:catAx>
      <c:valAx>
        <c:axId val="104001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1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rgbClr val="FF0000"/>
                </a:solidFill>
              </a:rPr>
              <a:t>ULP93 Litres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'Dashboard-Fuel'!$S$104</c:f>
              <c:strCache>
                <c:ptCount val="1"/>
                <c:pt idx="0">
                  <c:v>ULP: 93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'Dashboard-Fuel'!$R$105:$R$135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'Dashboard-Fuel'!$S$105:$S$135</c:f>
              <c:numCache>
                <c:formatCode>#\ ##0_ ;[Red]\-#\ ##0\ </c:formatCode>
                <c:ptCount val="31"/>
                <c:pt idx="0">
                  <c:v>40.06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B-40C9-9568-1E42E8EC7E04}"/>
            </c:ext>
          </c:extLst>
        </c:ser>
        <c:ser>
          <c:idx val="1"/>
          <c:order val="1"/>
          <c:tx>
            <c:strRef>
              <c:f>'Dashboard-Fuel'!$T$104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'Dashboard-Fuel'!$R$105:$R$135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'Dashboard-Fuel'!$T$105:$T$135</c:f>
              <c:numCache>
                <c:formatCode>#\ ##0_ ;[Red]\-#\ ##0\ 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B-40C9-9568-1E42E8EC7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903888"/>
        <c:axId val="601926976"/>
      </c:lineChart>
      <c:catAx>
        <c:axId val="64990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26976"/>
        <c:crosses val="autoZero"/>
        <c:auto val="1"/>
        <c:lblAlgn val="ctr"/>
        <c:lblOffset val="100"/>
        <c:noMultiLvlLbl val="0"/>
      </c:catAx>
      <c:valAx>
        <c:axId val="60192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0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Sales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'Dashboard-Fuel'!$A$174</c:f>
              <c:strCache>
                <c:ptCount val="1"/>
                <c:pt idx="0">
                  <c:v>Oil 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'Dashboard-Fuel'!$B$173:$AF$173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'Dashboard-Fuel'!$B$174:$AF$174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3-4E6D-8627-4FD1EC91C020}"/>
            </c:ext>
          </c:extLst>
        </c:ser>
        <c:ser>
          <c:idx val="1"/>
          <c:order val="1"/>
          <c:tx>
            <c:strRef>
              <c:f>'Dashboard-Fuel'!$A$175</c:f>
              <c:strCache>
                <c:ptCount val="1"/>
                <c:pt idx="0">
                  <c:v>Budget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numRef>
              <c:f>'Dashboard-Fuel'!$B$173:$AF$173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'Dashboard-Fuel'!$B$175:$AF$175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3-4E6D-8627-4FD1EC91C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16199000"/>
        <c:axId val="916194680"/>
      </c:lineChart>
      <c:catAx>
        <c:axId val="91619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194680"/>
        <c:crosses val="autoZero"/>
        <c:auto val="1"/>
        <c:lblAlgn val="ctr"/>
        <c:lblOffset val="100"/>
        <c:noMultiLvlLbl val="0"/>
      </c:catAx>
      <c:valAx>
        <c:axId val="916194680"/>
        <c:scaling>
          <c:orientation val="minMax"/>
        </c:scaling>
        <c:delete val="0"/>
        <c:axPos val="l"/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19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Retail</a:t>
            </a:r>
            <a:r>
              <a:rPr lang="en-ZA" b="1" baseline="0"/>
              <a:t> Sales: By Division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'Dashboard-Retail'!$A$61</c:f>
              <c:strCache>
                <c:ptCount val="1"/>
                <c:pt idx="0">
                  <c:v> - Bakery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'Dashboard-Retail'!$B$60:$AF$60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'Dashboard-Retail'!$B$61:$AF$61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4C-4D83-9FDC-6FF5B9E2B0F4}"/>
            </c:ext>
          </c:extLst>
        </c:ser>
        <c:ser>
          <c:idx val="1"/>
          <c:order val="1"/>
          <c:tx>
            <c:strRef>
              <c:f>'Dashboard-Retail'!$A$62</c:f>
              <c:strCache>
                <c:ptCount val="1"/>
                <c:pt idx="0">
                  <c:v> - VV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'Dashboard-Retail'!$B$60:$AF$60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'Dashboard-Retail'!$B$62:$AF$62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4C-4D83-9FDC-6FF5B9E2B0F4}"/>
            </c:ext>
          </c:extLst>
        </c:ser>
        <c:ser>
          <c:idx val="2"/>
          <c:order val="2"/>
          <c:tx>
            <c:strRef>
              <c:f>'Dashboard-Retail'!$A$63</c:f>
              <c:strCache>
                <c:ptCount val="1"/>
                <c:pt idx="0">
                  <c:v> - Quickshop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'Dashboard-Retail'!$B$60:$AF$60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'Dashboard-Retail'!$B$63:$AF$63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4C-4D83-9FDC-6FF5B9E2B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4431"/>
        <c:axId val="39585151"/>
      </c:lineChart>
      <c:catAx>
        <c:axId val="3958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5151"/>
        <c:crosses val="autoZero"/>
        <c:auto val="1"/>
        <c:lblAlgn val="ctr"/>
        <c:lblOffset val="100"/>
        <c:noMultiLvlLbl val="0"/>
      </c:catAx>
      <c:valAx>
        <c:axId val="395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Bakery Sales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'Dashboard-Retail'!$J$68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'Dashboard-Retail'!$I$69:$I$99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'Dashboard-Retail'!$J$69:$J$99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9-47F5-8DC7-CF1919DF2596}"/>
            </c:ext>
          </c:extLst>
        </c:ser>
        <c:ser>
          <c:idx val="1"/>
          <c:order val="1"/>
          <c:tx>
            <c:strRef>
              <c:f>'Dashboard-Retail'!$K$68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'Dashboard-Retail'!$I$69:$I$99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'Dashboard-Retail'!$K$69:$K$99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9-47F5-8DC7-CF1919DF2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698152"/>
        <c:axId val="1198692032"/>
      </c:lineChart>
      <c:catAx>
        <c:axId val="119869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92032"/>
        <c:crosses val="autoZero"/>
        <c:auto val="1"/>
        <c:lblAlgn val="ctr"/>
        <c:lblOffset val="100"/>
        <c:noMultiLvlLbl val="0"/>
      </c:catAx>
      <c:valAx>
        <c:axId val="119869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9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C/Store Sales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'Dashboard-Retail'!$O$68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'Dashboard-Retail'!$N$69:$N$99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'Dashboard-Retail'!$O$69:$O$99</c:f>
              <c:numCache>
                <c:formatCode>#\ ##0_ ;[Red]\-#\ ##0\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9-4B0D-AD2B-F872056EE438}"/>
            </c:ext>
          </c:extLst>
        </c:ser>
        <c:ser>
          <c:idx val="1"/>
          <c:order val="1"/>
          <c:tx>
            <c:strRef>
              <c:f>'Dashboard-Retail'!$P$68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'Dashboard-Retail'!$N$69:$N$99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'Dashboard-Retail'!$P$69:$P$99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79-4B0D-AD2B-F872056EE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77591"/>
        <c:axId val="39580111"/>
      </c:lineChart>
      <c:catAx>
        <c:axId val="39577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0111"/>
        <c:crosses val="autoZero"/>
        <c:auto val="1"/>
        <c:lblAlgn val="ctr"/>
        <c:lblOffset val="100"/>
        <c:noMultiLvlLbl val="0"/>
      </c:catAx>
      <c:valAx>
        <c:axId val="3958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7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Cashier Shortages: By Cashier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'Cashiers Report'!$C$5</c:f>
              <c:strCache>
                <c:ptCount val="1"/>
                <c:pt idx="0">
                  <c:v>Mandla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'Cashiers Report'!$A$6:$B$36</c15:sqref>
                  </c15:fullRef>
                  <c15:levelRef>
                    <c15:sqref>'Cashiers Report'!$B$6:$B$36</c15:sqref>
                  </c15:levelRef>
                </c:ext>
              </c:extLst>
              <c:f>'Cashiers Report'!$B$6:$B$36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'Cashiers Report'!$C$6:$C$36</c:f>
              <c:numCache>
                <c:formatCode>#\ ##0.00_ ;[Red]\-#\ ##0.00\ </c:formatCode>
                <c:ptCount val="31"/>
                <c:pt idx="0">
                  <c:v>33206.04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9-41C5-B7EF-0F27DB3DF1CC}"/>
            </c:ext>
          </c:extLst>
        </c:ser>
        <c:ser>
          <c:idx val="1"/>
          <c:order val="1"/>
          <c:tx>
            <c:strRef>
              <c:f>'Cashiers Report'!$D$5</c:f>
              <c:strCache>
                <c:ptCount val="1"/>
                <c:pt idx="0">
                  <c:v>Caroline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'Cashiers Report'!$A$6:$B$36</c15:sqref>
                  </c15:fullRef>
                  <c15:levelRef>
                    <c15:sqref>'Cashiers Report'!$B$6:$B$36</c15:sqref>
                  </c15:levelRef>
                </c:ext>
              </c:extLst>
              <c:f>'Cashiers Report'!$B$6:$B$36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'Cashiers Report'!$D$6:$D$36</c:f>
              <c:numCache>
                <c:formatCode>#\ ##0.00_ ;[Red]\-#\ ##0.00\ </c:formatCode>
                <c:ptCount val="31"/>
                <c:pt idx="0">
                  <c:v>-1000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9-41C5-B7EF-0F27DB3DF1CC}"/>
            </c:ext>
          </c:extLst>
        </c:ser>
        <c:ser>
          <c:idx val="2"/>
          <c:order val="2"/>
          <c:tx>
            <c:strRef>
              <c:f>'Cashiers Report'!$E$5</c:f>
              <c:strCache>
                <c:ptCount val="1"/>
                <c:pt idx="0">
                  <c:v>Siyabonga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'Cashiers Report'!$A$6:$B$36</c15:sqref>
                  </c15:fullRef>
                  <c15:levelRef>
                    <c15:sqref>'Cashiers Report'!$B$6:$B$36</c15:sqref>
                  </c15:levelRef>
                </c:ext>
              </c:extLst>
              <c:f>'Cashiers Report'!$B$6:$B$36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'Cashiers Report'!$E$6:$E$36</c:f>
              <c:numCache>
                <c:formatCode>#\ ##0.00_ ;[Red]\-#\ ##0.00\ </c:formatCode>
                <c:ptCount val="31"/>
                <c:pt idx="0">
                  <c:v>-1000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F9-41C5-B7EF-0F27DB3DF1CC}"/>
            </c:ext>
          </c:extLst>
        </c:ser>
        <c:ser>
          <c:idx val="3"/>
          <c:order val="3"/>
          <c:tx>
            <c:strRef>
              <c:f>'Cashiers Report'!$F$5</c:f>
              <c:strCache>
                <c:ptCount val="1"/>
                <c:pt idx="0">
                  <c:v>Thumelo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'Cashiers Report'!$A$6:$B$36</c15:sqref>
                  </c15:fullRef>
                  <c15:levelRef>
                    <c15:sqref>'Cashiers Report'!$B$6:$B$36</c15:sqref>
                  </c15:levelRef>
                </c:ext>
              </c:extLst>
              <c:f>'Cashiers Report'!$B$6:$B$36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'Cashiers Report'!$F$6:$F$36</c:f>
              <c:numCache>
                <c:formatCode>#\ ##0.00_ ;[Red]\-#\ ##0.00\ </c:formatCode>
                <c:ptCount val="31"/>
                <c:pt idx="0">
                  <c:v>-1000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F9-41C5-B7EF-0F27DB3DF1CC}"/>
            </c:ext>
          </c:extLst>
        </c:ser>
        <c:ser>
          <c:idx val="4"/>
          <c:order val="4"/>
          <c:tx>
            <c:strRef>
              <c:f>'Cashiers Report'!$G$5</c:f>
              <c:strCache>
                <c:ptCount val="1"/>
                <c:pt idx="0">
                  <c:v>Cashier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'Cashiers Report'!$A$6:$B$36</c15:sqref>
                  </c15:fullRef>
                  <c15:levelRef>
                    <c15:sqref>'Cashiers Report'!$B$6:$B$36</c15:sqref>
                  </c15:levelRef>
                </c:ext>
              </c:extLst>
              <c:f>'Cashiers Report'!$B$6:$B$36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'Cashiers Report'!$G$6:$G$36</c:f>
              <c:numCache>
                <c:formatCode>#\ ##0.00_ ;[Red]\-#\ ##0.00\ </c:formatCode>
                <c:ptCount val="31"/>
                <c:pt idx="0">
                  <c:v>-1000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F9-41C5-B7EF-0F27DB3DF1CC}"/>
            </c:ext>
          </c:extLst>
        </c:ser>
        <c:ser>
          <c:idx val="5"/>
          <c:order val="5"/>
          <c:tx>
            <c:strRef>
              <c:f>'Cashiers Report'!$H$5</c:f>
              <c:strCache>
                <c:ptCount val="1"/>
                <c:pt idx="0">
                  <c:v>Cashier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'Cashiers Report'!$A$6:$B$36</c15:sqref>
                  </c15:fullRef>
                  <c15:levelRef>
                    <c15:sqref>'Cashiers Report'!$B$6:$B$36</c15:sqref>
                  </c15:levelRef>
                </c:ext>
              </c:extLst>
              <c:f>'Cashiers Report'!$B$6:$B$36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'Cashiers Report'!$H$6:$H$36</c:f>
              <c:numCache>
                <c:formatCode>#\ ##0.00_ ;[Red]\-#\ ##0.00\ </c:formatCode>
                <c:ptCount val="31"/>
                <c:pt idx="0">
                  <c:v>-1000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F9-41C5-B7EF-0F27DB3DF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148832"/>
        <c:axId val="634148112"/>
      </c:areaChart>
      <c:dateAx>
        <c:axId val="634148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48112"/>
        <c:crosses val="autoZero"/>
        <c:auto val="1"/>
        <c:lblOffset val="100"/>
        <c:baseTimeUnit val="days"/>
      </c:dateAx>
      <c:valAx>
        <c:axId val="63414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_ ;[Red]\-#\ 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4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Tank Variances: Daily By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'SS26'!$C$200</c:f>
              <c:strCache>
                <c:ptCount val="1"/>
                <c:pt idx="0">
                  <c:v>Diesel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'SS26'!$B$201:$B$231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'SS26'!$C$201:$C$231</c:f>
              <c:numCache>
                <c:formatCode>#\ ##0.00_ ;[Red]\-#\ ##0.00\ </c:formatCode>
                <c:ptCount val="31"/>
                <c:pt idx="0">
                  <c:v>1659.39</c:v>
                </c:pt>
                <c:pt idx="1">
                  <c:v>1659.39</c:v>
                </c:pt>
                <c:pt idx="2">
                  <c:v>1659.39</c:v>
                </c:pt>
                <c:pt idx="3">
                  <c:v>1659.39</c:v>
                </c:pt>
                <c:pt idx="4">
                  <c:v>1659.39</c:v>
                </c:pt>
                <c:pt idx="5">
                  <c:v>1659.39</c:v>
                </c:pt>
                <c:pt idx="6">
                  <c:v>1659.39</c:v>
                </c:pt>
                <c:pt idx="7">
                  <c:v>1659.39</c:v>
                </c:pt>
                <c:pt idx="8">
                  <c:v>1659.39</c:v>
                </c:pt>
                <c:pt idx="9">
                  <c:v>1659.39</c:v>
                </c:pt>
                <c:pt idx="10">
                  <c:v>1659.39</c:v>
                </c:pt>
                <c:pt idx="11">
                  <c:v>1659.39</c:v>
                </c:pt>
                <c:pt idx="12">
                  <c:v>1659.39</c:v>
                </c:pt>
                <c:pt idx="13">
                  <c:v>1659.39</c:v>
                </c:pt>
                <c:pt idx="14">
                  <c:v>1659.39</c:v>
                </c:pt>
                <c:pt idx="15">
                  <c:v>1659.39</c:v>
                </c:pt>
                <c:pt idx="16">
                  <c:v>1659.39</c:v>
                </c:pt>
                <c:pt idx="17">
                  <c:v>1659.39</c:v>
                </c:pt>
                <c:pt idx="18">
                  <c:v>1659.39</c:v>
                </c:pt>
                <c:pt idx="19">
                  <c:v>1659.39</c:v>
                </c:pt>
                <c:pt idx="20">
                  <c:v>1659.39</c:v>
                </c:pt>
                <c:pt idx="21">
                  <c:v>1659.39</c:v>
                </c:pt>
                <c:pt idx="22">
                  <c:v>1659.39</c:v>
                </c:pt>
                <c:pt idx="23">
                  <c:v>1659.39</c:v>
                </c:pt>
                <c:pt idx="24">
                  <c:v>1659.39</c:v>
                </c:pt>
                <c:pt idx="25">
                  <c:v>1659.39</c:v>
                </c:pt>
                <c:pt idx="26">
                  <c:v>1659.39</c:v>
                </c:pt>
                <c:pt idx="27">
                  <c:v>1659.39</c:v>
                </c:pt>
                <c:pt idx="28">
                  <c:v>1659.39</c:v>
                </c:pt>
                <c:pt idx="29">
                  <c:v>1659.39</c:v>
                </c:pt>
                <c:pt idx="30">
                  <c:v>1659.39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4D-4CBC-9FB6-C407157C5E18}"/>
            </c:ext>
          </c:extLst>
        </c:ser>
        <c:ser>
          <c:idx val="1"/>
          <c:order val="1"/>
          <c:tx>
            <c:strRef>
              <c:f>'SS26'!$D$200</c:f>
              <c:strCache>
                <c:ptCount val="1"/>
                <c:pt idx="0">
                  <c:v>ULP: 93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'SS26'!$B$201:$B$231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'SS26'!$D$201:$D$231</c:f>
              <c:numCache>
                <c:formatCode>#\ ##0.00_ ;[Red]\-#\ ##0.00\ </c:formatCode>
                <c:ptCount val="31"/>
                <c:pt idx="0">
                  <c:v>40.06</c:v>
                </c:pt>
                <c:pt idx="1">
                  <c:v>40.06</c:v>
                </c:pt>
                <c:pt idx="2">
                  <c:v>40.06</c:v>
                </c:pt>
                <c:pt idx="3">
                  <c:v>40.06</c:v>
                </c:pt>
                <c:pt idx="4">
                  <c:v>40.06</c:v>
                </c:pt>
                <c:pt idx="5">
                  <c:v>40.06</c:v>
                </c:pt>
                <c:pt idx="6">
                  <c:v>40.06</c:v>
                </c:pt>
                <c:pt idx="7">
                  <c:v>40.06</c:v>
                </c:pt>
                <c:pt idx="8">
                  <c:v>40.06</c:v>
                </c:pt>
                <c:pt idx="9">
                  <c:v>40.06</c:v>
                </c:pt>
                <c:pt idx="10">
                  <c:v>40.06</c:v>
                </c:pt>
                <c:pt idx="11">
                  <c:v>40.06</c:v>
                </c:pt>
                <c:pt idx="12">
                  <c:v>40.06</c:v>
                </c:pt>
                <c:pt idx="13">
                  <c:v>40.06</c:v>
                </c:pt>
                <c:pt idx="14">
                  <c:v>40.06</c:v>
                </c:pt>
                <c:pt idx="15">
                  <c:v>40.06</c:v>
                </c:pt>
                <c:pt idx="16">
                  <c:v>40.06</c:v>
                </c:pt>
                <c:pt idx="17">
                  <c:v>40.06</c:v>
                </c:pt>
                <c:pt idx="18">
                  <c:v>40.06</c:v>
                </c:pt>
                <c:pt idx="19">
                  <c:v>40.06</c:v>
                </c:pt>
                <c:pt idx="20">
                  <c:v>40.06</c:v>
                </c:pt>
                <c:pt idx="21">
                  <c:v>40.06</c:v>
                </c:pt>
                <c:pt idx="22">
                  <c:v>40.06</c:v>
                </c:pt>
                <c:pt idx="23">
                  <c:v>40.06</c:v>
                </c:pt>
                <c:pt idx="24">
                  <c:v>40.06</c:v>
                </c:pt>
                <c:pt idx="25">
                  <c:v>40.06</c:v>
                </c:pt>
                <c:pt idx="26">
                  <c:v>40.06</c:v>
                </c:pt>
                <c:pt idx="27">
                  <c:v>40.06</c:v>
                </c:pt>
                <c:pt idx="28">
                  <c:v>40.06</c:v>
                </c:pt>
                <c:pt idx="29">
                  <c:v>40.06</c:v>
                </c:pt>
                <c:pt idx="30">
                  <c:v>40.06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4D-4CBC-9FB6-C407157C5E18}"/>
            </c:ext>
          </c:extLst>
        </c:ser>
        <c:ser>
          <c:idx val="2"/>
          <c:order val="2"/>
          <c:tx>
            <c:strRef>
              <c:f>'SS26'!$E$200</c:f>
              <c:strCache>
                <c:ptCount val="1"/>
                <c:pt idx="0">
                  <c:v>ULP: 95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'SS26'!$B$201:$B$231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'SS26'!$E$201:$E$231</c:f>
              <c:numCache>
                <c:formatCode>#\ ##0.00_ ;[Red]\-#\ ##0.00\ </c:formatCode>
                <c:ptCount val="31"/>
                <c:pt idx="0">
                  <c:v>1920.7</c:v>
                </c:pt>
                <c:pt idx="1">
                  <c:v>1920.7</c:v>
                </c:pt>
                <c:pt idx="2">
                  <c:v>1920.7</c:v>
                </c:pt>
                <c:pt idx="3">
                  <c:v>1920.7</c:v>
                </c:pt>
                <c:pt idx="4">
                  <c:v>1920.7</c:v>
                </c:pt>
                <c:pt idx="5">
                  <c:v>1920.7</c:v>
                </c:pt>
                <c:pt idx="6">
                  <c:v>1920.7</c:v>
                </c:pt>
                <c:pt idx="7">
                  <c:v>1920.7</c:v>
                </c:pt>
                <c:pt idx="8">
                  <c:v>1920.7</c:v>
                </c:pt>
                <c:pt idx="9">
                  <c:v>1920.7</c:v>
                </c:pt>
                <c:pt idx="10">
                  <c:v>1920.7</c:v>
                </c:pt>
                <c:pt idx="11">
                  <c:v>1920.7</c:v>
                </c:pt>
                <c:pt idx="12">
                  <c:v>1920.7</c:v>
                </c:pt>
                <c:pt idx="13">
                  <c:v>1920.7</c:v>
                </c:pt>
                <c:pt idx="14">
                  <c:v>1920.7</c:v>
                </c:pt>
                <c:pt idx="15">
                  <c:v>1920.7</c:v>
                </c:pt>
                <c:pt idx="16">
                  <c:v>1920.7</c:v>
                </c:pt>
                <c:pt idx="17">
                  <c:v>1920.7</c:v>
                </c:pt>
                <c:pt idx="18">
                  <c:v>1920.7</c:v>
                </c:pt>
                <c:pt idx="19">
                  <c:v>1920.7</c:v>
                </c:pt>
                <c:pt idx="20">
                  <c:v>1920.7</c:v>
                </c:pt>
                <c:pt idx="21">
                  <c:v>1920.7</c:v>
                </c:pt>
                <c:pt idx="22">
                  <c:v>1920.7</c:v>
                </c:pt>
                <c:pt idx="23">
                  <c:v>1920.7</c:v>
                </c:pt>
                <c:pt idx="24">
                  <c:v>1920.7</c:v>
                </c:pt>
                <c:pt idx="25">
                  <c:v>1920.7</c:v>
                </c:pt>
                <c:pt idx="26">
                  <c:v>1920.7</c:v>
                </c:pt>
                <c:pt idx="27">
                  <c:v>1920.7</c:v>
                </c:pt>
                <c:pt idx="28">
                  <c:v>1920.7</c:v>
                </c:pt>
                <c:pt idx="29">
                  <c:v>1920.7</c:v>
                </c:pt>
                <c:pt idx="30">
                  <c:v>1920.7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4D-4CBC-9FB6-C407157C5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936304"/>
        <c:axId val="1262937024"/>
      </c:lineChart>
      <c:catAx>
        <c:axId val="126293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37024"/>
        <c:crosses val="autoZero"/>
        <c:auto val="1"/>
        <c:lblAlgn val="ctr"/>
        <c:lblOffset val="100"/>
        <c:noMultiLvlLbl val="0"/>
      </c:catAx>
      <c:valAx>
        <c:axId val="126293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\ ##0.00_ ;[Red]\-#\ 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3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4</xdr:col>
      <xdr:colOff>0</xdr:colOff>
      <xdr:row>38</xdr:row>
      <xdr:rowOff>171450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85465EB-BE24-2DD4-B414-937306C5D8F8}"/>
            </a:ext>
          </a:extLst>
        </xdr:cNvPr>
        <xdr:cNvCxnSpPr/>
      </xdr:nvCxnSpPr>
      <xdr:spPr>
        <a:xfrm>
          <a:off x="3590925" y="2219325"/>
          <a:ext cx="0" cy="5505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704849</xdr:colOff>
      <xdr:row>0</xdr:row>
      <xdr:rowOff>71437</xdr:rowOff>
    </xdr:from>
    <xdr:to>
      <xdr:col>16</xdr:col>
      <xdr:colOff>714374</xdr:colOff>
      <xdr:row>13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EBA0C7-780E-427D-A850-379CD95A3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4</xdr:row>
      <xdr:rowOff>28575</xdr:rowOff>
    </xdr:from>
    <xdr:to>
      <xdr:col>23</xdr:col>
      <xdr:colOff>581025</xdr:colOff>
      <xdr:row>16</xdr:row>
      <xdr:rowOff>166688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B0652B-A5DC-4DED-BC54-39C38E88B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4</xdr:row>
      <xdr:rowOff>47625</xdr:rowOff>
    </xdr:from>
    <xdr:to>
      <xdr:col>9</xdr:col>
      <xdr:colOff>571500</xdr:colOff>
      <xdr:row>16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ABF3385-E921-4F3B-8D5B-1899842E6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</xdr:colOff>
      <xdr:row>18</xdr:row>
      <xdr:rowOff>47625</xdr:rowOff>
    </xdr:from>
    <xdr:to>
      <xdr:col>11</xdr:col>
      <xdr:colOff>581025</xdr:colOff>
      <xdr:row>30</xdr:row>
      <xdr:rowOff>176213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09CD71C-0F8F-4977-9024-E7141B553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28575</xdr:colOff>
      <xdr:row>18</xdr:row>
      <xdr:rowOff>9525</xdr:rowOff>
    </xdr:from>
    <xdr:to>
      <xdr:col>17</xdr:col>
      <xdr:colOff>571500</xdr:colOff>
      <xdr:row>30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06DC63B-DAA4-49AF-9EA5-C5FABE452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19050</xdr:colOff>
      <xdr:row>18</xdr:row>
      <xdr:rowOff>1</xdr:rowOff>
    </xdr:from>
    <xdr:to>
      <xdr:col>23</xdr:col>
      <xdr:colOff>561975</xdr:colOff>
      <xdr:row>30</xdr:row>
      <xdr:rowOff>190501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1806319-B1EF-42B2-B1FB-F1D4DDE56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19050</xdr:colOff>
      <xdr:row>32</xdr:row>
      <xdr:rowOff>28574</xdr:rowOff>
    </xdr:from>
    <xdr:to>
      <xdr:col>23</xdr:col>
      <xdr:colOff>571500</xdr:colOff>
      <xdr:row>44</xdr:row>
      <xdr:rowOff>171449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8220542-A8BC-4C8F-8EB8-6050C95CE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28575</xdr:colOff>
      <xdr:row>32</xdr:row>
      <xdr:rowOff>38100</xdr:rowOff>
    </xdr:from>
    <xdr:to>
      <xdr:col>11</xdr:col>
      <xdr:colOff>571501</xdr:colOff>
      <xdr:row>44</xdr:row>
      <xdr:rowOff>161924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AE89A35-C3D3-4AF2-9334-C3DBB5556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3</xdr:row>
      <xdr:rowOff>80962</xdr:rowOff>
    </xdr:from>
    <xdr:to>
      <xdr:col>7</xdr:col>
      <xdr:colOff>47625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927A1A-A5BE-A94C-3156-E20842206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3</xdr:row>
      <xdr:rowOff>76200</xdr:rowOff>
    </xdr:from>
    <xdr:to>
      <xdr:col>16</xdr:col>
      <xdr:colOff>171450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1DF0D5-709F-B1D0-41CD-AC991797B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76201</xdr:colOff>
      <xdr:row>19</xdr:row>
      <xdr:rowOff>42861</xdr:rowOff>
    </xdr:from>
    <xdr:to>
      <xdr:col>16</xdr:col>
      <xdr:colOff>161925</xdr:colOff>
      <xdr:row>35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29CA0A-8CEF-C233-8EE3-E4337A0ED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19</xdr:row>
      <xdr:rowOff>61911</xdr:rowOff>
    </xdr:from>
    <xdr:to>
      <xdr:col>7</xdr:col>
      <xdr:colOff>28575</xdr:colOff>
      <xdr:row>35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6817F9-169B-F907-793D-0FD29A65A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180974</xdr:colOff>
      <xdr:row>19</xdr:row>
      <xdr:rowOff>28574</xdr:rowOff>
    </xdr:from>
    <xdr:to>
      <xdr:col>25</xdr:col>
      <xdr:colOff>314325</xdr:colOff>
      <xdr:row>35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4CA84B-271A-9FDE-6F18-DEFA84985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209549</xdr:colOff>
      <xdr:row>3</xdr:row>
      <xdr:rowOff>76200</xdr:rowOff>
    </xdr:from>
    <xdr:to>
      <xdr:col>25</xdr:col>
      <xdr:colOff>304800</xdr:colOff>
      <xdr:row>19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93C2DFA-073E-AF46-9834-E33087C9C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4</xdr:row>
      <xdr:rowOff>33337</xdr:rowOff>
    </xdr:from>
    <xdr:to>
      <xdr:col>7</xdr:col>
      <xdr:colOff>609599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03EB8-DB74-37C8-A04B-6CAB59AB3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66674</xdr:colOff>
      <xdr:row>4</xdr:row>
      <xdr:rowOff>23811</xdr:rowOff>
    </xdr:from>
    <xdr:to>
      <xdr:col>18</xdr:col>
      <xdr:colOff>95249</xdr:colOff>
      <xdr:row>19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514D6-A58A-0F0C-AD64-9B3CF5E33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47624</xdr:colOff>
      <xdr:row>20</xdr:row>
      <xdr:rowOff>52386</xdr:rowOff>
    </xdr:from>
    <xdr:to>
      <xdr:col>7</xdr:col>
      <xdr:colOff>600074</xdr:colOff>
      <xdr:row>36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EBCB78-8E6D-FD4F-9D54-F59E14533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28574</xdr:colOff>
      <xdr:row>3</xdr:row>
      <xdr:rowOff>185737</xdr:rowOff>
    </xdr:from>
    <xdr:to>
      <xdr:col>23</xdr:col>
      <xdr:colOff>609599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86358-7F32-9BB1-4D0B-1561B6844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5</xdr:row>
      <xdr:rowOff>14286</xdr:rowOff>
    </xdr:from>
    <xdr:to>
      <xdr:col>22</xdr:col>
      <xdr:colOff>762000</xdr:colOff>
      <xdr:row>23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E58EC1-8AAE-77E3-85AC-6B95CAE37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B83E-C437-4E53-9C89-69F2D2668626}">
  <dimension ref="A1:G97"/>
  <sheetViews>
    <sheetView topLeftCell="A50" workbookViewId="0">
      <selection activeCell="A35" sqref="A35"/>
    </sheetView>
  </sheetViews>
  <sheetFormatPr defaultRowHeight="15" x14ac:dyDescent="0.25"/>
  <cols>
    <col min="1" max="1" width="21.7109375" customWidth="1"/>
    <col min="2" max="2" width="12.7109375" customWidth="1"/>
    <col min="3" max="40" width="10.7109375" customWidth="1"/>
  </cols>
  <sheetData>
    <row r="1" spans="1:5" ht="26.25" x14ac:dyDescent="0.4">
      <c r="A1" s="9" t="s">
        <v>0</v>
      </c>
    </row>
    <row r="2" spans="1:5" ht="21" x14ac:dyDescent="0.35">
      <c r="A2" s="11" t="s">
        <v>172</v>
      </c>
      <c r="B2" s="12" t="s">
        <v>114</v>
      </c>
    </row>
    <row r="4" spans="1:5" ht="21" x14ac:dyDescent="0.35">
      <c r="A4" s="8" t="s">
        <v>1</v>
      </c>
    </row>
    <row r="6" spans="1:5" x14ac:dyDescent="0.25">
      <c r="A6" s="13" t="s">
        <v>174</v>
      </c>
      <c r="B6" s="23">
        <v>46143</v>
      </c>
    </row>
    <row r="7" spans="1:5" ht="15.75" thickBot="1" x14ac:dyDescent="0.3">
      <c r="A7" s="13"/>
      <c r="B7" s="14"/>
    </row>
    <row r="8" spans="1:5" ht="15.75" thickBot="1" x14ac:dyDescent="0.3">
      <c r="B8" s="15" t="s">
        <v>8</v>
      </c>
      <c r="C8" s="16" t="s">
        <v>7</v>
      </c>
    </row>
    <row r="9" spans="1:5" x14ac:dyDescent="0.25">
      <c r="B9" s="13"/>
      <c r="C9" s="13"/>
    </row>
    <row r="10" spans="1:5" x14ac:dyDescent="0.25">
      <c r="B10" s="1" t="s">
        <v>13</v>
      </c>
      <c r="C10" s="2">
        <v>46143</v>
      </c>
      <c r="E10" s="4" t="s">
        <v>173</v>
      </c>
    </row>
    <row r="11" spans="1:5" x14ac:dyDescent="0.25">
      <c r="B11" s="1" t="s">
        <v>14</v>
      </c>
      <c r="C11" s="2">
        <v>46144</v>
      </c>
    </row>
    <row r="12" spans="1:5" x14ac:dyDescent="0.25">
      <c r="B12" s="1" t="s">
        <v>15</v>
      </c>
      <c r="C12" s="2">
        <v>46145</v>
      </c>
    </row>
    <row r="13" spans="1:5" x14ac:dyDescent="0.25">
      <c r="B13" s="1" t="s">
        <v>9</v>
      </c>
      <c r="C13" s="2">
        <v>46146</v>
      </c>
    </row>
    <row r="14" spans="1:5" x14ac:dyDescent="0.25">
      <c r="B14" s="1" t="s">
        <v>10</v>
      </c>
      <c r="C14" s="2">
        <v>46147</v>
      </c>
    </row>
    <row r="15" spans="1:5" x14ac:dyDescent="0.25">
      <c r="B15" s="1" t="s">
        <v>11</v>
      </c>
      <c r="C15" s="2">
        <v>46148</v>
      </c>
    </row>
    <row r="16" spans="1:5" x14ac:dyDescent="0.25">
      <c r="B16" s="1" t="s">
        <v>12</v>
      </c>
      <c r="C16" s="2">
        <v>46149</v>
      </c>
    </row>
    <row r="17" spans="2:3" x14ac:dyDescent="0.25">
      <c r="B17" s="1" t="s">
        <v>13</v>
      </c>
      <c r="C17" s="2">
        <v>46150</v>
      </c>
    </row>
    <row r="18" spans="2:3" x14ac:dyDescent="0.25">
      <c r="B18" s="1" t="s">
        <v>14</v>
      </c>
      <c r="C18" s="2">
        <v>46151</v>
      </c>
    </row>
    <row r="19" spans="2:3" x14ac:dyDescent="0.25">
      <c r="B19" s="1" t="s">
        <v>15</v>
      </c>
      <c r="C19" s="2">
        <v>46152</v>
      </c>
    </row>
    <row r="20" spans="2:3" x14ac:dyDescent="0.25">
      <c r="B20" s="1" t="s">
        <v>9</v>
      </c>
      <c r="C20" s="2">
        <v>46153</v>
      </c>
    </row>
    <row r="21" spans="2:3" x14ac:dyDescent="0.25">
      <c r="B21" s="1" t="s">
        <v>10</v>
      </c>
      <c r="C21" s="2">
        <v>46154</v>
      </c>
    </row>
    <row r="22" spans="2:3" x14ac:dyDescent="0.25">
      <c r="B22" s="1" t="s">
        <v>11</v>
      </c>
      <c r="C22" s="2">
        <v>46155</v>
      </c>
    </row>
    <row r="23" spans="2:3" x14ac:dyDescent="0.25">
      <c r="B23" s="1" t="s">
        <v>12</v>
      </c>
      <c r="C23" s="2">
        <v>46156</v>
      </c>
    </row>
    <row r="24" spans="2:3" x14ac:dyDescent="0.25">
      <c r="B24" s="1" t="s">
        <v>13</v>
      </c>
      <c r="C24" s="2">
        <v>46157</v>
      </c>
    </row>
    <row r="25" spans="2:3" x14ac:dyDescent="0.25">
      <c r="B25" s="1" t="s">
        <v>14</v>
      </c>
      <c r="C25" s="2">
        <v>46158</v>
      </c>
    </row>
    <row r="26" spans="2:3" x14ac:dyDescent="0.25">
      <c r="B26" s="1" t="s">
        <v>15</v>
      </c>
      <c r="C26" s="2">
        <v>46159</v>
      </c>
    </row>
    <row r="27" spans="2:3" x14ac:dyDescent="0.25">
      <c r="B27" s="1" t="s">
        <v>9</v>
      </c>
      <c r="C27" s="2">
        <v>46160</v>
      </c>
    </row>
    <row r="28" spans="2:3" x14ac:dyDescent="0.25">
      <c r="B28" s="1" t="s">
        <v>10</v>
      </c>
      <c r="C28" s="2">
        <v>46161</v>
      </c>
    </row>
    <row r="29" spans="2:3" x14ac:dyDescent="0.25">
      <c r="B29" s="1" t="s">
        <v>11</v>
      </c>
      <c r="C29" s="2">
        <v>46162</v>
      </c>
    </row>
    <row r="30" spans="2:3" x14ac:dyDescent="0.25">
      <c r="B30" s="1" t="s">
        <v>12</v>
      </c>
      <c r="C30" s="2">
        <v>46163</v>
      </c>
    </row>
    <row r="31" spans="2:3" x14ac:dyDescent="0.25">
      <c r="B31" s="1" t="s">
        <v>13</v>
      </c>
      <c r="C31" s="2">
        <v>46164</v>
      </c>
    </row>
    <row r="32" spans="2:3" x14ac:dyDescent="0.25">
      <c r="B32" s="1" t="s">
        <v>14</v>
      </c>
      <c r="C32" s="2">
        <v>46165</v>
      </c>
    </row>
    <row r="33" spans="1:7" x14ac:dyDescent="0.25">
      <c r="B33" s="1" t="s">
        <v>15</v>
      </c>
      <c r="C33" s="2">
        <v>46166</v>
      </c>
    </row>
    <row r="34" spans="1:7" x14ac:dyDescent="0.25">
      <c r="B34" s="1" t="s">
        <v>9</v>
      </c>
      <c r="C34" s="2">
        <v>46167</v>
      </c>
    </row>
    <row r="35" spans="1:7" x14ac:dyDescent="0.25">
      <c r="B35" s="1" t="s">
        <v>10</v>
      </c>
      <c r="C35" s="2">
        <v>46168</v>
      </c>
    </row>
    <row r="36" spans="1:7" x14ac:dyDescent="0.25">
      <c r="B36" s="1" t="s">
        <v>11</v>
      </c>
      <c r="C36" s="2">
        <v>46169</v>
      </c>
    </row>
    <row r="37" spans="1:7" x14ac:dyDescent="0.25">
      <c r="B37" s="1" t="s">
        <v>12</v>
      </c>
      <c r="C37" s="2">
        <v>46170</v>
      </c>
    </row>
    <row r="38" spans="1:7" x14ac:dyDescent="0.25">
      <c r="B38" s="1" t="s">
        <v>13</v>
      </c>
      <c r="C38" s="2">
        <v>46171</v>
      </c>
    </row>
    <row r="39" spans="1:7" x14ac:dyDescent="0.25">
      <c r="B39" s="1" t="s">
        <v>14</v>
      </c>
      <c r="C39" s="2">
        <v>46172</v>
      </c>
    </row>
    <row r="40" spans="1:7" x14ac:dyDescent="0.25">
      <c r="B40" s="1" t="s">
        <v>15</v>
      </c>
      <c r="C40" s="2">
        <v>46173</v>
      </c>
    </row>
    <row r="42" spans="1:7" ht="15.75" thickBot="1" x14ac:dyDescent="0.3"/>
    <row r="43" spans="1:7" ht="15.75" thickBot="1" x14ac:dyDescent="0.3">
      <c r="B43" s="15">
        <v>1</v>
      </c>
      <c r="C43" s="16">
        <v>2</v>
      </c>
      <c r="D43" s="17">
        <v>3</v>
      </c>
      <c r="E43" s="18">
        <v>4</v>
      </c>
      <c r="F43" s="19">
        <v>5</v>
      </c>
      <c r="G43" s="20">
        <v>6</v>
      </c>
    </row>
    <row r="44" spans="1:7" x14ac:dyDescent="0.25">
      <c r="A44" s="3" t="s">
        <v>2</v>
      </c>
      <c r="B44" s="21" t="s">
        <v>247</v>
      </c>
      <c r="C44" s="21" t="s">
        <v>248</v>
      </c>
      <c r="D44" s="21" t="s">
        <v>249</v>
      </c>
      <c r="E44" s="21" t="s">
        <v>250</v>
      </c>
      <c r="F44" s="21" t="s">
        <v>194</v>
      </c>
      <c r="G44" s="21" t="s">
        <v>195</v>
      </c>
    </row>
    <row r="46" spans="1:7" ht="15.75" thickBot="1" x14ac:dyDescent="0.3"/>
    <row r="47" spans="1:7" ht="15.75" thickBot="1" x14ac:dyDescent="0.3">
      <c r="B47" s="46">
        <v>1</v>
      </c>
      <c r="C47" s="17">
        <v>2</v>
      </c>
      <c r="D47" s="47">
        <v>3</v>
      </c>
      <c r="E47" s="17">
        <v>4</v>
      </c>
      <c r="F47" s="46">
        <v>5</v>
      </c>
    </row>
    <row r="48" spans="1:7" x14ac:dyDescent="0.25">
      <c r="A48" s="3" t="s">
        <v>3</v>
      </c>
    </row>
    <row r="49" spans="1:6" x14ac:dyDescent="0.25">
      <c r="A49" t="s">
        <v>6</v>
      </c>
      <c r="B49" s="22"/>
      <c r="C49" s="5"/>
      <c r="D49" s="5"/>
      <c r="E49" s="5"/>
      <c r="F49" s="22"/>
    </row>
    <row r="50" spans="1:6" x14ac:dyDescent="0.25">
      <c r="A50" t="s">
        <v>4</v>
      </c>
      <c r="B50" s="5"/>
      <c r="C50" s="5"/>
      <c r="D50" s="22"/>
      <c r="E50" s="5"/>
      <c r="F50" s="5"/>
    </row>
    <row r="51" spans="1:6" x14ac:dyDescent="0.25">
      <c r="A51" t="s">
        <v>5</v>
      </c>
      <c r="B51" s="5"/>
      <c r="C51" s="22"/>
      <c r="D51" s="5"/>
      <c r="E51" s="22"/>
      <c r="F51" s="5"/>
    </row>
    <row r="54" spans="1:6" x14ac:dyDescent="0.25">
      <c r="A54" s="3" t="s">
        <v>61</v>
      </c>
    </row>
    <row r="55" spans="1:6" x14ac:dyDescent="0.25">
      <c r="A55" t="s">
        <v>78</v>
      </c>
    </row>
    <row r="56" spans="1:6" x14ac:dyDescent="0.25">
      <c r="A56" t="s">
        <v>79</v>
      </c>
    </row>
    <row r="57" spans="1:6" x14ac:dyDescent="0.25">
      <c r="A57" t="s">
        <v>80</v>
      </c>
    </row>
    <row r="58" spans="1:6" x14ac:dyDescent="0.25">
      <c r="A58" t="s">
        <v>81</v>
      </c>
    </row>
    <row r="59" spans="1:6" x14ac:dyDescent="0.25">
      <c r="A59" t="s">
        <v>232</v>
      </c>
    </row>
    <row r="60" spans="1:6" x14ac:dyDescent="0.25">
      <c r="A60" t="s">
        <v>82</v>
      </c>
    </row>
    <row r="61" spans="1:6" x14ac:dyDescent="0.25">
      <c r="A61" t="s">
        <v>233</v>
      </c>
    </row>
    <row r="62" spans="1:6" x14ac:dyDescent="0.25">
      <c r="A62" t="s">
        <v>240</v>
      </c>
    </row>
    <row r="63" spans="1:6" x14ac:dyDescent="0.25">
      <c r="A63" t="s">
        <v>83</v>
      </c>
    </row>
    <row r="64" spans="1:6" x14ac:dyDescent="0.25">
      <c r="A64" t="s">
        <v>84</v>
      </c>
    </row>
    <row r="65" spans="1:1" x14ac:dyDescent="0.25">
      <c r="A65" t="s">
        <v>234</v>
      </c>
    </row>
    <row r="66" spans="1:1" x14ac:dyDescent="0.25">
      <c r="A66" t="s">
        <v>85</v>
      </c>
    </row>
    <row r="67" spans="1:1" x14ac:dyDescent="0.25">
      <c r="A67" t="s">
        <v>87</v>
      </c>
    </row>
    <row r="68" spans="1:1" x14ac:dyDescent="0.25">
      <c r="A68" t="s">
        <v>86</v>
      </c>
    </row>
    <row r="69" spans="1:1" x14ac:dyDescent="0.25">
      <c r="A69" t="s">
        <v>235</v>
      </c>
    </row>
    <row r="70" spans="1:1" x14ac:dyDescent="0.25">
      <c r="A70" t="s">
        <v>88</v>
      </c>
    </row>
    <row r="71" spans="1:1" x14ac:dyDescent="0.25">
      <c r="A71" t="s">
        <v>89</v>
      </c>
    </row>
    <row r="72" spans="1:1" x14ac:dyDescent="0.25">
      <c r="A72" t="s">
        <v>90</v>
      </c>
    </row>
    <row r="73" spans="1:1" x14ac:dyDescent="0.25">
      <c r="A73" t="s">
        <v>91</v>
      </c>
    </row>
    <row r="74" spans="1:1" x14ac:dyDescent="0.25">
      <c r="A74" t="s">
        <v>236</v>
      </c>
    </row>
    <row r="75" spans="1:1" x14ac:dyDescent="0.25">
      <c r="A75" t="s">
        <v>92</v>
      </c>
    </row>
    <row r="76" spans="1:1" x14ac:dyDescent="0.25">
      <c r="A76" t="s">
        <v>93</v>
      </c>
    </row>
    <row r="77" spans="1:1" x14ac:dyDescent="0.25">
      <c r="A77" t="s">
        <v>94</v>
      </c>
    </row>
    <row r="78" spans="1:1" x14ac:dyDescent="0.25">
      <c r="A78" t="s">
        <v>95</v>
      </c>
    </row>
    <row r="79" spans="1:1" x14ac:dyDescent="0.25">
      <c r="A79" t="s">
        <v>238</v>
      </c>
    </row>
    <row r="80" spans="1:1" x14ac:dyDescent="0.25">
      <c r="A80" t="s">
        <v>96</v>
      </c>
    </row>
    <row r="81" spans="1:1" x14ac:dyDescent="0.25">
      <c r="A81" t="s">
        <v>97</v>
      </c>
    </row>
    <row r="82" spans="1:1" x14ac:dyDescent="0.25">
      <c r="A82" t="s">
        <v>239</v>
      </c>
    </row>
    <row r="83" spans="1:1" x14ac:dyDescent="0.25">
      <c r="A83" t="s">
        <v>98</v>
      </c>
    </row>
    <row r="84" spans="1:1" x14ac:dyDescent="0.25">
      <c r="A84" t="s">
        <v>237</v>
      </c>
    </row>
    <row r="85" spans="1:1" x14ac:dyDescent="0.25">
      <c r="A85" t="s">
        <v>99</v>
      </c>
    </row>
    <row r="87" spans="1:1" x14ac:dyDescent="0.25">
      <c r="A87" s="3" t="s">
        <v>100</v>
      </c>
    </row>
    <row r="88" spans="1:1" x14ac:dyDescent="0.25">
      <c r="A88" t="s">
        <v>101</v>
      </c>
    </row>
    <row r="89" spans="1:1" x14ac:dyDescent="0.25">
      <c r="A89" t="s">
        <v>102</v>
      </c>
    </row>
    <row r="90" spans="1:1" x14ac:dyDescent="0.25">
      <c r="A90" t="s">
        <v>103</v>
      </c>
    </row>
    <row r="91" spans="1:1" x14ac:dyDescent="0.25">
      <c r="A91" t="s">
        <v>104</v>
      </c>
    </row>
    <row r="92" spans="1:1" x14ac:dyDescent="0.25">
      <c r="A92" t="s">
        <v>105</v>
      </c>
    </row>
    <row r="93" spans="1:1" x14ac:dyDescent="0.25">
      <c r="A93" t="s">
        <v>106</v>
      </c>
    </row>
    <row r="94" spans="1:1" x14ac:dyDescent="0.25">
      <c r="A94" t="s">
        <v>107</v>
      </c>
    </row>
    <row r="95" spans="1:1" x14ac:dyDescent="0.25">
      <c r="A95" t="s">
        <v>108</v>
      </c>
    </row>
    <row r="96" spans="1:1" x14ac:dyDescent="0.25">
      <c r="A96" t="s">
        <v>109</v>
      </c>
    </row>
    <row r="97" spans="1:1" x14ac:dyDescent="0.25">
      <c r="A97" t="s">
        <v>110</v>
      </c>
    </row>
  </sheetData>
  <sortState xmlns:xlrd2="http://schemas.microsoft.com/office/spreadsheetml/2017/richdata2" ref="A55:A85">
    <sortCondition ref="A55:A85"/>
  </sortState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2555-E948-4A71-BD57-00C685D65109}">
  <dimension ref="A1:AG43"/>
  <sheetViews>
    <sheetView workbookViewId="0">
      <selection activeCell="L17" sqref="L17"/>
    </sheetView>
  </sheetViews>
  <sheetFormatPr defaultRowHeight="15" x14ac:dyDescent="0.25"/>
  <cols>
    <col min="1" max="1" width="37.85546875" customWidth="1"/>
    <col min="2" max="33" width="10.7109375" style="5" customWidth="1"/>
  </cols>
  <sheetData>
    <row r="1" spans="1:33" ht="26.25" x14ac:dyDescent="0.4">
      <c r="A1" s="9" t="str">
        <f>+Input!B2</f>
        <v>ENGEN JETPARK</v>
      </c>
    </row>
    <row r="3" spans="1:33" ht="24.75" thickBot="1" x14ac:dyDescent="0.45">
      <c r="A3" s="10" t="s">
        <v>196</v>
      </c>
      <c r="B3" s="236">
        <f>+Input!B6</f>
        <v>46143</v>
      </c>
      <c r="C3" s="236"/>
      <c r="D3" s="236"/>
    </row>
    <row r="4" spans="1:33" ht="15.75" thickBot="1" x14ac:dyDescent="0.3"/>
    <row r="5" spans="1:33" ht="15.75" thickBot="1" x14ac:dyDescent="0.3">
      <c r="A5" s="40" t="s">
        <v>27</v>
      </c>
      <c r="B5" s="46" t="s">
        <v>16</v>
      </c>
      <c r="C5" s="47" t="s">
        <v>186</v>
      </c>
      <c r="D5" s="17" t="s">
        <v>185</v>
      </c>
      <c r="E5" s="142"/>
      <c r="F5" s="143"/>
      <c r="H5" s="6"/>
      <c r="I5" s="6"/>
      <c r="J5" s="6"/>
      <c r="K5" s="6"/>
      <c r="L5" s="6"/>
    </row>
    <row r="6" spans="1:33" x14ac:dyDescent="0.25">
      <c r="A6" s="39" t="s">
        <v>20</v>
      </c>
      <c r="B6" s="22">
        <f>+'SS26'!B8</f>
        <v>0</v>
      </c>
      <c r="C6" s="22">
        <f>+'SS26'!C8</f>
        <v>0</v>
      </c>
      <c r="D6" s="22">
        <f>+'SS26'!D8</f>
        <v>0</v>
      </c>
      <c r="G6" s="144"/>
    </row>
    <row r="7" spans="1:33" x14ac:dyDescent="0.25">
      <c r="A7" s="39" t="s">
        <v>19</v>
      </c>
      <c r="B7" s="22">
        <f>+'SS26'!B9</f>
        <v>1659.39</v>
      </c>
      <c r="C7" s="22">
        <f>+'SS26'!C9</f>
        <v>40.06</v>
      </c>
      <c r="D7" s="22">
        <f>+'SS26'!D9</f>
        <v>1920.7</v>
      </c>
      <c r="G7" s="144"/>
      <c r="I7" s="144"/>
      <c r="J7" s="144"/>
      <c r="K7" s="144"/>
      <c r="L7" s="144"/>
    </row>
    <row r="8" spans="1:33" x14ac:dyDescent="0.25">
      <c r="A8" s="39" t="s">
        <v>197</v>
      </c>
      <c r="B8" s="30">
        <f>+'SS26'!B11</f>
        <v>0</v>
      </c>
      <c r="C8" s="30">
        <f>+'SS26'!C11</f>
        <v>0</v>
      </c>
      <c r="D8" s="30">
        <f>+'SS26'!D11</f>
        <v>0</v>
      </c>
      <c r="G8" s="144"/>
      <c r="I8" s="145"/>
      <c r="J8" s="145"/>
      <c r="K8" s="145"/>
      <c r="L8" s="145"/>
    </row>
    <row r="9" spans="1:33" x14ac:dyDescent="0.25">
      <c r="A9" s="87" t="s">
        <v>22</v>
      </c>
      <c r="B9" s="30">
        <f>+'30'!B14</f>
        <v>0</v>
      </c>
      <c r="C9" s="30">
        <f>+'30'!C14</f>
        <v>0</v>
      </c>
      <c r="D9" s="30">
        <f>+'30'!D14</f>
        <v>0</v>
      </c>
    </row>
    <row r="10" spans="1:33" x14ac:dyDescent="0.25">
      <c r="A10" s="53" t="s">
        <v>23</v>
      </c>
      <c r="B10" s="31">
        <f>+'30'!B15</f>
        <v>0</v>
      </c>
      <c r="C10" s="31">
        <f>+'30'!C15</f>
        <v>0</v>
      </c>
      <c r="D10" s="31">
        <f>+'30'!D15</f>
        <v>0</v>
      </c>
    </row>
    <row r="11" spans="1:33" x14ac:dyDescent="0.25">
      <c r="A11" s="89" t="s">
        <v>24</v>
      </c>
      <c r="B11" s="146">
        <f>+B9-B10</f>
        <v>0</v>
      </c>
      <c r="C11" s="146">
        <f>+C9-C10</f>
        <v>0</v>
      </c>
      <c r="D11" s="146">
        <f>+D9-D10</f>
        <v>0</v>
      </c>
      <c r="E11" s="144"/>
      <c r="F11" s="144"/>
    </row>
    <row r="12" spans="1:33" x14ac:dyDescent="0.25">
      <c r="A12" s="128" t="s">
        <v>25</v>
      </c>
      <c r="B12" s="129" t="e">
        <f>+B11/B9</f>
        <v>#DIV/0!</v>
      </c>
      <c r="C12" s="129" t="e">
        <f>+C11/C9</f>
        <v>#DIV/0!</v>
      </c>
      <c r="D12" s="129" t="e">
        <f>+D11/D9</f>
        <v>#DIV/0!</v>
      </c>
      <c r="E12" s="145"/>
      <c r="F12" s="145"/>
    </row>
    <row r="15" spans="1:33" x14ac:dyDescent="0.25">
      <c r="A15" s="40" t="s">
        <v>26</v>
      </c>
      <c r="B15" s="150" t="s">
        <v>68</v>
      </c>
      <c r="C15" s="147">
        <v>1</v>
      </c>
      <c r="D15" s="147">
        <f>+C15+1</f>
        <v>2</v>
      </c>
      <c r="E15" s="147">
        <f t="shared" ref="E15:AG15" si="0">+D15+1</f>
        <v>3</v>
      </c>
      <c r="F15" s="147">
        <f t="shared" si="0"/>
        <v>4</v>
      </c>
      <c r="G15" s="147">
        <f t="shared" si="0"/>
        <v>5</v>
      </c>
      <c r="H15" s="147">
        <f t="shared" si="0"/>
        <v>6</v>
      </c>
      <c r="I15" s="147">
        <f t="shared" si="0"/>
        <v>7</v>
      </c>
      <c r="J15" s="147">
        <f t="shared" si="0"/>
        <v>8</v>
      </c>
      <c r="K15" s="147">
        <f t="shared" si="0"/>
        <v>9</v>
      </c>
      <c r="L15" s="147">
        <f t="shared" si="0"/>
        <v>10</v>
      </c>
      <c r="M15" s="147">
        <f t="shared" si="0"/>
        <v>11</v>
      </c>
      <c r="N15" s="147">
        <f t="shared" si="0"/>
        <v>12</v>
      </c>
      <c r="O15" s="147">
        <f t="shared" si="0"/>
        <v>13</v>
      </c>
      <c r="P15" s="147">
        <f t="shared" si="0"/>
        <v>14</v>
      </c>
      <c r="Q15" s="147">
        <f t="shared" si="0"/>
        <v>15</v>
      </c>
      <c r="R15" s="147">
        <f t="shared" si="0"/>
        <v>16</v>
      </c>
      <c r="S15" s="147">
        <f t="shared" si="0"/>
        <v>17</v>
      </c>
      <c r="T15" s="147">
        <f t="shared" si="0"/>
        <v>18</v>
      </c>
      <c r="U15" s="147">
        <f t="shared" si="0"/>
        <v>19</v>
      </c>
      <c r="V15" s="147">
        <f t="shared" si="0"/>
        <v>20</v>
      </c>
      <c r="W15" s="147">
        <f t="shared" si="0"/>
        <v>21</v>
      </c>
      <c r="X15" s="147">
        <f t="shared" si="0"/>
        <v>22</v>
      </c>
      <c r="Y15" s="147">
        <f t="shared" si="0"/>
        <v>23</v>
      </c>
      <c r="Z15" s="147">
        <f t="shared" si="0"/>
        <v>24</v>
      </c>
      <c r="AA15" s="147">
        <f t="shared" si="0"/>
        <v>25</v>
      </c>
      <c r="AB15" s="147">
        <f t="shared" si="0"/>
        <v>26</v>
      </c>
      <c r="AC15" s="147">
        <f t="shared" si="0"/>
        <v>27</v>
      </c>
      <c r="AD15" s="147">
        <f t="shared" si="0"/>
        <v>28</v>
      </c>
      <c r="AE15" s="147">
        <f t="shared" si="0"/>
        <v>29</v>
      </c>
      <c r="AF15" s="147">
        <f t="shared" si="0"/>
        <v>30</v>
      </c>
      <c r="AG15" s="147">
        <f t="shared" si="0"/>
        <v>31</v>
      </c>
    </row>
    <row r="16" spans="1:33" x14ac:dyDescent="0.25">
      <c r="A16" s="52" t="s">
        <v>28</v>
      </c>
      <c r="B16" s="66">
        <f>SUM(C16:AG16)</f>
        <v>0</v>
      </c>
      <c r="C16" s="56">
        <f>+'1'!B21</f>
        <v>0</v>
      </c>
      <c r="D16" s="30">
        <f>+'2'!B21</f>
        <v>0</v>
      </c>
      <c r="E16" s="30">
        <f>+'3'!B21</f>
        <v>0</v>
      </c>
      <c r="F16" s="30">
        <f>+'4'!B21</f>
        <v>0</v>
      </c>
      <c r="G16" s="30">
        <f>+'5'!B21</f>
        <v>0</v>
      </c>
      <c r="H16" s="30">
        <f>+'6'!B21</f>
        <v>0</v>
      </c>
      <c r="I16" s="30">
        <f>+'7'!B21</f>
        <v>0</v>
      </c>
      <c r="J16" s="30">
        <f>+'8'!B21</f>
        <v>0</v>
      </c>
      <c r="K16" s="30">
        <f>+'9'!B21</f>
        <v>0</v>
      </c>
      <c r="L16" s="30">
        <f>+'10'!B21</f>
        <v>0</v>
      </c>
      <c r="M16" s="30">
        <f>+'11'!B21</f>
        <v>0</v>
      </c>
      <c r="N16" s="30">
        <f>+'12'!B21</f>
        <v>0</v>
      </c>
      <c r="O16" s="30">
        <f>+'13'!B21</f>
        <v>0</v>
      </c>
      <c r="P16" s="30">
        <f>+'14'!B21</f>
        <v>0</v>
      </c>
      <c r="Q16" s="30">
        <f>+'15'!B21</f>
        <v>0</v>
      </c>
      <c r="R16" s="30">
        <f>+'16'!B21</f>
        <v>0</v>
      </c>
      <c r="S16" s="30">
        <f>+'17'!B21</f>
        <v>0</v>
      </c>
      <c r="T16" s="30">
        <f>+'18'!B21</f>
        <v>0</v>
      </c>
      <c r="U16" s="30">
        <f>+'19'!B21</f>
        <v>0</v>
      </c>
      <c r="V16" s="30">
        <f>+'20'!B21</f>
        <v>0</v>
      </c>
      <c r="W16" s="30">
        <f>+'21'!B21</f>
        <v>0</v>
      </c>
      <c r="X16" s="30">
        <f>+'22'!B21</f>
        <v>0</v>
      </c>
      <c r="Y16" s="30">
        <f>+'23'!B21</f>
        <v>0</v>
      </c>
      <c r="Z16" s="30">
        <f>+'24'!B21</f>
        <v>0</v>
      </c>
      <c r="AA16" s="30">
        <f>+'25'!B21</f>
        <v>0</v>
      </c>
      <c r="AB16" s="30">
        <f>+'26'!B21</f>
        <v>0</v>
      </c>
      <c r="AC16" s="30">
        <f>+'27'!B21</f>
        <v>0</v>
      </c>
      <c r="AD16" s="30">
        <f>+'28'!B21</f>
        <v>0</v>
      </c>
      <c r="AE16" s="30">
        <f>+'29'!B21</f>
        <v>0</v>
      </c>
      <c r="AF16" s="30">
        <f>+'30'!B21</f>
        <v>0</v>
      </c>
      <c r="AG16" s="30">
        <f>+'31'!B21</f>
        <v>0</v>
      </c>
    </row>
    <row r="17" spans="1:33" x14ac:dyDescent="0.25">
      <c r="A17" s="53" t="s">
        <v>70</v>
      </c>
      <c r="B17" s="44">
        <f>SUM(C17:AG17)</f>
        <v>0</v>
      </c>
      <c r="C17" s="59">
        <f>+'1'!B22</f>
        <v>0</v>
      </c>
      <c r="D17" s="31">
        <f>+'2'!B22</f>
        <v>0</v>
      </c>
      <c r="E17" s="31">
        <f>+'3'!B22</f>
        <v>0</v>
      </c>
      <c r="F17" s="31">
        <f>+'4'!B22</f>
        <v>0</v>
      </c>
      <c r="G17" s="31">
        <f>+'5'!B22</f>
        <v>0</v>
      </c>
      <c r="H17" s="31">
        <f>+'6'!B22</f>
        <v>0</v>
      </c>
      <c r="I17" s="31">
        <f>+'7'!B22</f>
        <v>0</v>
      </c>
      <c r="J17" s="31">
        <f>+'8'!B22</f>
        <v>0</v>
      </c>
      <c r="K17" s="31">
        <f>+'9'!B22</f>
        <v>0</v>
      </c>
      <c r="L17" s="31">
        <f>+'10'!B22</f>
        <v>0</v>
      </c>
      <c r="M17" s="31">
        <f>+'11'!B22</f>
        <v>0</v>
      </c>
      <c r="N17" s="31">
        <f>+'12'!B22</f>
        <v>0</v>
      </c>
      <c r="O17" s="31">
        <f>+'13'!B22</f>
        <v>0</v>
      </c>
      <c r="P17" s="31">
        <f>+'14'!B22</f>
        <v>0</v>
      </c>
      <c r="Q17" s="31">
        <f>+'15'!B22</f>
        <v>0</v>
      </c>
      <c r="R17" s="31">
        <f>+'16'!B22</f>
        <v>0</v>
      </c>
      <c r="S17" s="31">
        <f>+'17'!B22</f>
        <v>0</v>
      </c>
      <c r="T17" s="31">
        <f>+'18'!B22</f>
        <v>0</v>
      </c>
      <c r="U17" s="31">
        <f>+'19'!B22</f>
        <v>0</v>
      </c>
      <c r="V17" s="31">
        <f>+'20'!B22</f>
        <v>0</v>
      </c>
      <c r="W17" s="31">
        <f>+'21'!B22</f>
        <v>0</v>
      </c>
      <c r="X17" s="31">
        <f>+'22'!B22</f>
        <v>0</v>
      </c>
      <c r="Y17" s="31">
        <f>+'23'!B22</f>
        <v>0</v>
      </c>
      <c r="Z17" s="31">
        <f>+'24'!B22</f>
        <v>0</v>
      </c>
      <c r="AA17" s="31">
        <f>+'25'!B22</f>
        <v>0</v>
      </c>
      <c r="AB17" s="31">
        <f>+'26'!B22</f>
        <v>0</v>
      </c>
      <c r="AC17" s="31">
        <f>+'27'!B22</f>
        <v>0</v>
      </c>
      <c r="AD17" s="31">
        <f>+'28'!B22</f>
        <v>0</v>
      </c>
      <c r="AE17" s="31">
        <f>+'29'!B22</f>
        <v>0</v>
      </c>
      <c r="AF17" s="31">
        <f>+'30'!B22</f>
        <v>0</v>
      </c>
      <c r="AG17" s="31">
        <f>+'31'!B22</f>
        <v>0</v>
      </c>
    </row>
    <row r="18" spans="1:33" x14ac:dyDescent="0.25">
      <c r="A18" s="89" t="s">
        <v>30</v>
      </c>
      <c r="B18" s="146">
        <f>SUM(B16:B17)</f>
        <v>0</v>
      </c>
      <c r="C18" s="124">
        <f>SUM(C16:C17)</f>
        <v>0</v>
      </c>
      <c r="D18" s="124">
        <f t="shared" ref="D18:AG18" si="1">SUM(D16:D17)</f>
        <v>0</v>
      </c>
      <c r="E18" s="124">
        <f t="shared" si="1"/>
        <v>0</v>
      </c>
      <c r="F18" s="124">
        <f t="shared" si="1"/>
        <v>0</v>
      </c>
      <c r="G18" s="124">
        <f t="shared" si="1"/>
        <v>0</v>
      </c>
      <c r="H18" s="124">
        <f t="shared" si="1"/>
        <v>0</v>
      </c>
      <c r="I18" s="124">
        <f t="shared" si="1"/>
        <v>0</v>
      </c>
      <c r="J18" s="124">
        <f t="shared" si="1"/>
        <v>0</v>
      </c>
      <c r="K18" s="124">
        <f t="shared" si="1"/>
        <v>0</v>
      </c>
      <c r="L18" s="124">
        <f t="shared" si="1"/>
        <v>0</v>
      </c>
      <c r="M18" s="124">
        <f t="shared" si="1"/>
        <v>0</v>
      </c>
      <c r="N18" s="124">
        <f t="shared" si="1"/>
        <v>0</v>
      </c>
      <c r="O18" s="124">
        <f t="shared" si="1"/>
        <v>0</v>
      </c>
      <c r="P18" s="124">
        <f t="shared" si="1"/>
        <v>0</v>
      </c>
      <c r="Q18" s="124">
        <f t="shared" si="1"/>
        <v>0</v>
      </c>
      <c r="R18" s="124">
        <f t="shared" si="1"/>
        <v>0</v>
      </c>
      <c r="S18" s="124">
        <f t="shared" si="1"/>
        <v>0</v>
      </c>
      <c r="T18" s="124">
        <f t="shared" si="1"/>
        <v>0</v>
      </c>
      <c r="U18" s="124">
        <f t="shared" si="1"/>
        <v>0</v>
      </c>
      <c r="V18" s="124">
        <f t="shared" si="1"/>
        <v>0</v>
      </c>
      <c r="W18" s="124">
        <f t="shared" si="1"/>
        <v>0</v>
      </c>
      <c r="X18" s="124">
        <f t="shared" si="1"/>
        <v>0</v>
      </c>
      <c r="Y18" s="124">
        <f t="shared" si="1"/>
        <v>0</v>
      </c>
      <c r="Z18" s="124">
        <f t="shared" si="1"/>
        <v>0</v>
      </c>
      <c r="AA18" s="124">
        <f t="shared" si="1"/>
        <v>0</v>
      </c>
      <c r="AB18" s="124">
        <f t="shared" si="1"/>
        <v>0</v>
      </c>
      <c r="AC18" s="124">
        <f t="shared" si="1"/>
        <v>0</v>
      </c>
      <c r="AD18" s="124">
        <f t="shared" si="1"/>
        <v>0</v>
      </c>
      <c r="AE18" s="124">
        <f t="shared" si="1"/>
        <v>0</v>
      </c>
      <c r="AF18" s="124">
        <f t="shared" si="1"/>
        <v>0</v>
      </c>
      <c r="AG18" s="124">
        <f t="shared" si="1"/>
        <v>0</v>
      </c>
    </row>
    <row r="21" spans="1:33" x14ac:dyDescent="0.25">
      <c r="A21" s="148" t="s">
        <v>31</v>
      </c>
      <c r="B21" s="150" t="s">
        <v>68</v>
      </c>
      <c r="C21" s="147">
        <v>1</v>
      </c>
      <c r="D21" s="147">
        <f>+C21+1</f>
        <v>2</v>
      </c>
      <c r="E21" s="147">
        <f t="shared" ref="E21:AG21" si="2">+D21+1</f>
        <v>3</v>
      </c>
      <c r="F21" s="147">
        <f t="shared" si="2"/>
        <v>4</v>
      </c>
      <c r="G21" s="147">
        <f t="shared" si="2"/>
        <v>5</v>
      </c>
      <c r="H21" s="147">
        <f t="shared" si="2"/>
        <v>6</v>
      </c>
      <c r="I21" s="147">
        <f t="shared" si="2"/>
        <v>7</v>
      </c>
      <c r="J21" s="147">
        <f t="shared" si="2"/>
        <v>8</v>
      </c>
      <c r="K21" s="147">
        <f t="shared" si="2"/>
        <v>9</v>
      </c>
      <c r="L21" s="147">
        <f t="shared" si="2"/>
        <v>10</v>
      </c>
      <c r="M21" s="147">
        <f t="shared" si="2"/>
        <v>11</v>
      </c>
      <c r="N21" s="147">
        <f t="shared" si="2"/>
        <v>12</v>
      </c>
      <c r="O21" s="147">
        <f t="shared" si="2"/>
        <v>13</v>
      </c>
      <c r="P21" s="147">
        <f t="shared" si="2"/>
        <v>14</v>
      </c>
      <c r="Q21" s="147">
        <f t="shared" si="2"/>
        <v>15</v>
      </c>
      <c r="R21" s="147">
        <f t="shared" si="2"/>
        <v>16</v>
      </c>
      <c r="S21" s="147">
        <f t="shared" si="2"/>
        <v>17</v>
      </c>
      <c r="T21" s="147">
        <f t="shared" si="2"/>
        <v>18</v>
      </c>
      <c r="U21" s="147">
        <f t="shared" si="2"/>
        <v>19</v>
      </c>
      <c r="V21" s="147">
        <f t="shared" si="2"/>
        <v>20</v>
      </c>
      <c r="W21" s="147">
        <f t="shared" si="2"/>
        <v>21</v>
      </c>
      <c r="X21" s="147">
        <f t="shared" si="2"/>
        <v>22</v>
      </c>
      <c r="Y21" s="147">
        <f t="shared" si="2"/>
        <v>23</v>
      </c>
      <c r="Z21" s="147">
        <f t="shared" si="2"/>
        <v>24</v>
      </c>
      <c r="AA21" s="147">
        <f t="shared" si="2"/>
        <v>25</v>
      </c>
      <c r="AB21" s="147">
        <f t="shared" si="2"/>
        <v>26</v>
      </c>
      <c r="AC21" s="147">
        <f t="shared" si="2"/>
        <v>27</v>
      </c>
      <c r="AD21" s="147">
        <f t="shared" si="2"/>
        <v>28</v>
      </c>
      <c r="AE21" s="147">
        <f t="shared" si="2"/>
        <v>29</v>
      </c>
      <c r="AF21" s="147">
        <f t="shared" si="2"/>
        <v>30</v>
      </c>
      <c r="AG21" s="147">
        <f t="shared" si="2"/>
        <v>31</v>
      </c>
    </row>
    <row r="22" spans="1:33" x14ac:dyDescent="0.25">
      <c r="A22" s="87" t="s">
        <v>32</v>
      </c>
      <c r="B22" s="66">
        <f>SUM(C22:AG22)</f>
        <v>0</v>
      </c>
      <c r="C22" s="56">
        <f>+'1'!B27</f>
        <v>0</v>
      </c>
      <c r="D22" s="30">
        <f>+'2'!B27</f>
        <v>0</v>
      </c>
      <c r="E22" s="30">
        <f>+'3'!B27</f>
        <v>0</v>
      </c>
      <c r="F22" s="30">
        <f>+'4'!B27</f>
        <v>0</v>
      </c>
      <c r="G22" s="30">
        <f>+'5'!B27</f>
        <v>0</v>
      </c>
      <c r="H22" s="30">
        <f>+'6'!B27</f>
        <v>0</v>
      </c>
      <c r="I22" s="30">
        <f>+'7'!B27</f>
        <v>0</v>
      </c>
      <c r="J22" s="30">
        <f>+'8'!B27</f>
        <v>0</v>
      </c>
      <c r="K22" s="30">
        <f>+'9'!B27</f>
        <v>0</v>
      </c>
      <c r="L22" s="30">
        <f>+'10'!B27</f>
        <v>0</v>
      </c>
      <c r="M22" s="30">
        <f>+'11'!B27</f>
        <v>0</v>
      </c>
      <c r="N22" s="30">
        <f>+'12'!B27</f>
        <v>0</v>
      </c>
      <c r="O22" s="30">
        <f>+'13'!B27</f>
        <v>0</v>
      </c>
      <c r="P22" s="30">
        <f>+'14'!B27</f>
        <v>0</v>
      </c>
      <c r="Q22" s="30">
        <f>+'15'!B27</f>
        <v>0</v>
      </c>
      <c r="R22" s="30">
        <f>+'16'!B27</f>
        <v>0</v>
      </c>
      <c r="S22" s="30">
        <f>+'17'!B27</f>
        <v>0</v>
      </c>
      <c r="T22" s="30">
        <f>+'18'!B27</f>
        <v>0</v>
      </c>
      <c r="U22" s="30">
        <f>+'19'!B27</f>
        <v>0</v>
      </c>
      <c r="V22" s="30">
        <f>+'20'!B27</f>
        <v>0</v>
      </c>
      <c r="W22" s="30">
        <f>+'21'!B27</f>
        <v>0</v>
      </c>
      <c r="X22" s="30">
        <f>+'22'!B27</f>
        <v>0</v>
      </c>
      <c r="Y22" s="30">
        <f>+'23'!B27</f>
        <v>0</v>
      </c>
      <c r="Z22" s="30">
        <f>+'24'!B27</f>
        <v>0</v>
      </c>
      <c r="AA22" s="30">
        <f>+'25'!B27</f>
        <v>0</v>
      </c>
      <c r="AB22" s="30">
        <f>+'26'!B27</f>
        <v>0</v>
      </c>
      <c r="AC22" s="30">
        <f>+'27'!B27</f>
        <v>0</v>
      </c>
      <c r="AD22" s="30">
        <f>+'28'!B27</f>
        <v>0</v>
      </c>
      <c r="AE22" s="30">
        <f>+'29'!B27</f>
        <v>0</v>
      </c>
      <c r="AF22" s="30">
        <f>+'30'!B27</f>
        <v>0</v>
      </c>
      <c r="AG22" s="30">
        <f>+'31'!B27</f>
        <v>0</v>
      </c>
    </row>
    <row r="23" spans="1:33" x14ac:dyDescent="0.25">
      <c r="A23" s="149" t="s">
        <v>33</v>
      </c>
      <c r="B23" s="81">
        <f t="shared" ref="B23:B28" si="3">SUM(C23:AG23)</f>
        <v>0</v>
      </c>
      <c r="C23" s="70">
        <f>+'1'!B28</f>
        <v>0</v>
      </c>
      <c r="D23" s="43">
        <f>+'2'!B28</f>
        <v>0</v>
      </c>
      <c r="E23" s="43">
        <f>+'3'!B28</f>
        <v>0</v>
      </c>
      <c r="F23" s="43">
        <f>+'4'!B28</f>
        <v>0</v>
      </c>
      <c r="G23" s="43">
        <f>+'5'!B28</f>
        <v>0</v>
      </c>
      <c r="H23" s="43">
        <f>+'6'!B28</f>
        <v>0</v>
      </c>
      <c r="I23" s="43">
        <f>+'7'!B28</f>
        <v>0</v>
      </c>
      <c r="J23" s="43">
        <f>+'8'!B28</f>
        <v>0</v>
      </c>
      <c r="K23" s="43">
        <f>+'9'!B28</f>
        <v>0</v>
      </c>
      <c r="L23" s="43">
        <f>+'10'!B28</f>
        <v>0</v>
      </c>
      <c r="M23" s="43">
        <f>+'11'!B28</f>
        <v>0</v>
      </c>
      <c r="N23" s="43">
        <f>+'12'!B28</f>
        <v>0</v>
      </c>
      <c r="O23" s="43">
        <f>+'13'!B28</f>
        <v>0</v>
      </c>
      <c r="P23" s="43">
        <f>+'14'!B28</f>
        <v>0</v>
      </c>
      <c r="Q23" s="43">
        <f>+'15'!B28</f>
        <v>0</v>
      </c>
      <c r="R23" s="43">
        <f>+'16'!B28</f>
        <v>0</v>
      </c>
      <c r="S23" s="43">
        <f>+'17'!B28</f>
        <v>0</v>
      </c>
      <c r="T23" s="43">
        <f>+'18'!B28</f>
        <v>0</v>
      </c>
      <c r="U23" s="43">
        <f>+'19'!B28</f>
        <v>0</v>
      </c>
      <c r="V23" s="43">
        <f>+'20'!B28</f>
        <v>0</v>
      </c>
      <c r="W23" s="43">
        <f>+'21'!B28</f>
        <v>0</v>
      </c>
      <c r="X23" s="43">
        <f>+'22'!B28</f>
        <v>0</v>
      </c>
      <c r="Y23" s="43">
        <f>+'23'!B28</f>
        <v>0</v>
      </c>
      <c r="Z23" s="43">
        <f>+'24'!B28</f>
        <v>0</v>
      </c>
      <c r="AA23" s="43">
        <f>+'25'!B28</f>
        <v>0</v>
      </c>
      <c r="AB23" s="43">
        <f>+'26'!B28</f>
        <v>0</v>
      </c>
      <c r="AC23" s="43">
        <f>+'27'!B28</f>
        <v>0</v>
      </c>
      <c r="AD23" s="43">
        <f>+'28'!B28</f>
        <v>0</v>
      </c>
      <c r="AE23" s="43">
        <f>+'29'!B28</f>
        <v>0</v>
      </c>
      <c r="AF23" s="43">
        <f>+'30'!B28</f>
        <v>0</v>
      </c>
      <c r="AG23" s="43">
        <f>+'31'!B28</f>
        <v>0</v>
      </c>
    </row>
    <row r="24" spans="1:33" x14ac:dyDescent="0.25">
      <c r="A24" s="149" t="s">
        <v>34</v>
      </c>
      <c r="B24" s="81">
        <f t="shared" si="3"/>
        <v>0</v>
      </c>
      <c r="C24" s="70">
        <f>+'1'!B29</f>
        <v>0</v>
      </c>
      <c r="D24" s="43">
        <f>+'2'!B29</f>
        <v>0</v>
      </c>
      <c r="E24" s="43">
        <f>+'3'!B29</f>
        <v>0</v>
      </c>
      <c r="F24" s="43">
        <f>+'4'!B29</f>
        <v>0</v>
      </c>
      <c r="G24" s="43">
        <f>+'5'!B29</f>
        <v>0</v>
      </c>
      <c r="H24" s="43">
        <f>+'6'!B29</f>
        <v>0</v>
      </c>
      <c r="I24" s="43">
        <f>+'7'!B29</f>
        <v>0</v>
      </c>
      <c r="J24" s="43">
        <f>+'8'!B29</f>
        <v>0</v>
      </c>
      <c r="K24" s="43">
        <f>+'9'!B29</f>
        <v>0</v>
      </c>
      <c r="L24" s="43">
        <f>+'10'!B29</f>
        <v>0</v>
      </c>
      <c r="M24" s="43">
        <f>+'11'!B29</f>
        <v>0</v>
      </c>
      <c r="N24" s="43">
        <f>+'12'!B29</f>
        <v>0</v>
      </c>
      <c r="O24" s="43">
        <f>+'13'!B29</f>
        <v>0</v>
      </c>
      <c r="P24" s="43">
        <f>+'14'!B29</f>
        <v>0</v>
      </c>
      <c r="Q24" s="43">
        <f>+'15'!B29</f>
        <v>0</v>
      </c>
      <c r="R24" s="43">
        <f>+'16'!B29</f>
        <v>0</v>
      </c>
      <c r="S24" s="43">
        <f>+'17'!B29</f>
        <v>0</v>
      </c>
      <c r="T24" s="43">
        <f>+'18'!B29</f>
        <v>0</v>
      </c>
      <c r="U24" s="43">
        <f>+'19'!B29</f>
        <v>0</v>
      </c>
      <c r="V24" s="43">
        <f>+'20'!B29</f>
        <v>0</v>
      </c>
      <c r="W24" s="43">
        <f>+'21'!B29</f>
        <v>0</v>
      </c>
      <c r="X24" s="43">
        <f>+'22'!B29</f>
        <v>0</v>
      </c>
      <c r="Y24" s="43">
        <f>+'23'!B29</f>
        <v>0</v>
      </c>
      <c r="Z24" s="43">
        <f>+'24'!B29</f>
        <v>0</v>
      </c>
      <c r="AA24" s="43">
        <f>+'25'!B29</f>
        <v>0</v>
      </c>
      <c r="AB24" s="43">
        <f>+'26'!B29</f>
        <v>0</v>
      </c>
      <c r="AC24" s="43">
        <f>+'27'!B29</f>
        <v>0</v>
      </c>
      <c r="AD24" s="43">
        <f>+'28'!B29</f>
        <v>0</v>
      </c>
      <c r="AE24" s="43">
        <f>+'29'!B29</f>
        <v>0</v>
      </c>
      <c r="AF24" s="43">
        <f>+'30'!B29</f>
        <v>0</v>
      </c>
      <c r="AG24" s="43">
        <f>+'31'!B29</f>
        <v>0</v>
      </c>
    </row>
    <row r="25" spans="1:33" x14ac:dyDescent="0.25">
      <c r="A25" s="149" t="s">
        <v>35</v>
      </c>
      <c r="B25" s="81">
        <f t="shared" si="3"/>
        <v>0</v>
      </c>
      <c r="C25" s="70">
        <f>+'1'!B30</f>
        <v>0</v>
      </c>
      <c r="D25" s="43">
        <f>+'2'!B30</f>
        <v>0</v>
      </c>
      <c r="E25" s="43">
        <f>+'3'!B30</f>
        <v>0</v>
      </c>
      <c r="F25" s="43">
        <f>+'4'!B30</f>
        <v>0</v>
      </c>
      <c r="G25" s="43">
        <f>+'5'!B30</f>
        <v>0</v>
      </c>
      <c r="H25" s="43">
        <f>+'6'!B30</f>
        <v>0</v>
      </c>
      <c r="I25" s="43">
        <f>+'7'!B30</f>
        <v>0</v>
      </c>
      <c r="J25" s="43">
        <f>+'8'!B30</f>
        <v>0</v>
      </c>
      <c r="K25" s="43">
        <f>+'9'!B30</f>
        <v>0</v>
      </c>
      <c r="L25" s="43">
        <f>+'10'!B30</f>
        <v>0</v>
      </c>
      <c r="M25" s="43">
        <f>+'11'!B30</f>
        <v>0</v>
      </c>
      <c r="N25" s="43">
        <f>+'12'!B30</f>
        <v>0</v>
      </c>
      <c r="O25" s="43">
        <f>+'13'!B30</f>
        <v>0</v>
      </c>
      <c r="P25" s="43">
        <f>+'14'!B30</f>
        <v>0</v>
      </c>
      <c r="Q25" s="43">
        <f>+'15'!B30</f>
        <v>0</v>
      </c>
      <c r="R25" s="43">
        <f>+'16'!B30</f>
        <v>0</v>
      </c>
      <c r="S25" s="43">
        <f>+'17'!B30</f>
        <v>0</v>
      </c>
      <c r="T25" s="43">
        <f>+'18'!B30</f>
        <v>0</v>
      </c>
      <c r="U25" s="43">
        <f>+'19'!B30</f>
        <v>0</v>
      </c>
      <c r="V25" s="43">
        <f>+'20'!B30</f>
        <v>0</v>
      </c>
      <c r="W25" s="43">
        <f>+'21'!B30</f>
        <v>0</v>
      </c>
      <c r="X25" s="43">
        <f>+'22'!B30</f>
        <v>0</v>
      </c>
      <c r="Y25" s="43">
        <f>+'23'!B30</f>
        <v>0</v>
      </c>
      <c r="Z25" s="43">
        <f>+'24'!B30</f>
        <v>0</v>
      </c>
      <c r="AA25" s="43">
        <f>+'25'!B30</f>
        <v>0</v>
      </c>
      <c r="AB25" s="43">
        <f>+'26'!B30</f>
        <v>0</v>
      </c>
      <c r="AC25" s="43">
        <f>+'27'!B30</f>
        <v>0</v>
      </c>
      <c r="AD25" s="43">
        <f>+'28'!B30</f>
        <v>0</v>
      </c>
      <c r="AE25" s="43">
        <f>+'29'!B30</f>
        <v>0</v>
      </c>
      <c r="AF25" s="43">
        <f>+'30'!B30</f>
        <v>0</v>
      </c>
      <c r="AG25" s="43">
        <f>+'31'!B30</f>
        <v>0</v>
      </c>
    </row>
    <row r="26" spans="1:33" x14ac:dyDescent="0.25">
      <c r="A26" s="149" t="s">
        <v>36</v>
      </c>
      <c r="B26" s="81">
        <f t="shared" si="3"/>
        <v>0</v>
      </c>
      <c r="C26" s="70">
        <f>+'1'!B31</f>
        <v>0</v>
      </c>
      <c r="D26" s="43">
        <f>+'2'!B31</f>
        <v>0</v>
      </c>
      <c r="E26" s="43">
        <f>+'3'!B31</f>
        <v>0</v>
      </c>
      <c r="F26" s="43">
        <f>+'4'!B31</f>
        <v>0</v>
      </c>
      <c r="G26" s="43">
        <f>+'5'!B31</f>
        <v>0</v>
      </c>
      <c r="H26" s="43">
        <f>+'6'!B31</f>
        <v>0</v>
      </c>
      <c r="I26" s="43">
        <f>+'7'!B31</f>
        <v>0</v>
      </c>
      <c r="J26" s="43">
        <f>+'8'!B31</f>
        <v>0</v>
      </c>
      <c r="K26" s="43">
        <f>+'9'!B31</f>
        <v>0</v>
      </c>
      <c r="L26" s="43">
        <f>+'10'!B31</f>
        <v>0</v>
      </c>
      <c r="M26" s="43">
        <f>+'11'!B31</f>
        <v>0</v>
      </c>
      <c r="N26" s="43">
        <f>+'12'!B31</f>
        <v>0</v>
      </c>
      <c r="O26" s="43">
        <f>+'13'!B31</f>
        <v>0</v>
      </c>
      <c r="P26" s="43">
        <f>+'14'!B31</f>
        <v>0</v>
      </c>
      <c r="Q26" s="43">
        <f>+'15'!B31</f>
        <v>0</v>
      </c>
      <c r="R26" s="43">
        <f>+'16'!B31</f>
        <v>0</v>
      </c>
      <c r="S26" s="43">
        <f>+'17'!B31</f>
        <v>0</v>
      </c>
      <c r="T26" s="43">
        <f>+'18'!B31</f>
        <v>0</v>
      </c>
      <c r="U26" s="43">
        <f>+'19'!B31</f>
        <v>0</v>
      </c>
      <c r="V26" s="43">
        <f>+'20'!B31</f>
        <v>0</v>
      </c>
      <c r="W26" s="43">
        <f>+'21'!B31</f>
        <v>0</v>
      </c>
      <c r="X26" s="43">
        <f>+'22'!B31</f>
        <v>0</v>
      </c>
      <c r="Y26" s="43">
        <f>+'23'!B31</f>
        <v>0</v>
      </c>
      <c r="Z26" s="43">
        <f>+'24'!B31</f>
        <v>0</v>
      </c>
      <c r="AA26" s="43">
        <f>+'25'!B31</f>
        <v>0</v>
      </c>
      <c r="AB26" s="43">
        <f>+'26'!B31</f>
        <v>0</v>
      </c>
      <c r="AC26" s="43">
        <f>+'27'!B31</f>
        <v>0</v>
      </c>
      <c r="AD26" s="43">
        <f>+'28'!B31</f>
        <v>0</v>
      </c>
      <c r="AE26" s="43">
        <f>+'29'!B31</f>
        <v>0</v>
      </c>
      <c r="AF26" s="43">
        <f>+'30'!B31</f>
        <v>0</v>
      </c>
      <c r="AG26" s="43">
        <f>+'31'!B31</f>
        <v>0</v>
      </c>
    </row>
    <row r="27" spans="1:33" x14ac:dyDescent="0.25">
      <c r="A27" s="149" t="s">
        <v>37</v>
      </c>
      <c r="B27" s="81">
        <f t="shared" si="3"/>
        <v>0</v>
      </c>
      <c r="C27" s="70">
        <f>+'1'!B32</f>
        <v>0</v>
      </c>
      <c r="D27" s="43">
        <f>+'2'!B32</f>
        <v>0</v>
      </c>
      <c r="E27" s="43">
        <f>+'3'!B32</f>
        <v>0</v>
      </c>
      <c r="F27" s="43">
        <f>+'4'!B32</f>
        <v>0</v>
      </c>
      <c r="G27" s="43">
        <f>+'5'!B32</f>
        <v>0</v>
      </c>
      <c r="H27" s="43">
        <f>+'6'!B32</f>
        <v>0</v>
      </c>
      <c r="I27" s="43">
        <f>+'7'!B32</f>
        <v>0</v>
      </c>
      <c r="J27" s="43">
        <f>+'8'!B32</f>
        <v>0</v>
      </c>
      <c r="K27" s="43">
        <f>+'9'!B32</f>
        <v>0</v>
      </c>
      <c r="L27" s="43">
        <f>+'10'!B32</f>
        <v>0</v>
      </c>
      <c r="M27" s="43">
        <f>+'11'!B32</f>
        <v>0</v>
      </c>
      <c r="N27" s="43">
        <f>+'12'!B32</f>
        <v>0</v>
      </c>
      <c r="O27" s="43">
        <f>+'13'!B32</f>
        <v>0</v>
      </c>
      <c r="P27" s="43">
        <f>+'14'!B32</f>
        <v>0</v>
      </c>
      <c r="Q27" s="43">
        <f>+'15'!B32</f>
        <v>0</v>
      </c>
      <c r="R27" s="43">
        <f>+'16'!B32</f>
        <v>0</v>
      </c>
      <c r="S27" s="43">
        <f>+'17'!B32</f>
        <v>0</v>
      </c>
      <c r="T27" s="43">
        <f>+'18'!B32</f>
        <v>0</v>
      </c>
      <c r="U27" s="43">
        <f>+'19'!B32</f>
        <v>0</v>
      </c>
      <c r="V27" s="43">
        <f>+'20'!B32</f>
        <v>0</v>
      </c>
      <c r="W27" s="43">
        <f>+'21'!B32</f>
        <v>0</v>
      </c>
      <c r="X27" s="43">
        <f>+'22'!B32</f>
        <v>0</v>
      </c>
      <c r="Y27" s="43">
        <f>+'23'!B32</f>
        <v>0</v>
      </c>
      <c r="Z27" s="43">
        <f>+'24'!B32</f>
        <v>0</v>
      </c>
      <c r="AA27" s="43">
        <f>+'25'!B32</f>
        <v>0</v>
      </c>
      <c r="AB27" s="43">
        <f>+'26'!B32</f>
        <v>0</v>
      </c>
      <c r="AC27" s="43">
        <f>+'27'!B32</f>
        <v>0</v>
      </c>
      <c r="AD27" s="43">
        <f>+'28'!B32</f>
        <v>0</v>
      </c>
      <c r="AE27" s="43">
        <f>+'29'!B32</f>
        <v>0</v>
      </c>
      <c r="AF27" s="43">
        <f>+'30'!B32</f>
        <v>0</v>
      </c>
      <c r="AG27" s="43">
        <f>+'31'!B32</f>
        <v>0</v>
      </c>
    </row>
    <row r="28" spans="1:33" x14ac:dyDescent="0.25">
      <c r="A28" s="53" t="s">
        <v>38</v>
      </c>
      <c r="B28" s="44">
        <f t="shared" si="3"/>
        <v>0</v>
      </c>
      <c r="C28" s="59">
        <f>+'1'!B33</f>
        <v>0</v>
      </c>
      <c r="D28" s="31">
        <f>+'2'!B33</f>
        <v>0</v>
      </c>
      <c r="E28" s="31">
        <f>+'3'!B33</f>
        <v>0</v>
      </c>
      <c r="F28" s="31">
        <f>+'4'!B33</f>
        <v>0</v>
      </c>
      <c r="G28" s="31">
        <f>+'5'!B33</f>
        <v>0</v>
      </c>
      <c r="H28" s="31">
        <f>+'6'!B33</f>
        <v>0</v>
      </c>
      <c r="I28" s="31">
        <f>+'7'!B33</f>
        <v>0</v>
      </c>
      <c r="J28" s="31">
        <f>+'8'!B33</f>
        <v>0</v>
      </c>
      <c r="K28" s="31">
        <f>+'9'!B33</f>
        <v>0</v>
      </c>
      <c r="L28" s="31">
        <f>+'10'!B33</f>
        <v>0</v>
      </c>
      <c r="M28" s="31">
        <f>+'11'!B33</f>
        <v>0</v>
      </c>
      <c r="N28" s="31">
        <f>+'12'!B33</f>
        <v>0</v>
      </c>
      <c r="O28" s="31">
        <f>+'13'!B33</f>
        <v>0</v>
      </c>
      <c r="P28" s="31">
        <f>+'14'!B33</f>
        <v>0</v>
      </c>
      <c r="Q28" s="31">
        <f>+'15'!B33</f>
        <v>0</v>
      </c>
      <c r="R28" s="31">
        <f>+'16'!B33</f>
        <v>0</v>
      </c>
      <c r="S28" s="31">
        <f>+'17'!B33</f>
        <v>0</v>
      </c>
      <c r="T28" s="31">
        <f>+'18'!B33</f>
        <v>0</v>
      </c>
      <c r="U28" s="31">
        <f>+'19'!B33</f>
        <v>0</v>
      </c>
      <c r="V28" s="31">
        <f>+'20'!B33</f>
        <v>0</v>
      </c>
      <c r="W28" s="31">
        <f>+'21'!B33</f>
        <v>0</v>
      </c>
      <c r="X28" s="31">
        <f>+'22'!B33</f>
        <v>0</v>
      </c>
      <c r="Y28" s="31">
        <f>+'23'!B33</f>
        <v>0</v>
      </c>
      <c r="Z28" s="31">
        <f>+'24'!B33</f>
        <v>0</v>
      </c>
      <c r="AA28" s="31">
        <f>+'25'!B33</f>
        <v>0</v>
      </c>
      <c r="AB28" s="31">
        <f>+'26'!B33</f>
        <v>0</v>
      </c>
      <c r="AC28" s="31">
        <f>+'27'!B33</f>
        <v>0</v>
      </c>
      <c r="AD28" s="31">
        <f>+'28'!B33</f>
        <v>0</v>
      </c>
      <c r="AE28" s="31">
        <f>+'29'!B33</f>
        <v>0</v>
      </c>
      <c r="AF28" s="31">
        <f>+'30'!B33</f>
        <v>0</v>
      </c>
      <c r="AG28" s="31">
        <f>+'31'!B33</f>
        <v>0</v>
      </c>
    </row>
    <row r="29" spans="1:33" x14ac:dyDescent="0.25">
      <c r="B29" s="126">
        <f t="shared" ref="B29:AG29" si="4">SUM(B22:B28)</f>
        <v>0</v>
      </c>
      <c r="C29" s="126">
        <f t="shared" si="4"/>
        <v>0</v>
      </c>
      <c r="D29" s="126">
        <f t="shared" si="4"/>
        <v>0</v>
      </c>
      <c r="E29" s="126">
        <f t="shared" si="4"/>
        <v>0</v>
      </c>
      <c r="F29" s="126">
        <f t="shared" si="4"/>
        <v>0</v>
      </c>
      <c r="G29" s="126">
        <f t="shared" si="4"/>
        <v>0</v>
      </c>
      <c r="H29" s="126">
        <f t="shared" si="4"/>
        <v>0</v>
      </c>
      <c r="I29" s="126">
        <f t="shared" si="4"/>
        <v>0</v>
      </c>
      <c r="J29" s="126">
        <f t="shared" si="4"/>
        <v>0</v>
      </c>
      <c r="K29" s="126">
        <f t="shared" si="4"/>
        <v>0</v>
      </c>
      <c r="L29" s="126">
        <f t="shared" si="4"/>
        <v>0</v>
      </c>
      <c r="M29" s="126">
        <f t="shared" si="4"/>
        <v>0</v>
      </c>
      <c r="N29" s="126">
        <f t="shared" si="4"/>
        <v>0</v>
      </c>
      <c r="O29" s="126">
        <f t="shared" si="4"/>
        <v>0</v>
      </c>
      <c r="P29" s="126">
        <f t="shared" si="4"/>
        <v>0</v>
      </c>
      <c r="Q29" s="126">
        <f t="shared" si="4"/>
        <v>0</v>
      </c>
      <c r="R29" s="126">
        <f t="shared" si="4"/>
        <v>0</v>
      </c>
      <c r="S29" s="126">
        <f t="shared" si="4"/>
        <v>0</v>
      </c>
      <c r="T29" s="126">
        <f t="shared" si="4"/>
        <v>0</v>
      </c>
      <c r="U29" s="126">
        <f t="shared" si="4"/>
        <v>0</v>
      </c>
      <c r="V29" s="126">
        <f t="shared" si="4"/>
        <v>0</v>
      </c>
      <c r="W29" s="126">
        <f t="shared" si="4"/>
        <v>0</v>
      </c>
      <c r="X29" s="126">
        <f t="shared" si="4"/>
        <v>0</v>
      </c>
      <c r="Y29" s="126">
        <f t="shared" si="4"/>
        <v>0</v>
      </c>
      <c r="Z29" s="126">
        <f t="shared" si="4"/>
        <v>0</v>
      </c>
      <c r="AA29" s="126">
        <f t="shared" si="4"/>
        <v>0</v>
      </c>
      <c r="AB29" s="126">
        <f t="shared" si="4"/>
        <v>0</v>
      </c>
      <c r="AC29" s="126">
        <f t="shared" si="4"/>
        <v>0</v>
      </c>
      <c r="AD29" s="126">
        <f t="shared" si="4"/>
        <v>0</v>
      </c>
      <c r="AE29" s="126">
        <f t="shared" si="4"/>
        <v>0</v>
      </c>
      <c r="AF29" s="126">
        <f t="shared" si="4"/>
        <v>0</v>
      </c>
      <c r="AG29" s="126">
        <f t="shared" si="4"/>
        <v>0</v>
      </c>
    </row>
    <row r="32" spans="1:33" x14ac:dyDescent="0.25">
      <c r="A32" s="203" t="s">
        <v>211</v>
      </c>
      <c r="B32" s="204" t="s">
        <v>68</v>
      </c>
    </row>
    <row r="33" spans="1:2" x14ac:dyDescent="0.25">
      <c r="A33" s="35" t="s">
        <v>212</v>
      </c>
      <c r="B33" s="30">
        <f>+Bank!AG8+Bank!AG9</f>
        <v>11.5</v>
      </c>
    </row>
    <row r="34" spans="1:2" x14ac:dyDescent="0.25">
      <c r="A34" s="36" t="s">
        <v>213</v>
      </c>
      <c r="B34" s="43">
        <f>+Bank!AG16</f>
        <v>0</v>
      </c>
    </row>
    <row r="35" spans="1:2" x14ac:dyDescent="0.25">
      <c r="A35" s="36" t="s">
        <v>214</v>
      </c>
      <c r="B35" s="43">
        <f>+Bank!AG24</f>
        <v>19855.45</v>
      </c>
    </row>
    <row r="36" spans="1:2" x14ac:dyDescent="0.25">
      <c r="A36" s="36" t="s">
        <v>215</v>
      </c>
      <c r="B36" s="43">
        <f>+Bank!AG43+Bank!AG44+Bank!AG45</f>
        <v>0</v>
      </c>
    </row>
    <row r="37" spans="1:2" x14ac:dyDescent="0.25">
      <c r="A37" s="36" t="s">
        <v>50</v>
      </c>
      <c r="B37" s="43">
        <f>+Bank!AG52</f>
        <v>0</v>
      </c>
    </row>
    <row r="38" spans="1:2" x14ac:dyDescent="0.25">
      <c r="A38" s="36" t="s">
        <v>55</v>
      </c>
      <c r="B38" s="43">
        <f>+Bank!AG58</f>
        <v>0</v>
      </c>
    </row>
    <row r="39" spans="1:2" x14ac:dyDescent="0.25">
      <c r="A39" s="36" t="s">
        <v>53</v>
      </c>
      <c r="B39" s="43">
        <f>+Bank!AG64</f>
        <v>0</v>
      </c>
    </row>
    <row r="40" spans="1:2" x14ac:dyDescent="0.25">
      <c r="A40" s="37" t="s">
        <v>76</v>
      </c>
      <c r="B40" s="31">
        <f>-SUM('Petty Cash Report'!B22:AF22)</f>
        <v>0</v>
      </c>
    </row>
    <row r="41" spans="1:2" x14ac:dyDescent="0.25">
      <c r="A41" s="89" t="s">
        <v>217</v>
      </c>
      <c r="B41" s="124">
        <f>SUM(B33:B40)</f>
        <v>19866.95</v>
      </c>
    </row>
    <row r="42" spans="1:2" x14ac:dyDescent="0.25">
      <c r="A42" s="125" t="s">
        <v>218</v>
      </c>
      <c r="B42" s="126">
        <f>+B18</f>
        <v>0</v>
      </c>
    </row>
    <row r="43" spans="1:2" x14ac:dyDescent="0.25">
      <c r="A43" s="128" t="s">
        <v>219</v>
      </c>
      <c r="B43" s="205">
        <f>+B41-B42</f>
        <v>19866.95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00DD-2B06-4E00-A1CE-5474E2D27877}">
  <dimension ref="A1:Y46"/>
  <sheetViews>
    <sheetView topLeftCell="A5" zoomScaleNormal="100" workbookViewId="0">
      <selection activeCell="I3" sqref="I3"/>
    </sheetView>
  </sheetViews>
  <sheetFormatPr defaultRowHeight="15" x14ac:dyDescent="0.25"/>
  <cols>
    <col min="1" max="1" width="2.7109375" customWidth="1"/>
    <col min="2" max="2" width="25.7109375" customWidth="1"/>
    <col min="3" max="3" width="9.85546875" bestFit="1" customWidth="1"/>
    <col min="4" max="4" width="2.7109375" customWidth="1"/>
    <col min="8" max="8" width="2.7109375" customWidth="1"/>
    <col min="11" max="11" width="2.7109375" customWidth="1"/>
    <col min="13" max="13" width="2.7109375" customWidth="1"/>
    <col min="19" max="19" width="2.7109375" customWidth="1"/>
    <col min="25" max="25" width="2.7109375" customWidth="1"/>
  </cols>
  <sheetData>
    <row r="1" spans="1:25" ht="24" x14ac:dyDescent="0.4">
      <c r="A1" s="206"/>
      <c r="B1" s="239" t="str">
        <f>+Input!A1</f>
        <v>FUEL ROCK (PTY) LTD</v>
      </c>
      <c r="C1" s="239"/>
      <c r="D1" s="239"/>
      <c r="E1" s="239"/>
      <c r="F1" s="239"/>
      <c r="G1" s="239"/>
      <c r="H1" s="239"/>
      <c r="I1" s="239"/>
      <c r="J1" s="239"/>
      <c r="K1" s="207"/>
      <c r="L1" s="207"/>
      <c r="M1" s="207"/>
      <c r="N1" s="207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9"/>
    </row>
    <row r="2" spans="1:25" ht="15.75" thickBot="1" x14ac:dyDescent="0.3">
      <c r="A2" s="210"/>
      <c r="B2" s="207"/>
      <c r="C2" s="207"/>
      <c r="D2" s="207"/>
      <c r="E2" s="207"/>
      <c r="F2" s="207"/>
      <c r="G2" s="240"/>
      <c r="H2" s="240"/>
      <c r="I2" s="240"/>
      <c r="J2" s="207"/>
      <c r="K2" s="207"/>
      <c r="L2" s="211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12"/>
    </row>
    <row r="3" spans="1:25" ht="21.75" thickBot="1" x14ac:dyDescent="0.4">
      <c r="A3" s="210"/>
      <c r="B3" s="241" t="s">
        <v>225</v>
      </c>
      <c r="C3" s="241"/>
      <c r="D3" s="241"/>
      <c r="E3" s="207"/>
      <c r="F3" s="207"/>
      <c r="G3" s="207"/>
      <c r="H3" s="207"/>
      <c r="I3" s="207"/>
      <c r="J3" s="207"/>
      <c r="K3" s="207"/>
      <c r="L3" s="211"/>
      <c r="M3" s="207"/>
      <c r="N3" s="207"/>
      <c r="O3" s="207"/>
      <c r="P3" s="207"/>
      <c r="Q3" s="207"/>
      <c r="R3" s="207"/>
      <c r="S3" s="207"/>
      <c r="T3" s="244">
        <f>+Input!B6</f>
        <v>46143</v>
      </c>
      <c r="U3" s="245"/>
      <c r="V3" s="245"/>
      <c r="W3" s="245"/>
      <c r="X3" s="246"/>
      <c r="Y3" s="212"/>
    </row>
    <row r="4" spans="1:25" ht="15.75" thickBot="1" x14ac:dyDescent="0.3">
      <c r="A4" s="210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12"/>
    </row>
    <row r="5" spans="1:25" ht="24" x14ac:dyDescent="0.4">
      <c r="A5" s="210"/>
      <c r="B5" s="242" t="s">
        <v>228</v>
      </c>
      <c r="C5" s="243"/>
      <c r="D5" s="207"/>
      <c r="E5" s="247"/>
      <c r="F5" s="248"/>
      <c r="G5" s="248"/>
      <c r="H5" s="248"/>
      <c r="I5" s="248"/>
      <c r="J5" s="249"/>
      <c r="K5" s="207"/>
      <c r="L5" s="213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5"/>
      <c r="Y5" s="212"/>
    </row>
    <row r="6" spans="1:25" ht="26.25" x14ac:dyDescent="0.4">
      <c r="A6" s="210"/>
      <c r="B6" s="216"/>
      <c r="C6" s="217"/>
      <c r="D6" s="207"/>
      <c r="E6" s="218"/>
      <c r="J6" s="219"/>
      <c r="K6" s="207"/>
      <c r="L6" s="218"/>
      <c r="O6" t="s">
        <v>243</v>
      </c>
      <c r="X6" s="219"/>
      <c r="Y6" s="212"/>
    </row>
    <row r="7" spans="1:25" ht="24" x14ac:dyDescent="0.4">
      <c r="A7" s="210"/>
      <c r="B7" s="237">
        <f>+Summary!B7</f>
        <v>1659.39</v>
      </c>
      <c r="C7" s="238"/>
      <c r="D7" s="207"/>
      <c r="E7" s="218"/>
      <c r="F7" s="220"/>
      <c r="G7" t="s">
        <v>242</v>
      </c>
      <c r="I7" s="221"/>
      <c r="J7" s="222"/>
      <c r="K7" s="207"/>
      <c r="L7" s="218"/>
      <c r="X7" s="219"/>
      <c r="Y7" s="212"/>
    </row>
    <row r="8" spans="1:25" ht="5.0999999999999996" customHeight="1" x14ac:dyDescent="0.25">
      <c r="A8" s="210"/>
      <c r="B8" s="218"/>
      <c r="C8" s="219"/>
      <c r="D8" s="207"/>
      <c r="E8" s="218"/>
      <c r="F8" s="151"/>
      <c r="J8" s="219"/>
      <c r="K8" s="207"/>
      <c r="L8" s="218"/>
      <c r="X8" s="219"/>
      <c r="Y8" s="212"/>
    </row>
    <row r="9" spans="1:25" ht="20.100000000000001" customHeight="1" x14ac:dyDescent="0.25">
      <c r="A9" s="210"/>
      <c r="B9" s="218" t="s">
        <v>226</v>
      </c>
      <c r="C9" s="223">
        <f>+'Dashboard-Fuel'!L136</f>
        <v>0</v>
      </c>
      <c r="D9" s="207"/>
      <c r="E9" s="218"/>
      <c r="F9" s="151"/>
      <c r="J9" s="222"/>
      <c r="K9" s="207"/>
      <c r="L9" s="218"/>
      <c r="X9" s="219"/>
      <c r="Y9" s="212"/>
    </row>
    <row r="10" spans="1:25" ht="15.75" thickBot="1" x14ac:dyDescent="0.3">
      <c r="A10" s="210"/>
      <c r="B10" s="224" t="s">
        <v>227</v>
      </c>
      <c r="C10" s="225" t="e">
        <f>+B7/C9</f>
        <v>#DIV/0!</v>
      </c>
      <c r="D10" s="207"/>
      <c r="E10" s="218"/>
      <c r="F10" s="151"/>
      <c r="J10" s="222"/>
      <c r="K10" s="207"/>
      <c r="L10" s="218"/>
      <c r="X10" s="219"/>
      <c r="Y10" s="212"/>
    </row>
    <row r="11" spans="1:25" ht="15.75" thickBot="1" x14ac:dyDescent="0.3">
      <c r="A11" s="210"/>
      <c r="D11" s="207"/>
      <c r="E11" s="218"/>
      <c r="F11" s="151"/>
      <c r="J11" s="222"/>
      <c r="K11" s="207"/>
      <c r="L11" s="218"/>
      <c r="X11" s="219"/>
      <c r="Y11" s="212"/>
    </row>
    <row r="12" spans="1:25" ht="24" x14ac:dyDescent="0.4">
      <c r="A12" s="210"/>
      <c r="B12" s="242" t="s">
        <v>241</v>
      </c>
      <c r="C12" s="243"/>
      <c r="D12" s="207"/>
      <c r="E12" s="218"/>
      <c r="F12" s="151"/>
      <c r="J12" s="219"/>
      <c r="K12" s="207"/>
      <c r="L12" s="218"/>
      <c r="X12" s="219"/>
      <c r="Y12" s="212"/>
    </row>
    <row r="13" spans="1:25" ht="24" x14ac:dyDescent="0.4">
      <c r="A13" s="210"/>
      <c r="B13" s="226"/>
      <c r="C13" s="227"/>
      <c r="D13" s="207"/>
      <c r="E13" s="218"/>
      <c r="F13" s="151"/>
      <c r="J13" s="219"/>
      <c r="K13" s="207"/>
      <c r="L13" s="218"/>
      <c r="X13" s="219"/>
      <c r="Y13" s="212"/>
    </row>
    <row r="14" spans="1:25" ht="24" x14ac:dyDescent="0.4">
      <c r="A14" s="210"/>
      <c r="B14" s="237">
        <f>+Summary!C7</f>
        <v>40.06</v>
      </c>
      <c r="C14" s="238"/>
      <c r="D14" s="207"/>
      <c r="E14" s="218"/>
      <c r="F14" s="151"/>
      <c r="J14" s="219"/>
      <c r="K14" s="207"/>
      <c r="L14" s="218"/>
      <c r="X14" s="219"/>
      <c r="Y14" s="212"/>
    </row>
    <row r="15" spans="1:25" ht="5.0999999999999996" customHeight="1" x14ac:dyDescent="0.25">
      <c r="A15" s="210"/>
      <c r="B15" s="218"/>
      <c r="C15" s="219"/>
      <c r="D15" s="207"/>
      <c r="E15" s="218"/>
      <c r="F15" s="151"/>
      <c r="J15" s="219"/>
      <c r="K15" s="207"/>
      <c r="L15" s="218"/>
      <c r="X15" s="219"/>
      <c r="Y15" s="212"/>
    </row>
    <row r="16" spans="1:25" ht="20.100000000000001" customHeight="1" x14ac:dyDescent="0.25">
      <c r="A16" s="210"/>
      <c r="B16" s="218" t="s">
        <v>226</v>
      </c>
      <c r="C16" s="223">
        <f>+'Dashboard-Fuel'!T136</f>
        <v>0</v>
      </c>
      <c r="D16" s="207"/>
      <c r="E16" s="218"/>
      <c r="F16" s="151"/>
      <c r="J16" s="219"/>
      <c r="K16" s="207"/>
      <c r="L16" s="218"/>
      <c r="X16" s="219"/>
      <c r="Y16" s="212"/>
    </row>
    <row r="17" spans="1:25" ht="15.75" thickBot="1" x14ac:dyDescent="0.3">
      <c r="A17" s="210"/>
      <c r="B17" s="224" t="s">
        <v>227</v>
      </c>
      <c r="C17" s="225" t="e">
        <f>+B14/C16</f>
        <v>#DIV/0!</v>
      </c>
      <c r="D17" s="207"/>
      <c r="E17" s="224"/>
      <c r="F17" s="160"/>
      <c r="G17" s="160"/>
      <c r="H17" s="160"/>
      <c r="I17" s="160"/>
      <c r="J17" s="228"/>
      <c r="K17" s="207"/>
      <c r="L17" s="224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228"/>
      <c r="Y17" s="212"/>
    </row>
    <row r="18" spans="1:25" ht="15.75" thickBot="1" x14ac:dyDescent="0.3">
      <c r="A18" s="210"/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12"/>
    </row>
    <row r="19" spans="1:25" ht="24" x14ac:dyDescent="0.4">
      <c r="A19" s="210"/>
      <c r="B19" s="242" t="s">
        <v>241</v>
      </c>
      <c r="C19" s="243"/>
      <c r="D19" s="207"/>
      <c r="E19" s="213"/>
      <c r="F19" s="214"/>
      <c r="G19" s="214"/>
      <c r="H19" s="214"/>
      <c r="I19" s="214"/>
      <c r="J19" s="214"/>
      <c r="K19" s="214"/>
      <c r="L19" s="215"/>
      <c r="M19" s="207"/>
      <c r="N19" s="213"/>
      <c r="O19" s="214"/>
      <c r="P19" s="214"/>
      <c r="Q19" s="214"/>
      <c r="R19" s="215"/>
      <c r="S19" s="207"/>
      <c r="T19" s="213"/>
      <c r="U19" s="214"/>
      <c r="V19" s="214"/>
      <c r="W19" s="214"/>
      <c r="X19" s="215"/>
      <c r="Y19" s="212"/>
    </row>
    <row r="20" spans="1:25" ht="24" x14ac:dyDescent="0.4">
      <c r="A20" s="210"/>
      <c r="B20" s="226"/>
      <c r="C20" s="227"/>
      <c r="D20" s="207"/>
      <c r="E20" s="218"/>
      <c r="F20" t="s">
        <v>244</v>
      </c>
      <c r="L20" s="219"/>
      <c r="M20" s="207"/>
      <c r="N20" s="218"/>
      <c r="R20" s="219"/>
      <c r="S20" s="207"/>
      <c r="T20" s="218"/>
      <c r="X20" s="219"/>
      <c r="Y20" s="212"/>
    </row>
    <row r="21" spans="1:25" ht="24" x14ac:dyDescent="0.4">
      <c r="A21" s="210"/>
      <c r="B21" s="250">
        <f>+Summary!D7</f>
        <v>1920.7</v>
      </c>
      <c r="C21" s="251"/>
      <c r="D21" s="207"/>
      <c r="E21" s="218"/>
      <c r="L21" s="219"/>
      <c r="M21" s="207"/>
      <c r="N21" s="218"/>
      <c r="R21" s="219"/>
      <c r="S21" s="207"/>
      <c r="T21" s="218"/>
      <c r="X21" s="219"/>
      <c r="Y21" s="212"/>
    </row>
    <row r="22" spans="1:25" ht="5.0999999999999996" customHeight="1" x14ac:dyDescent="0.25">
      <c r="A22" s="210"/>
      <c r="B22" s="218"/>
      <c r="C22" s="219"/>
      <c r="D22" s="207"/>
      <c r="E22" s="218"/>
      <c r="L22" s="219"/>
      <c r="M22" s="207"/>
      <c r="N22" s="218"/>
      <c r="R22" s="219"/>
      <c r="S22" s="207"/>
      <c r="T22" s="218"/>
      <c r="X22" s="219"/>
      <c r="Y22" s="212"/>
    </row>
    <row r="23" spans="1:25" ht="20.100000000000001" customHeight="1" x14ac:dyDescent="0.25">
      <c r="A23" s="210"/>
      <c r="B23" s="218" t="s">
        <v>226</v>
      </c>
      <c r="C23" s="223">
        <f>+'Dashboard-Fuel'!P136</f>
        <v>0</v>
      </c>
      <c r="D23" s="207"/>
      <c r="E23" s="218"/>
      <c r="L23" s="219"/>
      <c r="M23" s="207"/>
      <c r="N23" s="218"/>
      <c r="R23" s="219"/>
      <c r="S23" s="207"/>
      <c r="T23" s="218"/>
      <c r="X23" s="219"/>
      <c r="Y23" s="212"/>
    </row>
    <row r="24" spans="1:25" ht="15.75" thickBot="1" x14ac:dyDescent="0.3">
      <c r="A24" s="210"/>
      <c r="B24" s="224" t="s">
        <v>227</v>
      </c>
      <c r="C24" s="225" t="e">
        <f>+B21/C23</f>
        <v>#DIV/0!</v>
      </c>
      <c r="D24" s="207"/>
      <c r="E24" s="218"/>
      <c r="L24" s="219"/>
      <c r="M24" s="207"/>
      <c r="N24" s="218"/>
      <c r="R24" s="219"/>
      <c r="S24" s="207"/>
      <c r="T24" s="218"/>
      <c r="X24" s="219"/>
      <c r="Y24" s="212"/>
    </row>
    <row r="25" spans="1:25" ht="15.75" thickBot="1" x14ac:dyDescent="0.3">
      <c r="A25" s="210"/>
      <c r="B25" s="207"/>
      <c r="C25" s="207"/>
      <c r="D25" s="207"/>
      <c r="E25" s="218"/>
      <c r="L25" s="219"/>
      <c r="M25" s="207"/>
      <c r="N25" s="218"/>
      <c r="R25" s="219"/>
      <c r="S25" s="207"/>
      <c r="T25" s="218"/>
      <c r="X25" s="219"/>
      <c r="Y25" s="212"/>
    </row>
    <row r="26" spans="1:25" ht="24" x14ac:dyDescent="0.4">
      <c r="A26" s="210"/>
      <c r="B26" s="242" t="s">
        <v>229</v>
      </c>
      <c r="C26" s="243"/>
      <c r="D26" s="207"/>
      <c r="E26" s="218"/>
      <c r="L26" s="219"/>
      <c r="M26" s="207"/>
      <c r="N26" s="218"/>
      <c r="R26" s="219"/>
      <c r="S26" s="207"/>
      <c r="T26" s="218"/>
      <c r="X26" s="219"/>
      <c r="Y26" s="212"/>
    </row>
    <row r="27" spans="1:25" ht="24" x14ac:dyDescent="0.4">
      <c r="A27" s="210"/>
      <c r="B27" s="226"/>
      <c r="C27" s="227"/>
      <c r="D27" s="207"/>
      <c r="E27" s="218"/>
      <c r="L27" s="219"/>
      <c r="M27" s="207"/>
      <c r="N27" s="218"/>
      <c r="R27" s="219"/>
      <c r="S27" s="207"/>
      <c r="T27" s="218"/>
      <c r="X27" s="219"/>
      <c r="Y27" s="212"/>
    </row>
    <row r="28" spans="1:25" ht="24" x14ac:dyDescent="0.4">
      <c r="A28" s="210"/>
      <c r="B28" s="237">
        <f>+B7+B14+B21</f>
        <v>3620.15</v>
      </c>
      <c r="C28" s="238"/>
      <c r="D28" s="207"/>
      <c r="E28" s="218"/>
      <c r="L28" s="219"/>
      <c r="M28" s="207"/>
      <c r="N28" s="218"/>
      <c r="R28" s="219"/>
      <c r="S28" s="207"/>
      <c r="T28" s="218"/>
      <c r="X28" s="219"/>
      <c r="Y28" s="212"/>
    </row>
    <row r="29" spans="1:25" ht="5.0999999999999996" customHeight="1" x14ac:dyDescent="0.25">
      <c r="A29" s="210"/>
      <c r="B29" s="218"/>
      <c r="C29" s="219"/>
      <c r="D29" s="207"/>
      <c r="E29" s="218"/>
      <c r="L29" s="219"/>
      <c r="M29" s="207"/>
      <c r="N29" s="218"/>
      <c r="R29" s="219"/>
      <c r="S29" s="207"/>
      <c r="T29" s="218"/>
      <c r="X29" s="219"/>
      <c r="Y29" s="212"/>
    </row>
    <row r="30" spans="1:25" ht="20.100000000000001" customHeight="1" x14ac:dyDescent="0.25">
      <c r="A30" s="210"/>
      <c r="B30" s="218" t="s">
        <v>226</v>
      </c>
      <c r="C30" s="223">
        <f>+C9+C16+C23</f>
        <v>0</v>
      </c>
      <c r="D30" s="207"/>
      <c r="E30" s="218"/>
      <c r="L30" s="219"/>
      <c r="M30" s="207"/>
      <c r="N30" s="218"/>
      <c r="R30" s="219"/>
      <c r="S30" s="207"/>
      <c r="T30" s="218"/>
      <c r="X30" s="219"/>
      <c r="Y30" s="212"/>
    </row>
    <row r="31" spans="1:25" ht="15.75" thickBot="1" x14ac:dyDescent="0.3">
      <c r="A31" s="210"/>
      <c r="B31" s="224" t="s">
        <v>227</v>
      </c>
      <c r="C31" s="225" t="e">
        <f>+B28/C30</f>
        <v>#DIV/0!</v>
      </c>
      <c r="D31" s="207"/>
      <c r="E31" s="224"/>
      <c r="F31" s="160"/>
      <c r="G31" s="160"/>
      <c r="H31" s="160"/>
      <c r="I31" s="160"/>
      <c r="J31" s="160"/>
      <c r="K31" s="160"/>
      <c r="L31" s="228"/>
      <c r="M31" s="207"/>
      <c r="N31" s="224"/>
      <c r="O31" s="160"/>
      <c r="P31" s="160"/>
      <c r="Q31" s="160"/>
      <c r="R31" s="228"/>
      <c r="S31" s="207"/>
      <c r="T31" s="224"/>
      <c r="U31" s="160"/>
      <c r="V31" s="160"/>
      <c r="W31" s="160"/>
      <c r="X31" s="228"/>
      <c r="Y31" s="212"/>
    </row>
    <row r="32" spans="1:25" ht="15.75" thickBot="1" x14ac:dyDescent="0.3">
      <c r="A32" s="210"/>
      <c r="B32" s="207"/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12"/>
    </row>
    <row r="33" spans="1:25" ht="24" x14ac:dyDescent="0.4">
      <c r="A33" s="210"/>
      <c r="B33" s="242" t="s">
        <v>230</v>
      </c>
      <c r="C33" s="243"/>
      <c r="D33" s="207"/>
      <c r="E33" s="213"/>
      <c r="F33" s="214"/>
      <c r="G33" s="214"/>
      <c r="H33" s="214"/>
      <c r="I33" s="214"/>
      <c r="J33" s="214"/>
      <c r="K33" s="214"/>
      <c r="L33" s="215"/>
      <c r="M33" s="207"/>
      <c r="N33" s="213"/>
      <c r="O33" s="214"/>
      <c r="P33" s="214"/>
      <c r="Q33" s="214"/>
      <c r="R33" s="214"/>
      <c r="S33" s="214"/>
      <c r="T33" s="214"/>
      <c r="U33" s="214"/>
      <c r="V33" s="214"/>
      <c r="W33" s="214"/>
      <c r="X33" s="215"/>
      <c r="Y33" s="212"/>
    </row>
    <row r="34" spans="1:25" ht="24" x14ac:dyDescent="0.4">
      <c r="A34" s="210"/>
      <c r="B34" s="226"/>
      <c r="C34" s="227"/>
      <c r="D34" s="207"/>
      <c r="E34" s="218"/>
      <c r="L34" s="219"/>
      <c r="M34" s="207"/>
      <c r="N34" s="218"/>
      <c r="X34" s="219"/>
      <c r="Y34" s="212"/>
    </row>
    <row r="35" spans="1:25" ht="24" customHeight="1" x14ac:dyDescent="0.4">
      <c r="A35" s="210"/>
      <c r="B35" s="237">
        <f>+Summary!B22+Summary!B23+Summary!B24+Summary!B28</f>
        <v>0</v>
      </c>
      <c r="C35" s="238"/>
      <c r="D35" s="207"/>
      <c r="E35" s="218"/>
      <c r="L35" s="219"/>
      <c r="M35" s="207"/>
      <c r="N35" s="218"/>
      <c r="X35" s="219"/>
      <c r="Y35" s="212"/>
    </row>
    <row r="36" spans="1:25" ht="5.0999999999999996" customHeight="1" x14ac:dyDescent="0.25">
      <c r="A36" s="210"/>
      <c r="B36" s="218"/>
      <c r="C36" s="219"/>
      <c r="D36" s="207"/>
      <c r="E36" s="218"/>
      <c r="L36" s="219"/>
      <c r="M36" s="207"/>
      <c r="N36" s="218"/>
      <c r="X36" s="219"/>
      <c r="Y36" s="212"/>
    </row>
    <row r="37" spans="1:25" ht="20.100000000000001" customHeight="1" x14ac:dyDescent="0.25">
      <c r="A37" s="210"/>
      <c r="B37" s="218" t="s">
        <v>231</v>
      </c>
      <c r="C37" s="223">
        <f>+'Dashboard-Retail'!K100+'Dashboard-Retail'!P100</f>
        <v>0</v>
      </c>
      <c r="D37" s="207"/>
      <c r="E37" s="218"/>
      <c r="L37" s="219"/>
      <c r="M37" s="207"/>
      <c r="N37" s="218"/>
      <c r="X37" s="219"/>
      <c r="Y37" s="212"/>
    </row>
    <row r="38" spans="1:25" ht="15.75" thickBot="1" x14ac:dyDescent="0.3">
      <c r="A38" s="210"/>
      <c r="B38" s="224" t="s">
        <v>227</v>
      </c>
      <c r="C38" s="225" t="e">
        <f>+B35/C37</f>
        <v>#DIV/0!</v>
      </c>
      <c r="D38" s="207"/>
      <c r="E38" s="218"/>
      <c r="L38" s="219"/>
      <c r="M38" s="207"/>
      <c r="N38" s="218"/>
      <c r="X38" s="219"/>
      <c r="Y38" s="212"/>
    </row>
    <row r="39" spans="1:25" ht="15.75" thickBot="1" x14ac:dyDescent="0.3">
      <c r="A39" s="210"/>
      <c r="B39" s="207"/>
      <c r="C39" s="207"/>
      <c r="D39" s="207"/>
      <c r="E39" s="218"/>
      <c r="L39" s="219"/>
      <c r="M39" s="207"/>
      <c r="N39" s="218"/>
      <c r="X39" s="219"/>
      <c r="Y39" s="212"/>
    </row>
    <row r="40" spans="1:25" ht="24" x14ac:dyDescent="0.4">
      <c r="A40" s="210"/>
      <c r="B40" s="242" t="s">
        <v>245</v>
      </c>
      <c r="C40" s="243"/>
      <c r="D40" s="207"/>
      <c r="E40" s="218"/>
      <c r="L40" s="219"/>
      <c r="M40" s="207"/>
      <c r="N40" s="218"/>
      <c r="X40" s="219"/>
      <c r="Y40" s="212"/>
    </row>
    <row r="41" spans="1:25" ht="24" x14ac:dyDescent="0.4">
      <c r="A41" s="210"/>
      <c r="B41" s="226"/>
      <c r="C41" s="227"/>
      <c r="D41" s="207"/>
      <c r="E41" s="218"/>
      <c r="L41" s="219"/>
      <c r="M41" s="207"/>
      <c r="N41" s="218"/>
      <c r="X41" s="219"/>
      <c r="Y41" s="212"/>
    </row>
    <row r="42" spans="1:25" x14ac:dyDescent="0.25">
      <c r="A42" s="210"/>
      <c r="B42" s="218"/>
      <c r="C42" s="229"/>
      <c r="D42" s="207"/>
      <c r="E42" s="218"/>
      <c r="L42" s="219"/>
      <c r="M42" s="207"/>
      <c r="N42" s="218"/>
      <c r="X42" s="219"/>
      <c r="Y42" s="212"/>
    </row>
    <row r="43" spans="1:25" ht="24" customHeight="1" x14ac:dyDescent="0.4">
      <c r="A43" s="210"/>
      <c r="B43" s="237">
        <f>+'Cashiers Report'!I37</f>
        <v>28206.04</v>
      </c>
      <c r="C43" s="238"/>
      <c r="D43" s="207"/>
      <c r="E43" s="218"/>
      <c r="L43" s="219"/>
      <c r="M43" s="207"/>
      <c r="N43" s="218"/>
      <c r="X43" s="219"/>
      <c r="Y43" s="212"/>
    </row>
    <row r="44" spans="1:25" ht="20.100000000000001" customHeight="1" x14ac:dyDescent="0.25">
      <c r="A44" s="210"/>
      <c r="B44" s="218"/>
      <c r="C44" s="229"/>
      <c r="D44" s="207"/>
      <c r="E44" s="218"/>
      <c r="L44" s="219"/>
      <c r="M44" s="207"/>
      <c r="N44" s="218"/>
      <c r="X44" s="219"/>
      <c r="Y44" s="212"/>
    </row>
    <row r="45" spans="1:25" ht="15.75" thickBot="1" x14ac:dyDescent="0.3">
      <c r="A45" s="210"/>
      <c r="B45" s="224"/>
      <c r="C45" s="230"/>
      <c r="D45" s="207"/>
      <c r="E45" s="224"/>
      <c r="F45" s="160"/>
      <c r="G45" s="160"/>
      <c r="H45" s="160"/>
      <c r="I45" s="160"/>
      <c r="J45" s="160"/>
      <c r="K45" s="160"/>
      <c r="L45" s="228"/>
      <c r="M45" s="207"/>
      <c r="N45" s="224"/>
      <c r="O45" s="160"/>
      <c r="P45" s="160"/>
      <c r="Q45" s="160"/>
      <c r="R45" s="160"/>
      <c r="S45" s="160"/>
      <c r="T45" s="160"/>
      <c r="U45" s="160"/>
      <c r="V45" s="160"/>
      <c r="W45" s="160"/>
      <c r="X45" s="228"/>
      <c r="Y45" s="212"/>
    </row>
    <row r="46" spans="1:25" ht="15.75" thickBot="1" x14ac:dyDescent="0.3">
      <c r="A46" s="231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3"/>
    </row>
  </sheetData>
  <mergeCells count="17">
    <mergeCell ref="T3:X3"/>
    <mergeCell ref="B5:C5"/>
    <mergeCell ref="E5:J5"/>
    <mergeCell ref="B28:C28"/>
    <mergeCell ref="B33:C33"/>
    <mergeCell ref="B7:C7"/>
    <mergeCell ref="B12:C12"/>
    <mergeCell ref="B14:C14"/>
    <mergeCell ref="B19:C19"/>
    <mergeCell ref="B21:C21"/>
    <mergeCell ref="B26:C26"/>
    <mergeCell ref="B43:C43"/>
    <mergeCell ref="B1:J1"/>
    <mergeCell ref="G2:I2"/>
    <mergeCell ref="B3:D3"/>
    <mergeCell ref="B35:C35"/>
    <mergeCell ref="B40:C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BFFB-37AE-4EC5-B92E-EC7B8ED29FB1}">
  <dimension ref="A1:AF211"/>
  <sheetViews>
    <sheetView workbookViewId="0"/>
  </sheetViews>
  <sheetFormatPr defaultRowHeight="15" x14ac:dyDescent="0.25"/>
  <cols>
    <col min="1" max="1" width="28.85546875" customWidth="1"/>
  </cols>
  <sheetData>
    <row r="1" spans="1:12" ht="26.25" x14ac:dyDescent="0.4">
      <c r="A1" s="9" t="str">
        <f>+Input!B2</f>
        <v>ENGEN JETPARK</v>
      </c>
      <c r="B1" s="5"/>
      <c r="C1" s="5"/>
      <c r="D1" s="5"/>
    </row>
    <row r="2" spans="1:12" x14ac:dyDescent="0.25">
      <c r="B2" s="5"/>
      <c r="C2" s="5"/>
      <c r="D2" s="5"/>
    </row>
    <row r="3" spans="1:12" ht="24.75" thickBot="1" x14ac:dyDescent="0.45">
      <c r="A3" s="10" t="s">
        <v>201</v>
      </c>
      <c r="B3" s="236">
        <f>+Input!B6</f>
        <v>46143</v>
      </c>
      <c r="C3" s="236"/>
      <c r="D3" s="236"/>
    </row>
    <row r="4" spans="1:12" x14ac:dyDescent="0.25">
      <c r="H4" s="141"/>
      <c r="J4" s="140"/>
      <c r="L4" s="140"/>
    </row>
    <row r="5" spans="1:12" x14ac:dyDescent="0.25">
      <c r="G5" s="13"/>
      <c r="H5" s="5"/>
      <c r="I5" s="5"/>
      <c r="J5" s="5"/>
      <c r="L5" s="5"/>
    </row>
    <row r="6" spans="1:12" x14ac:dyDescent="0.25">
      <c r="G6" s="13"/>
      <c r="H6" s="5"/>
      <c r="I6" s="5"/>
      <c r="J6" s="5"/>
      <c r="L6" s="5"/>
    </row>
    <row r="7" spans="1:12" x14ac:dyDescent="0.25">
      <c r="G7" s="13"/>
      <c r="H7" s="144"/>
      <c r="J7" s="144"/>
      <c r="L7" s="144"/>
    </row>
    <row r="8" spans="1:12" x14ac:dyDescent="0.25">
      <c r="G8" s="13"/>
      <c r="H8" s="145"/>
      <c r="J8" s="145"/>
      <c r="L8" s="145"/>
    </row>
    <row r="103" spans="1:22" ht="15.75" thickBot="1" x14ac:dyDescent="0.3"/>
    <row r="104" spans="1:22" ht="15.75" thickBot="1" x14ac:dyDescent="0.3">
      <c r="A104" s="104" t="s">
        <v>198</v>
      </c>
      <c r="B104" s="46" t="s">
        <v>16</v>
      </c>
      <c r="C104" s="17" t="s">
        <v>185</v>
      </c>
      <c r="D104" s="47" t="s">
        <v>186</v>
      </c>
      <c r="E104" s="28" t="s">
        <v>68</v>
      </c>
      <c r="K104" s="46" t="s">
        <v>16</v>
      </c>
      <c r="L104" s="28" t="s">
        <v>200</v>
      </c>
      <c r="O104" s="17" t="s">
        <v>185</v>
      </c>
      <c r="P104" s="28" t="s">
        <v>200</v>
      </c>
      <c r="S104" s="47" t="s">
        <v>186</v>
      </c>
      <c r="T104" s="28" t="s">
        <v>200</v>
      </c>
      <c r="V104" s="28" t="s">
        <v>200</v>
      </c>
    </row>
    <row r="105" spans="1:22" x14ac:dyDescent="0.25">
      <c r="A105" s="121">
        <v>1</v>
      </c>
      <c r="B105" s="153">
        <f>+'1'!I12</f>
        <v>1659.39</v>
      </c>
      <c r="C105" s="153">
        <f>+'1'!J12</f>
        <v>1920.7</v>
      </c>
      <c r="D105" s="153">
        <f>+'1'!K12</f>
        <v>40.06</v>
      </c>
      <c r="E105" s="155">
        <f>SUM(B105:D105)</f>
        <v>3620.15</v>
      </c>
      <c r="H105" t="str">
        <f>+Input!B10</f>
        <v>Friday</v>
      </c>
      <c r="J105" s="1">
        <f t="shared" ref="J105:J135" si="0">+A105</f>
        <v>1</v>
      </c>
      <c r="K105" s="151">
        <f t="shared" ref="K105:K135" si="1">+B105</f>
        <v>1659.39</v>
      </c>
      <c r="L105" s="151"/>
      <c r="N105" s="1">
        <f t="shared" ref="N105:N135" si="2">+J105</f>
        <v>1</v>
      </c>
      <c r="O105" s="151">
        <f t="shared" ref="O105:O135" si="3">+C105</f>
        <v>1920.7</v>
      </c>
      <c r="P105" s="151"/>
      <c r="R105" s="1">
        <f t="shared" ref="R105:R135" si="4">+J105</f>
        <v>1</v>
      </c>
      <c r="S105" s="151">
        <f t="shared" ref="S105:S135" si="5">+D105</f>
        <v>40.06</v>
      </c>
      <c r="T105" s="151"/>
      <c r="V105" s="151">
        <f t="shared" ref="V105:V135" si="6">+L105+P105+T105</f>
        <v>0</v>
      </c>
    </row>
    <row r="106" spans="1:22" x14ac:dyDescent="0.25">
      <c r="A106" s="121">
        <f>+A105+1</f>
        <v>2</v>
      </c>
      <c r="B106" s="153">
        <f>+'2'!I12</f>
        <v>0</v>
      </c>
      <c r="C106" s="153">
        <f>+'2'!J12</f>
        <v>0</v>
      </c>
      <c r="D106" s="153">
        <f>+'2'!K12</f>
        <v>0</v>
      </c>
      <c r="E106" s="155">
        <f t="shared" ref="E106:E135" si="7">SUM(B106:D106)</f>
        <v>0</v>
      </c>
      <c r="H106" t="str">
        <f>+Input!B11</f>
        <v>Saturday</v>
      </c>
      <c r="J106" s="1">
        <f t="shared" si="0"/>
        <v>2</v>
      </c>
      <c r="K106" s="151">
        <f t="shared" si="1"/>
        <v>0</v>
      </c>
      <c r="L106" s="151"/>
      <c r="N106" s="1">
        <f t="shared" si="2"/>
        <v>2</v>
      </c>
      <c r="O106" s="151">
        <f t="shared" si="3"/>
        <v>0</v>
      </c>
      <c r="P106" s="151"/>
      <c r="R106" s="1">
        <f t="shared" si="4"/>
        <v>2</v>
      </c>
      <c r="S106" s="151">
        <f t="shared" si="5"/>
        <v>0</v>
      </c>
      <c r="T106" s="151"/>
      <c r="V106" s="151">
        <f t="shared" si="6"/>
        <v>0</v>
      </c>
    </row>
    <row r="107" spans="1:22" x14ac:dyDescent="0.25">
      <c r="A107" s="121">
        <f t="shared" ref="A107:A135" si="8">+A106+1</f>
        <v>3</v>
      </c>
      <c r="B107" s="153">
        <f>+'3'!I12</f>
        <v>0</v>
      </c>
      <c r="C107" s="153">
        <f>+'3'!J12</f>
        <v>0</v>
      </c>
      <c r="D107" s="153">
        <f>+'3'!K12</f>
        <v>0</v>
      </c>
      <c r="E107" s="155">
        <f t="shared" si="7"/>
        <v>0</v>
      </c>
      <c r="H107" t="str">
        <f>+Input!B12</f>
        <v>Sunday</v>
      </c>
      <c r="J107" s="1">
        <f t="shared" si="0"/>
        <v>3</v>
      </c>
      <c r="K107" s="151">
        <f t="shared" si="1"/>
        <v>0</v>
      </c>
      <c r="L107" s="151"/>
      <c r="N107" s="1">
        <f t="shared" si="2"/>
        <v>3</v>
      </c>
      <c r="O107" s="151">
        <f t="shared" si="3"/>
        <v>0</v>
      </c>
      <c r="P107" s="151"/>
      <c r="R107" s="1">
        <f t="shared" si="4"/>
        <v>3</v>
      </c>
      <c r="S107" s="151">
        <f t="shared" si="5"/>
        <v>0</v>
      </c>
      <c r="T107" s="151"/>
      <c r="V107" s="151">
        <f t="shared" si="6"/>
        <v>0</v>
      </c>
    </row>
    <row r="108" spans="1:22" x14ac:dyDescent="0.25">
      <c r="A108" s="121">
        <f t="shared" si="8"/>
        <v>4</v>
      </c>
      <c r="B108" s="153">
        <f>+'4'!I12</f>
        <v>0</v>
      </c>
      <c r="C108" s="153">
        <f>+'4'!J12</f>
        <v>0</v>
      </c>
      <c r="D108" s="153">
        <f>+'4'!K12</f>
        <v>0</v>
      </c>
      <c r="E108" s="155">
        <f t="shared" si="7"/>
        <v>0</v>
      </c>
      <c r="H108" t="str">
        <f>+Input!B13</f>
        <v>Monday</v>
      </c>
      <c r="J108" s="1">
        <f t="shared" si="0"/>
        <v>4</v>
      </c>
      <c r="K108" s="151">
        <f t="shared" si="1"/>
        <v>0</v>
      </c>
      <c r="L108" s="151"/>
      <c r="N108" s="1">
        <f t="shared" si="2"/>
        <v>4</v>
      </c>
      <c r="O108" s="151">
        <f t="shared" si="3"/>
        <v>0</v>
      </c>
      <c r="P108" s="151"/>
      <c r="R108" s="1">
        <f t="shared" si="4"/>
        <v>4</v>
      </c>
      <c r="S108" s="151">
        <f t="shared" si="5"/>
        <v>0</v>
      </c>
      <c r="T108" s="151"/>
      <c r="V108" s="151">
        <f t="shared" si="6"/>
        <v>0</v>
      </c>
    </row>
    <row r="109" spans="1:22" x14ac:dyDescent="0.25">
      <c r="A109" s="121">
        <f t="shared" si="8"/>
        <v>5</v>
      </c>
      <c r="B109" s="153">
        <f>+'5'!I12</f>
        <v>0</v>
      </c>
      <c r="C109" s="153">
        <f>+'5'!J12</f>
        <v>0</v>
      </c>
      <c r="D109" s="153">
        <f>+'5'!K12</f>
        <v>0</v>
      </c>
      <c r="E109" s="155">
        <f t="shared" si="7"/>
        <v>0</v>
      </c>
      <c r="H109" t="str">
        <f>+Input!B14</f>
        <v>Tuesday</v>
      </c>
      <c r="J109" s="1">
        <f t="shared" si="0"/>
        <v>5</v>
      </c>
      <c r="K109" s="151">
        <f t="shared" si="1"/>
        <v>0</v>
      </c>
      <c r="L109" s="151"/>
      <c r="N109" s="1">
        <f t="shared" si="2"/>
        <v>5</v>
      </c>
      <c r="O109" s="151">
        <f t="shared" si="3"/>
        <v>0</v>
      </c>
      <c r="P109" s="151"/>
      <c r="R109" s="1">
        <f t="shared" si="4"/>
        <v>5</v>
      </c>
      <c r="S109" s="151">
        <f t="shared" si="5"/>
        <v>0</v>
      </c>
      <c r="T109" s="151"/>
      <c r="V109" s="151">
        <f t="shared" si="6"/>
        <v>0</v>
      </c>
    </row>
    <row r="110" spans="1:22" x14ac:dyDescent="0.25">
      <c r="A110" s="121">
        <f t="shared" si="8"/>
        <v>6</v>
      </c>
      <c r="B110" s="153">
        <f>+'6'!I12</f>
        <v>0</v>
      </c>
      <c r="C110" s="153">
        <f>+'6'!J12</f>
        <v>0</v>
      </c>
      <c r="D110" s="153">
        <f>+'6'!K12</f>
        <v>0</v>
      </c>
      <c r="E110" s="155">
        <f t="shared" si="7"/>
        <v>0</v>
      </c>
      <c r="H110" t="str">
        <f>+Input!B15</f>
        <v>Wednesday</v>
      </c>
      <c r="J110" s="1">
        <f t="shared" si="0"/>
        <v>6</v>
      </c>
      <c r="K110" s="151">
        <f t="shared" si="1"/>
        <v>0</v>
      </c>
      <c r="L110" s="151"/>
      <c r="N110" s="1">
        <f t="shared" si="2"/>
        <v>6</v>
      </c>
      <c r="O110" s="151">
        <f t="shared" si="3"/>
        <v>0</v>
      </c>
      <c r="P110" s="151"/>
      <c r="R110" s="1">
        <f t="shared" si="4"/>
        <v>6</v>
      </c>
      <c r="S110" s="151">
        <f t="shared" si="5"/>
        <v>0</v>
      </c>
      <c r="T110" s="151"/>
      <c r="V110" s="151">
        <f t="shared" si="6"/>
        <v>0</v>
      </c>
    </row>
    <row r="111" spans="1:22" x14ac:dyDescent="0.25">
      <c r="A111" s="121">
        <f t="shared" si="8"/>
        <v>7</v>
      </c>
      <c r="B111" s="153">
        <f>+'7'!I12</f>
        <v>0</v>
      </c>
      <c r="C111" s="153">
        <f>+'7'!J12</f>
        <v>0</v>
      </c>
      <c r="D111" s="153">
        <f>+'7'!K12</f>
        <v>0</v>
      </c>
      <c r="E111" s="155">
        <f t="shared" si="7"/>
        <v>0</v>
      </c>
      <c r="H111" t="str">
        <f>+Input!B16</f>
        <v>Thursday</v>
      </c>
      <c r="J111" s="1">
        <f t="shared" si="0"/>
        <v>7</v>
      </c>
      <c r="K111" s="151">
        <f t="shared" si="1"/>
        <v>0</v>
      </c>
      <c r="L111" s="151"/>
      <c r="N111" s="1">
        <f t="shared" si="2"/>
        <v>7</v>
      </c>
      <c r="O111" s="151">
        <f t="shared" si="3"/>
        <v>0</v>
      </c>
      <c r="P111" s="151"/>
      <c r="R111" s="1">
        <f t="shared" si="4"/>
        <v>7</v>
      </c>
      <c r="S111" s="151">
        <f t="shared" si="5"/>
        <v>0</v>
      </c>
      <c r="T111" s="151"/>
      <c r="V111" s="151">
        <f t="shared" si="6"/>
        <v>0</v>
      </c>
    </row>
    <row r="112" spans="1:22" x14ac:dyDescent="0.25">
      <c r="A112" s="121">
        <f t="shared" si="8"/>
        <v>8</v>
      </c>
      <c r="B112" s="153">
        <f>+'8'!I12</f>
        <v>0</v>
      </c>
      <c r="C112" s="153">
        <f>+'8'!J12</f>
        <v>0</v>
      </c>
      <c r="D112" s="153">
        <f>+'8'!K12</f>
        <v>0</v>
      </c>
      <c r="E112" s="155">
        <f t="shared" si="7"/>
        <v>0</v>
      </c>
      <c r="H112" t="str">
        <f>+Input!B17</f>
        <v>Friday</v>
      </c>
      <c r="J112" s="1">
        <f t="shared" si="0"/>
        <v>8</v>
      </c>
      <c r="K112" s="151">
        <f t="shared" si="1"/>
        <v>0</v>
      </c>
      <c r="L112" s="151"/>
      <c r="N112" s="1">
        <f t="shared" si="2"/>
        <v>8</v>
      </c>
      <c r="O112" s="151">
        <f t="shared" si="3"/>
        <v>0</v>
      </c>
      <c r="P112" s="151"/>
      <c r="R112" s="1">
        <f t="shared" si="4"/>
        <v>8</v>
      </c>
      <c r="S112" s="151">
        <f t="shared" si="5"/>
        <v>0</v>
      </c>
      <c r="T112" s="151"/>
      <c r="V112" s="151">
        <f t="shared" si="6"/>
        <v>0</v>
      </c>
    </row>
    <row r="113" spans="1:22" x14ac:dyDescent="0.25">
      <c r="A113" s="121">
        <f t="shared" si="8"/>
        <v>9</v>
      </c>
      <c r="B113" s="153">
        <f>+'9'!I12</f>
        <v>0</v>
      </c>
      <c r="C113" s="153">
        <f>+'9'!J12</f>
        <v>0</v>
      </c>
      <c r="D113" s="153">
        <f>+'9'!K12</f>
        <v>0</v>
      </c>
      <c r="E113" s="155">
        <f t="shared" si="7"/>
        <v>0</v>
      </c>
      <c r="H113" t="str">
        <f>+Input!B18</f>
        <v>Saturday</v>
      </c>
      <c r="J113" s="1">
        <f t="shared" si="0"/>
        <v>9</v>
      </c>
      <c r="K113" s="151">
        <f t="shared" si="1"/>
        <v>0</v>
      </c>
      <c r="L113" s="151"/>
      <c r="N113" s="1">
        <f t="shared" si="2"/>
        <v>9</v>
      </c>
      <c r="O113" s="151">
        <f t="shared" si="3"/>
        <v>0</v>
      </c>
      <c r="P113" s="151"/>
      <c r="R113" s="1">
        <f t="shared" si="4"/>
        <v>9</v>
      </c>
      <c r="S113" s="151">
        <f t="shared" si="5"/>
        <v>0</v>
      </c>
      <c r="T113" s="151"/>
      <c r="V113" s="151">
        <f t="shared" si="6"/>
        <v>0</v>
      </c>
    </row>
    <row r="114" spans="1:22" x14ac:dyDescent="0.25">
      <c r="A114" s="121">
        <f t="shared" si="8"/>
        <v>10</v>
      </c>
      <c r="B114" s="153">
        <f>+'10'!I12</f>
        <v>0</v>
      </c>
      <c r="C114" s="153">
        <f>+'10'!J12</f>
        <v>0</v>
      </c>
      <c r="D114" s="153">
        <f>+'10'!K12</f>
        <v>0</v>
      </c>
      <c r="E114" s="155">
        <f t="shared" si="7"/>
        <v>0</v>
      </c>
      <c r="H114" t="str">
        <f>+Input!B19</f>
        <v>Sunday</v>
      </c>
      <c r="J114" s="1">
        <f t="shared" si="0"/>
        <v>10</v>
      </c>
      <c r="K114" s="151">
        <f t="shared" si="1"/>
        <v>0</v>
      </c>
      <c r="L114" s="151"/>
      <c r="N114" s="1">
        <f t="shared" si="2"/>
        <v>10</v>
      </c>
      <c r="O114" s="151">
        <f t="shared" si="3"/>
        <v>0</v>
      </c>
      <c r="P114" s="151"/>
      <c r="R114" s="1">
        <f t="shared" si="4"/>
        <v>10</v>
      </c>
      <c r="S114" s="151">
        <f t="shared" si="5"/>
        <v>0</v>
      </c>
      <c r="T114" s="151"/>
      <c r="V114" s="151">
        <f t="shared" si="6"/>
        <v>0</v>
      </c>
    </row>
    <row r="115" spans="1:22" x14ac:dyDescent="0.25">
      <c r="A115" s="121">
        <f t="shared" si="8"/>
        <v>11</v>
      </c>
      <c r="B115" s="153">
        <f>+'11'!I12</f>
        <v>0</v>
      </c>
      <c r="C115" s="153">
        <f>+'11'!J12</f>
        <v>0</v>
      </c>
      <c r="D115" s="153">
        <f>+'11'!K12</f>
        <v>0</v>
      </c>
      <c r="E115" s="155">
        <f t="shared" si="7"/>
        <v>0</v>
      </c>
      <c r="H115" t="str">
        <f>+Input!B20</f>
        <v>Monday</v>
      </c>
      <c r="J115" s="1">
        <f t="shared" si="0"/>
        <v>11</v>
      </c>
      <c r="K115" s="151">
        <f t="shared" si="1"/>
        <v>0</v>
      </c>
      <c r="L115" s="151"/>
      <c r="N115" s="1">
        <f t="shared" si="2"/>
        <v>11</v>
      </c>
      <c r="O115" s="151">
        <f t="shared" si="3"/>
        <v>0</v>
      </c>
      <c r="P115" s="151"/>
      <c r="R115" s="1">
        <f t="shared" si="4"/>
        <v>11</v>
      </c>
      <c r="S115" s="151">
        <f t="shared" si="5"/>
        <v>0</v>
      </c>
      <c r="T115" s="151"/>
      <c r="V115" s="151">
        <f t="shared" si="6"/>
        <v>0</v>
      </c>
    </row>
    <row r="116" spans="1:22" x14ac:dyDescent="0.25">
      <c r="A116" s="121">
        <f t="shared" si="8"/>
        <v>12</v>
      </c>
      <c r="B116" s="153">
        <f>+'12'!I12</f>
        <v>0</v>
      </c>
      <c r="C116" s="153">
        <f>+'12'!J12</f>
        <v>0</v>
      </c>
      <c r="D116" s="153">
        <f>+'12'!K12</f>
        <v>0</v>
      </c>
      <c r="E116" s="155">
        <f t="shared" si="7"/>
        <v>0</v>
      </c>
      <c r="H116" t="str">
        <f>+Input!B21</f>
        <v>Tuesday</v>
      </c>
      <c r="J116" s="1">
        <f t="shared" si="0"/>
        <v>12</v>
      </c>
      <c r="K116" s="151">
        <f t="shared" si="1"/>
        <v>0</v>
      </c>
      <c r="L116" s="151"/>
      <c r="N116" s="1">
        <f t="shared" si="2"/>
        <v>12</v>
      </c>
      <c r="O116" s="151">
        <f t="shared" si="3"/>
        <v>0</v>
      </c>
      <c r="P116" s="151"/>
      <c r="R116" s="1">
        <f t="shared" si="4"/>
        <v>12</v>
      </c>
      <c r="S116" s="151">
        <f t="shared" si="5"/>
        <v>0</v>
      </c>
      <c r="T116" s="151"/>
      <c r="V116" s="151">
        <f t="shared" si="6"/>
        <v>0</v>
      </c>
    </row>
    <row r="117" spans="1:22" x14ac:dyDescent="0.25">
      <c r="A117" s="121">
        <f t="shared" si="8"/>
        <v>13</v>
      </c>
      <c r="B117" s="153">
        <f>+'13'!I12</f>
        <v>0</v>
      </c>
      <c r="C117" s="153">
        <f>+'13'!J12</f>
        <v>0</v>
      </c>
      <c r="D117" s="153">
        <f>+'13'!K12</f>
        <v>0</v>
      </c>
      <c r="E117" s="155">
        <f t="shared" si="7"/>
        <v>0</v>
      </c>
      <c r="H117" t="str">
        <f>+Input!B22</f>
        <v>Wednesday</v>
      </c>
      <c r="J117" s="1">
        <f t="shared" si="0"/>
        <v>13</v>
      </c>
      <c r="K117" s="151">
        <f t="shared" si="1"/>
        <v>0</v>
      </c>
      <c r="L117" s="151"/>
      <c r="N117" s="1">
        <f t="shared" si="2"/>
        <v>13</v>
      </c>
      <c r="O117" s="151">
        <f t="shared" si="3"/>
        <v>0</v>
      </c>
      <c r="P117" s="151"/>
      <c r="R117" s="1">
        <f t="shared" si="4"/>
        <v>13</v>
      </c>
      <c r="S117" s="151">
        <f t="shared" si="5"/>
        <v>0</v>
      </c>
      <c r="T117" s="151"/>
      <c r="V117" s="151">
        <f t="shared" si="6"/>
        <v>0</v>
      </c>
    </row>
    <row r="118" spans="1:22" x14ac:dyDescent="0.25">
      <c r="A118" s="121">
        <f t="shared" si="8"/>
        <v>14</v>
      </c>
      <c r="B118" s="153">
        <f>+'14'!I12</f>
        <v>0</v>
      </c>
      <c r="C118" s="153">
        <f>+'14'!J12</f>
        <v>0</v>
      </c>
      <c r="D118" s="153">
        <f>+'14'!K12</f>
        <v>0</v>
      </c>
      <c r="E118" s="155">
        <f t="shared" si="7"/>
        <v>0</v>
      </c>
      <c r="H118" t="str">
        <f>+Input!B23</f>
        <v>Thursday</v>
      </c>
      <c r="J118" s="1">
        <f t="shared" si="0"/>
        <v>14</v>
      </c>
      <c r="K118" s="151">
        <f t="shared" si="1"/>
        <v>0</v>
      </c>
      <c r="L118" s="151"/>
      <c r="N118" s="1">
        <f t="shared" si="2"/>
        <v>14</v>
      </c>
      <c r="O118" s="151">
        <f t="shared" si="3"/>
        <v>0</v>
      </c>
      <c r="P118" s="151"/>
      <c r="R118" s="1">
        <f t="shared" si="4"/>
        <v>14</v>
      </c>
      <c r="S118" s="151">
        <f t="shared" si="5"/>
        <v>0</v>
      </c>
      <c r="T118" s="151"/>
      <c r="V118" s="151">
        <f t="shared" si="6"/>
        <v>0</v>
      </c>
    </row>
    <row r="119" spans="1:22" x14ac:dyDescent="0.25">
      <c r="A119" s="121">
        <f t="shared" si="8"/>
        <v>15</v>
      </c>
      <c r="B119" s="153">
        <f>+'15'!I12</f>
        <v>0</v>
      </c>
      <c r="C119" s="153">
        <f>+'15'!J12</f>
        <v>0</v>
      </c>
      <c r="D119" s="153">
        <f>+'15'!K12</f>
        <v>0</v>
      </c>
      <c r="E119" s="155">
        <f t="shared" si="7"/>
        <v>0</v>
      </c>
      <c r="H119" t="str">
        <f>+Input!B24</f>
        <v>Friday</v>
      </c>
      <c r="J119" s="1">
        <f t="shared" si="0"/>
        <v>15</v>
      </c>
      <c r="K119" s="151">
        <f t="shared" si="1"/>
        <v>0</v>
      </c>
      <c r="L119" s="151"/>
      <c r="N119" s="1">
        <f t="shared" si="2"/>
        <v>15</v>
      </c>
      <c r="O119" s="151">
        <f t="shared" si="3"/>
        <v>0</v>
      </c>
      <c r="P119" s="151"/>
      <c r="R119" s="1">
        <f t="shared" si="4"/>
        <v>15</v>
      </c>
      <c r="S119" s="151">
        <f t="shared" si="5"/>
        <v>0</v>
      </c>
      <c r="T119" s="151"/>
      <c r="V119" s="151">
        <f t="shared" si="6"/>
        <v>0</v>
      </c>
    </row>
    <row r="120" spans="1:22" x14ac:dyDescent="0.25">
      <c r="A120" s="121">
        <f t="shared" si="8"/>
        <v>16</v>
      </c>
      <c r="B120" s="153">
        <f>+'16'!I12</f>
        <v>0</v>
      </c>
      <c r="C120" s="153">
        <f>+'16'!J12</f>
        <v>0</v>
      </c>
      <c r="D120" s="153">
        <f>+'16'!K12</f>
        <v>0</v>
      </c>
      <c r="E120" s="155">
        <f t="shared" si="7"/>
        <v>0</v>
      </c>
      <c r="H120" t="str">
        <f>+Input!B25</f>
        <v>Saturday</v>
      </c>
      <c r="J120" s="1">
        <f t="shared" si="0"/>
        <v>16</v>
      </c>
      <c r="K120" s="151">
        <f t="shared" si="1"/>
        <v>0</v>
      </c>
      <c r="L120" s="151"/>
      <c r="N120" s="1">
        <f t="shared" si="2"/>
        <v>16</v>
      </c>
      <c r="O120" s="151">
        <f t="shared" si="3"/>
        <v>0</v>
      </c>
      <c r="P120" s="151"/>
      <c r="R120" s="1">
        <f t="shared" si="4"/>
        <v>16</v>
      </c>
      <c r="S120" s="151">
        <f t="shared" si="5"/>
        <v>0</v>
      </c>
      <c r="T120" s="151"/>
      <c r="V120" s="151">
        <f t="shared" si="6"/>
        <v>0</v>
      </c>
    </row>
    <row r="121" spans="1:22" x14ac:dyDescent="0.25">
      <c r="A121" s="121">
        <f t="shared" si="8"/>
        <v>17</v>
      </c>
      <c r="B121" s="153">
        <f>+'17'!I12</f>
        <v>0</v>
      </c>
      <c r="C121" s="153">
        <f>+'17'!J12</f>
        <v>0</v>
      </c>
      <c r="D121" s="153">
        <f>+'17'!K12</f>
        <v>0</v>
      </c>
      <c r="E121" s="155">
        <f t="shared" si="7"/>
        <v>0</v>
      </c>
      <c r="H121" t="str">
        <f>+Input!B26</f>
        <v>Sunday</v>
      </c>
      <c r="J121" s="1">
        <f t="shared" si="0"/>
        <v>17</v>
      </c>
      <c r="K121" s="151">
        <f t="shared" si="1"/>
        <v>0</v>
      </c>
      <c r="L121" s="151"/>
      <c r="N121" s="1">
        <f t="shared" si="2"/>
        <v>17</v>
      </c>
      <c r="O121" s="151">
        <f t="shared" si="3"/>
        <v>0</v>
      </c>
      <c r="P121" s="151"/>
      <c r="R121" s="1">
        <f t="shared" si="4"/>
        <v>17</v>
      </c>
      <c r="S121" s="151">
        <f t="shared" si="5"/>
        <v>0</v>
      </c>
      <c r="T121" s="151"/>
      <c r="V121" s="151">
        <f t="shared" si="6"/>
        <v>0</v>
      </c>
    </row>
    <row r="122" spans="1:22" x14ac:dyDescent="0.25">
      <c r="A122" s="121">
        <f t="shared" si="8"/>
        <v>18</v>
      </c>
      <c r="B122" s="153">
        <f>+'18'!I12</f>
        <v>0</v>
      </c>
      <c r="C122" s="153">
        <f>+'18'!J12</f>
        <v>0</v>
      </c>
      <c r="D122" s="153">
        <f>+'18'!K12</f>
        <v>0</v>
      </c>
      <c r="E122" s="155">
        <f t="shared" si="7"/>
        <v>0</v>
      </c>
      <c r="H122" t="str">
        <f>+Input!B27</f>
        <v>Monday</v>
      </c>
      <c r="J122" s="1">
        <f t="shared" si="0"/>
        <v>18</v>
      </c>
      <c r="K122" s="151">
        <f t="shared" si="1"/>
        <v>0</v>
      </c>
      <c r="L122" s="151"/>
      <c r="N122" s="1">
        <f t="shared" si="2"/>
        <v>18</v>
      </c>
      <c r="O122" s="151">
        <f t="shared" si="3"/>
        <v>0</v>
      </c>
      <c r="P122" s="151"/>
      <c r="R122" s="1">
        <f t="shared" si="4"/>
        <v>18</v>
      </c>
      <c r="S122" s="151">
        <f t="shared" si="5"/>
        <v>0</v>
      </c>
      <c r="T122" s="151"/>
      <c r="V122" s="151">
        <f t="shared" si="6"/>
        <v>0</v>
      </c>
    </row>
    <row r="123" spans="1:22" x14ac:dyDescent="0.25">
      <c r="A123" s="121">
        <f t="shared" si="8"/>
        <v>19</v>
      </c>
      <c r="B123" s="153">
        <f>+'19'!I12</f>
        <v>0</v>
      </c>
      <c r="C123" s="153">
        <f>+'19'!J12</f>
        <v>0</v>
      </c>
      <c r="D123" s="153">
        <f>+'19'!K12</f>
        <v>0</v>
      </c>
      <c r="E123" s="155">
        <f t="shared" si="7"/>
        <v>0</v>
      </c>
      <c r="H123" t="str">
        <f>+Input!B28</f>
        <v>Tuesday</v>
      </c>
      <c r="J123" s="1">
        <f t="shared" si="0"/>
        <v>19</v>
      </c>
      <c r="K123" s="151">
        <f t="shared" si="1"/>
        <v>0</v>
      </c>
      <c r="L123" s="151"/>
      <c r="N123" s="1">
        <f t="shared" si="2"/>
        <v>19</v>
      </c>
      <c r="O123" s="151">
        <f t="shared" si="3"/>
        <v>0</v>
      </c>
      <c r="P123" s="151"/>
      <c r="R123" s="1">
        <f t="shared" si="4"/>
        <v>19</v>
      </c>
      <c r="S123" s="151">
        <f t="shared" si="5"/>
        <v>0</v>
      </c>
      <c r="T123" s="151"/>
      <c r="V123" s="151">
        <f t="shared" si="6"/>
        <v>0</v>
      </c>
    </row>
    <row r="124" spans="1:22" x14ac:dyDescent="0.25">
      <c r="A124" s="121">
        <f t="shared" si="8"/>
        <v>20</v>
      </c>
      <c r="B124" s="153">
        <f>+'20'!I12</f>
        <v>0</v>
      </c>
      <c r="C124" s="153">
        <f>+'20'!J12</f>
        <v>0</v>
      </c>
      <c r="D124" s="153">
        <f>+'20'!K12</f>
        <v>0</v>
      </c>
      <c r="E124" s="155">
        <f t="shared" si="7"/>
        <v>0</v>
      </c>
      <c r="H124" t="str">
        <f>+Input!B29</f>
        <v>Wednesday</v>
      </c>
      <c r="J124" s="1">
        <f t="shared" si="0"/>
        <v>20</v>
      </c>
      <c r="K124" s="151">
        <f t="shared" si="1"/>
        <v>0</v>
      </c>
      <c r="L124" s="151"/>
      <c r="N124" s="1">
        <f t="shared" si="2"/>
        <v>20</v>
      </c>
      <c r="O124" s="151">
        <f t="shared" si="3"/>
        <v>0</v>
      </c>
      <c r="P124" s="151"/>
      <c r="R124" s="1">
        <f t="shared" si="4"/>
        <v>20</v>
      </c>
      <c r="S124" s="151">
        <f t="shared" si="5"/>
        <v>0</v>
      </c>
      <c r="T124" s="151"/>
      <c r="V124" s="151">
        <f t="shared" si="6"/>
        <v>0</v>
      </c>
    </row>
    <row r="125" spans="1:22" x14ac:dyDescent="0.25">
      <c r="A125" s="121">
        <f t="shared" si="8"/>
        <v>21</v>
      </c>
      <c r="B125" s="153">
        <f>+'21'!I12</f>
        <v>0</v>
      </c>
      <c r="C125" s="153">
        <f>+'21'!J12</f>
        <v>0</v>
      </c>
      <c r="D125" s="153">
        <f>+'21'!K12</f>
        <v>0</v>
      </c>
      <c r="E125" s="155">
        <f t="shared" si="7"/>
        <v>0</v>
      </c>
      <c r="H125" t="str">
        <f>+Input!B30</f>
        <v>Thursday</v>
      </c>
      <c r="J125" s="1">
        <f t="shared" si="0"/>
        <v>21</v>
      </c>
      <c r="K125" s="151">
        <f t="shared" si="1"/>
        <v>0</v>
      </c>
      <c r="L125" s="151"/>
      <c r="N125" s="1">
        <f t="shared" si="2"/>
        <v>21</v>
      </c>
      <c r="O125" s="151">
        <f t="shared" si="3"/>
        <v>0</v>
      </c>
      <c r="P125" s="151"/>
      <c r="R125" s="1">
        <f t="shared" si="4"/>
        <v>21</v>
      </c>
      <c r="S125" s="151">
        <f t="shared" si="5"/>
        <v>0</v>
      </c>
      <c r="T125" s="151"/>
      <c r="V125" s="151">
        <f t="shared" si="6"/>
        <v>0</v>
      </c>
    </row>
    <row r="126" spans="1:22" x14ac:dyDescent="0.25">
      <c r="A126" s="121">
        <f t="shared" si="8"/>
        <v>22</v>
      </c>
      <c r="B126" s="153">
        <f>+'22'!I12</f>
        <v>0</v>
      </c>
      <c r="C126" s="153">
        <f>+'22'!J12</f>
        <v>0</v>
      </c>
      <c r="D126" s="153">
        <f>+'22'!K12</f>
        <v>0</v>
      </c>
      <c r="E126" s="155">
        <f t="shared" si="7"/>
        <v>0</v>
      </c>
      <c r="H126" t="str">
        <f>+Input!B31</f>
        <v>Friday</v>
      </c>
      <c r="J126" s="1">
        <f t="shared" si="0"/>
        <v>22</v>
      </c>
      <c r="K126" s="151">
        <f t="shared" si="1"/>
        <v>0</v>
      </c>
      <c r="L126" s="151"/>
      <c r="N126" s="1">
        <f t="shared" si="2"/>
        <v>22</v>
      </c>
      <c r="O126" s="151">
        <f t="shared" si="3"/>
        <v>0</v>
      </c>
      <c r="P126" s="151"/>
      <c r="R126" s="1">
        <f t="shared" si="4"/>
        <v>22</v>
      </c>
      <c r="S126" s="151">
        <f t="shared" si="5"/>
        <v>0</v>
      </c>
      <c r="T126" s="151"/>
      <c r="V126" s="151">
        <f t="shared" si="6"/>
        <v>0</v>
      </c>
    </row>
    <row r="127" spans="1:22" x14ac:dyDescent="0.25">
      <c r="A127" s="121">
        <f t="shared" si="8"/>
        <v>23</v>
      </c>
      <c r="B127" s="153">
        <f>+'23'!I12</f>
        <v>0</v>
      </c>
      <c r="C127" s="153">
        <f>+'23'!J12</f>
        <v>0</v>
      </c>
      <c r="D127" s="153">
        <f>+'23'!K12</f>
        <v>0</v>
      </c>
      <c r="E127" s="155">
        <f t="shared" si="7"/>
        <v>0</v>
      </c>
      <c r="H127" t="str">
        <f>+Input!B32</f>
        <v>Saturday</v>
      </c>
      <c r="J127" s="1">
        <f t="shared" si="0"/>
        <v>23</v>
      </c>
      <c r="K127" s="151">
        <f t="shared" si="1"/>
        <v>0</v>
      </c>
      <c r="L127" s="151"/>
      <c r="N127" s="1">
        <f t="shared" si="2"/>
        <v>23</v>
      </c>
      <c r="O127" s="151">
        <f t="shared" si="3"/>
        <v>0</v>
      </c>
      <c r="P127" s="151"/>
      <c r="R127" s="1">
        <f t="shared" si="4"/>
        <v>23</v>
      </c>
      <c r="S127" s="151">
        <f t="shared" si="5"/>
        <v>0</v>
      </c>
      <c r="T127" s="151"/>
      <c r="V127" s="151">
        <f t="shared" si="6"/>
        <v>0</v>
      </c>
    </row>
    <row r="128" spans="1:22" x14ac:dyDescent="0.25">
      <c r="A128" s="121">
        <f t="shared" si="8"/>
        <v>24</v>
      </c>
      <c r="B128" s="153">
        <f>+'24'!I12</f>
        <v>0</v>
      </c>
      <c r="C128" s="153">
        <f>+'24'!J12</f>
        <v>0</v>
      </c>
      <c r="D128" s="153">
        <f>+'24'!K12</f>
        <v>0</v>
      </c>
      <c r="E128" s="155">
        <f t="shared" si="7"/>
        <v>0</v>
      </c>
      <c r="H128" t="str">
        <f>+Input!B33</f>
        <v>Sunday</v>
      </c>
      <c r="J128" s="1">
        <f t="shared" si="0"/>
        <v>24</v>
      </c>
      <c r="K128" s="151">
        <f t="shared" si="1"/>
        <v>0</v>
      </c>
      <c r="L128" s="151"/>
      <c r="N128" s="1">
        <f t="shared" si="2"/>
        <v>24</v>
      </c>
      <c r="O128" s="151">
        <f t="shared" si="3"/>
        <v>0</v>
      </c>
      <c r="P128" s="151"/>
      <c r="R128" s="1">
        <f t="shared" si="4"/>
        <v>24</v>
      </c>
      <c r="S128" s="151">
        <f t="shared" si="5"/>
        <v>0</v>
      </c>
      <c r="T128" s="151"/>
      <c r="V128" s="151">
        <f t="shared" si="6"/>
        <v>0</v>
      </c>
    </row>
    <row r="129" spans="1:22" x14ac:dyDescent="0.25">
      <c r="A129" s="121">
        <f t="shared" si="8"/>
        <v>25</v>
      </c>
      <c r="B129" s="153">
        <f>+'25'!I12</f>
        <v>0</v>
      </c>
      <c r="C129" s="153">
        <f>+'25'!J12</f>
        <v>0</v>
      </c>
      <c r="D129" s="153">
        <f>+'25'!K12</f>
        <v>0</v>
      </c>
      <c r="E129" s="155">
        <f t="shared" si="7"/>
        <v>0</v>
      </c>
      <c r="H129" t="str">
        <f>+Input!B34</f>
        <v>Monday</v>
      </c>
      <c r="J129" s="1">
        <f t="shared" si="0"/>
        <v>25</v>
      </c>
      <c r="K129" s="151">
        <f t="shared" si="1"/>
        <v>0</v>
      </c>
      <c r="L129" s="151"/>
      <c r="N129" s="1">
        <f t="shared" si="2"/>
        <v>25</v>
      </c>
      <c r="O129" s="151">
        <f t="shared" si="3"/>
        <v>0</v>
      </c>
      <c r="P129" s="151"/>
      <c r="R129" s="1">
        <f t="shared" si="4"/>
        <v>25</v>
      </c>
      <c r="S129" s="151">
        <f t="shared" si="5"/>
        <v>0</v>
      </c>
      <c r="T129" s="151"/>
      <c r="V129" s="151">
        <f t="shared" si="6"/>
        <v>0</v>
      </c>
    </row>
    <row r="130" spans="1:22" x14ac:dyDescent="0.25">
      <c r="A130" s="121">
        <f t="shared" si="8"/>
        <v>26</v>
      </c>
      <c r="B130" s="153">
        <f>+'26'!I12</f>
        <v>0</v>
      </c>
      <c r="C130" s="153">
        <f>+'26'!J12</f>
        <v>0</v>
      </c>
      <c r="D130" s="153">
        <f>+'26'!K12</f>
        <v>0</v>
      </c>
      <c r="E130" s="155">
        <f t="shared" si="7"/>
        <v>0</v>
      </c>
      <c r="H130" t="str">
        <f>+Input!B35</f>
        <v>Tuesday</v>
      </c>
      <c r="J130" s="1">
        <f t="shared" si="0"/>
        <v>26</v>
      </c>
      <c r="K130" s="151">
        <f t="shared" si="1"/>
        <v>0</v>
      </c>
      <c r="L130" s="151"/>
      <c r="N130" s="1">
        <f t="shared" si="2"/>
        <v>26</v>
      </c>
      <c r="O130" s="151">
        <f t="shared" si="3"/>
        <v>0</v>
      </c>
      <c r="P130" s="151"/>
      <c r="R130" s="1">
        <f t="shared" si="4"/>
        <v>26</v>
      </c>
      <c r="S130" s="151">
        <f t="shared" si="5"/>
        <v>0</v>
      </c>
      <c r="T130" s="151"/>
      <c r="V130" s="151">
        <f t="shared" si="6"/>
        <v>0</v>
      </c>
    </row>
    <row r="131" spans="1:22" x14ac:dyDescent="0.25">
      <c r="A131" s="121">
        <f t="shared" si="8"/>
        <v>27</v>
      </c>
      <c r="B131" s="153">
        <f>+'27'!I12</f>
        <v>0</v>
      </c>
      <c r="C131" s="153">
        <f>+'27'!J12</f>
        <v>0</v>
      </c>
      <c r="D131" s="153">
        <f>+'27'!K12</f>
        <v>0</v>
      </c>
      <c r="E131" s="155">
        <f t="shared" si="7"/>
        <v>0</v>
      </c>
      <c r="H131" t="str">
        <f>+Input!B36</f>
        <v>Wednesday</v>
      </c>
      <c r="J131" s="1">
        <f t="shared" si="0"/>
        <v>27</v>
      </c>
      <c r="K131" s="151">
        <f t="shared" si="1"/>
        <v>0</v>
      </c>
      <c r="L131" s="151"/>
      <c r="N131" s="1">
        <f t="shared" si="2"/>
        <v>27</v>
      </c>
      <c r="O131" s="151">
        <f t="shared" si="3"/>
        <v>0</v>
      </c>
      <c r="P131" s="151"/>
      <c r="R131" s="1">
        <f t="shared" si="4"/>
        <v>27</v>
      </c>
      <c r="S131" s="151">
        <f t="shared" si="5"/>
        <v>0</v>
      </c>
      <c r="T131" s="151"/>
      <c r="V131" s="151">
        <f t="shared" si="6"/>
        <v>0</v>
      </c>
    </row>
    <row r="132" spans="1:22" x14ac:dyDescent="0.25">
      <c r="A132" s="121">
        <f t="shared" si="8"/>
        <v>28</v>
      </c>
      <c r="B132" s="153">
        <f>+'28'!I12</f>
        <v>0</v>
      </c>
      <c r="C132" s="153">
        <f>+'28'!J12</f>
        <v>0</v>
      </c>
      <c r="D132" s="153">
        <f>+'28'!K12</f>
        <v>0</v>
      </c>
      <c r="E132" s="155">
        <f t="shared" si="7"/>
        <v>0</v>
      </c>
      <c r="H132" t="str">
        <f>+Input!B37</f>
        <v>Thursday</v>
      </c>
      <c r="J132" s="1">
        <f t="shared" si="0"/>
        <v>28</v>
      </c>
      <c r="K132" s="151">
        <f t="shared" si="1"/>
        <v>0</v>
      </c>
      <c r="L132" s="151"/>
      <c r="N132" s="1">
        <f t="shared" si="2"/>
        <v>28</v>
      </c>
      <c r="O132" s="151">
        <f t="shared" si="3"/>
        <v>0</v>
      </c>
      <c r="P132" s="151"/>
      <c r="R132" s="1">
        <f t="shared" si="4"/>
        <v>28</v>
      </c>
      <c r="S132" s="151">
        <f t="shared" si="5"/>
        <v>0</v>
      </c>
      <c r="T132" s="151"/>
      <c r="V132" s="151">
        <f t="shared" si="6"/>
        <v>0</v>
      </c>
    </row>
    <row r="133" spans="1:22" x14ac:dyDescent="0.25">
      <c r="A133" s="121">
        <f t="shared" si="8"/>
        <v>29</v>
      </c>
      <c r="B133" s="153">
        <f>+'29'!I12</f>
        <v>0</v>
      </c>
      <c r="C133" s="153">
        <f>+'29'!J12</f>
        <v>0</v>
      </c>
      <c r="D133" s="153">
        <f>+'29'!K12</f>
        <v>0</v>
      </c>
      <c r="E133" s="155">
        <f t="shared" si="7"/>
        <v>0</v>
      </c>
      <c r="H133" t="str">
        <f>+Input!B38</f>
        <v>Friday</v>
      </c>
      <c r="J133" s="1">
        <f t="shared" si="0"/>
        <v>29</v>
      </c>
      <c r="K133" s="151">
        <f t="shared" si="1"/>
        <v>0</v>
      </c>
      <c r="L133" s="151"/>
      <c r="N133" s="1">
        <f t="shared" si="2"/>
        <v>29</v>
      </c>
      <c r="O133" s="151">
        <f t="shared" si="3"/>
        <v>0</v>
      </c>
      <c r="P133" s="151"/>
      <c r="R133" s="1">
        <f t="shared" si="4"/>
        <v>29</v>
      </c>
      <c r="S133" s="151">
        <f t="shared" si="5"/>
        <v>0</v>
      </c>
      <c r="T133" s="151"/>
      <c r="V133" s="151">
        <f t="shared" si="6"/>
        <v>0</v>
      </c>
    </row>
    <row r="134" spans="1:22" x14ac:dyDescent="0.25">
      <c r="A134" s="121">
        <f t="shared" si="8"/>
        <v>30</v>
      </c>
      <c r="B134" s="153">
        <f>+'30'!I12</f>
        <v>0</v>
      </c>
      <c r="C134" s="153">
        <f>+'30'!J12</f>
        <v>0</v>
      </c>
      <c r="D134" s="153">
        <f>+'30'!K12</f>
        <v>0</v>
      </c>
      <c r="E134" s="155">
        <f t="shared" si="7"/>
        <v>0</v>
      </c>
      <c r="H134" t="str">
        <f>+Input!B39</f>
        <v>Saturday</v>
      </c>
      <c r="J134" s="1">
        <f t="shared" si="0"/>
        <v>30</v>
      </c>
      <c r="K134" s="151">
        <f t="shared" si="1"/>
        <v>0</v>
      </c>
      <c r="L134" s="151"/>
      <c r="N134" s="1">
        <f t="shared" si="2"/>
        <v>30</v>
      </c>
      <c r="O134" s="151">
        <f t="shared" si="3"/>
        <v>0</v>
      </c>
      <c r="P134" s="151"/>
      <c r="R134" s="1">
        <f t="shared" si="4"/>
        <v>30</v>
      </c>
      <c r="S134" s="151">
        <f t="shared" si="5"/>
        <v>0</v>
      </c>
      <c r="T134" s="151"/>
      <c r="V134" s="151">
        <f t="shared" si="6"/>
        <v>0</v>
      </c>
    </row>
    <row r="135" spans="1:22" x14ac:dyDescent="0.25">
      <c r="A135" s="21">
        <f t="shared" si="8"/>
        <v>31</v>
      </c>
      <c r="B135" s="154">
        <f>+'31'!I12</f>
        <v>0</v>
      </c>
      <c r="C135" s="154">
        <f>+'31'!J12</f>
        <v>0</v>
      </c>
      <c r="D135" s="154">
        <f>+'31'!K12</f>
        <v>0</v>
      </c>
      <c r="E135" s="156">
        <f t="shared" si="7"/>
        <v>0</v>
      </c>
      <c r="H135" t="str">
        <f>+Input!B40</f>
        <v>Sunday</v>
      </c>
      <c r="J135" s="1">
        <f t="shared" si="0"/>
        <v>31</v>
      </c>
      <c r="K135" s="151">
        <f t="shared" si="1"/>
        <v>0</v>
      </c>
      <c r="L135" s="151"/>
      <c r="N135" s="1">
        <f t="shared" si="2"/>
        <v>31</v>
      </c>
      <c r="O135" s="151">
        <f t="shared" si="3"/>
        <v>0</v>
      </c>
      <c r="P135" s="151"/>
      <c r="R135" s="1">
        <f t="shared" si="4"/>
        <v>31</v>
      </c>
      <c r="S135" s="151">
        <f t="shared" si="5"/>
        <v>0</v>
      </c>
      <c r="T135" s="151"/>
      <c r="V135" s="151">
        <f t="shared" si="6"/>
        <v>0</v>
      </c>
    </row>
    <row r="136" spans="1:22" x14ac:dyDescent="0.25">
      <c r="B136" s="157">
        <f>SUM(B105:B135)</f>
        <v>1659.39</v>
      </c>
      <c r="C136" s="157">
        <f t="shared" ref="C136:E136" si="9">SUM(C105:C135)</f>
        <v>1920.7</v>
      </c>
      <c r="D136" s="157">
        <f t="shared" si="9"/>
        <v>40.06</v>
      </c>
      <c r="E136" s="157">
        <f t="shared" si="9"/>
        <v>3620.15</v>
      </c>
      <c r="H136" s="158"/>
      <c r="I136" s="158"/>
      <c r="J136" s="158"/>
      <c r="K136" s="158"/>
      <c r="L136" s="151">
        <f>SUM(L105:L135)</f>
        <v>0</v>
      </c>
      <c r="P136" s="151">
        <f>SUM(P105:P135)</f>
        <v>0</v>
      </c>
      <c r="T136" s="151">
        <f>SUM(T105:T135)</f>
        <v>0</v>
      </c>
      <c r="V136" s="151">
        <f>SUM(V105:V135)</f>
        <v>0</v>
      </c>
    </row>
    <row r="138" spans="1:22" ht="15.75" thickBot="1" x14ac:dyDescent="0.3"/>
    <row r="139" spans="1:22" ht="15.75" thickBot="1" x14ac:dyDescent="0.3">
      <c r="A139" s="104" t="s">
        <v>199</v>
      </c>
      <c r="B139" s="46" t="s">
        <v>16</v>
      </c>
      <c r="C139" s="17" t="s">
        <v>185</v>
      </c>
      <c r="D139" s="47" t="s">
        <v>186</v>
      </c>
      <c r="E139" s="28" t="s">
        <v>68</v>
      </c>
    </row>
    <row r="140" spans="1:22" x14ac:dyDescent="0.25">
      <c r="A140" s="121">
        <v>1</v>
      </c>
      <c r="B140" s="153">
        <f>+'SS26'!W29</f>
        <v>0</v>
      </c>
      <c r="C140" s="153">
        <f>+'SS26'!W65</f>
        <v>0</v>
      </c>
      <c r="D140" s="153">
        <f>+'SS26'!G101</f>
        <v>0</v>
      </c>
      <c r="E140" s="155">
        <f>SUM(B140:D140)</f>
        <v>0</v>
      </c>
    </row>
    <row r="141" spans="1:22" x14ac:dyDescent="0.25">
      <c r="A141" s="121">
        <f>+A140+1</f>
        <v>2</v>
      </c>
      <c r="B141" s="153">
        <f>+'SS26'!W30</f>
        <v>0</v>
      </c>
      <c r="C141" s="153">
        <f>+'SS26'!W66</f>
        <v>0</v>
      </c>
      <c r="D141" s="153">
        <f>+'SS26'!G102</f>
        <v>0</v>
      </c>
      <c r="E141" s="155">
        <f t="shared" ref="E141:E170" si="10">SUM(B141:D141)</f>
        <v>0</v>
      </c>
    </row>
    <row r="142" spans="1:22" x14ac:dyDescent="0.25">
      <c r="A142" s="121">
        <f t="shared" ref="A142:A170" si="11">+A141+1</f>
        <v>3</v>
      </c>
      <c r="B142" s="153">
        <f>+'SS26'!W31</f>
        <v>0</v>
      </c>
      <c r="C142" s="153">
        <f>+'SS26'!W67</f>
        <v>0</v>
      </c>
      <c r="D142" s="153">
        <f>+'SS26'!G103</f>
        <v>0</v>
      </c>
      <c r="E142" s="155">
        <f t="shared" si="10"/>
        <v>0</v>
      </c>
    </row>
    <row r="143" spans="1:22" x14ac:dyDescent="0.25">
      <c r="A143" s="121">
        <f t="shared" si="11"/>
        <v>4</v>
      </c>
      <c r="B143" s="153">
        <f>+'SS26'!W32</f>
        <v>0</v>
      </c>
      <c r="C143" s="153">
        <f>+'SS26'!W68</f>
        <v>0</v>
      </c>
      <c r="D143" s="153">
        <f>+'SS26'!G104</f>
        <v>0</v>
      </c>
      <c r="E143" s="155">
        <f t="shared" si="10"/>
        <v>0</v>
      </c>
    </row>
    <row r="144" spans="1:22" x14ac:dyDescent="0.25">
      <c r="A144" s="121">
        <f t="shared" si="11"/>
        <v>5</v>
      </c>
      <c r="B144" s="153">
        <f>+'SS26'!W33</f>
        <v>0</v>
      </c>
      <c r="C144" s="153">
        <f>+'SS26'!W69</f>
        <v>0</v>
      </c>
      <c r="D144" s="153">
        <f>+'SS26'!G105</f>
        <v>0</v>
      </c>
      <c r="E144" s="155">
        <f t="shared" si="10"/>
        <v>0</v>
      </c>
    </row>
    <row r="145" spans="1:5" x14ac:dyDescent="0.25">
      <c r="A145" s="121">
        <f t="shared" si="11"/>
        <v>6</v>
      </c>
      <c r="B145" s="153">
        <f>+'SS26'!W34</f>
        <v>0</v>
      </c>
      <c r="C145" s="153">
        <f>+'SS26'!W70</f>
        <v>0</v>
      </c>
      <c r="D145" s="153">
        <f>+'SS26'!G106</f>
        <v>0</v>
      </c>
      <c r="E145" s="155">
        <f t="shared" si="10"/>
        <v>0</v>
      </c>
    </row>
    <row r="146" spans="1:5" x14ac:dyDescent="0.25">
      <c r="A146" s="121">
        <f t="shared" si="11"/>
        <v>7</v>
      </c>
      <c r="B146" s="153">
        <f>+'SS26'!W35</f>
        <v>0</v>
      </c>
      <c r="C146" s="153">
        <f>+'SS26'!W71</f>
        <v>0</v>
      </c>
      <c r="D146" s="153">
        <f>+'SS26'!G107</f>
        <v>0</v>
      </c>
      <c r="E146" s="155">
        <f t="shared" si="10"/>
        <v>0</v>
      </c>
    </row>
    <row r="147" spans="1:5" x14ac:dyDescent="0.25">
      <c r="A147" s="121">
        <f t="shared" si="11"/>
        <v>8</v>
      </c>
      <c r="B147" s="153">
        <f>+'SS26'!W36</f>
        <v>0</v>
      </c>
      <c r="C147" s="153">
        <f>+'SS26'!W72</f>
        <v>0</v>
      </c>
      <c r="D147" s="153">
        <f>+'SS26'!G108</f>
        <v>0</v>
      </c>
      <c r="E147" s="155">
        <f t="shared" si="10"/>
        <v>0</v>
      </c>
    </row>
    <row r="148" spans="1:5" x14ac:dyDescent="0.25">
      <c r="A148" s="121">
        <f t="shared" si="11"/>
        <v>9</v>
      </c>
      <c r="B148" s="153">
        <f>+'SS26'!W37</f>
        <v>0</v>
      </c>
      <c r="C148" s="153">
        <f>+'SS26'!W73</f>
        <v>0</v>
      </c>
      <c r="D148" s="153">
        <f>+'SS26'!G109</f>
        <v>0</v>
      </c>
      <c r="E148" s="155">
        <f t="shared" si="10"/>
        <v>0</v>
      </c>
    </row>
    <row r="149" spans="1:5" x14ac:dyDescent="0.25">
      <c r="A149" s="121">
        <f t="shared" si="11"/>
        <v>10</v>
      </c>
      <c r="B149" s="153">
        <f>+'SS26'!W38</f>
        <v>0</v>
      </c>
      <c r="C149" s="153">
        <f>+'SS26'!W74</f>
        <v>0</v>
      </c>
      <c r="D149" s="153">
        <f>+'SS26'!G110</f>
        <v>0</v>
      </c>
      <c r="E149" s="155">
        <f t="shared" si="10"/>
        <v>0</v>
      </c>
    </row>
    <row r="150" spans="1:5" x14ac:dyDescent="0.25">
      <c r="A150" s="121">
        <f t="shared" si="11"/>
        <v>11</v>
      </c>
      <c r="B150" s="153">
        <f>+'SS26'!W39</f>
        <v>0</v>
      </c>
      <c r="C150" s="153">
        <f>+'SS26'!W75</f>
        <v>0</v>
      </c>
      <c r="D150" s="153">
        <f>+'SS26'!G111</f>
        <v>0</v>
      </c>
      <c r="E150" s="155">
        <f t="shared" si="10"/>
        <v>0</v>
      </c>
    </row>
    <row r="151" spans="1:5" x14ac:dyDescent="0.25">
      <c r="A151" s="121">
        <f t="shared" si="11"/>
        <v>12</v>
      </c>
      <c r="B151" s="153">
        <f>+'SS26'!W40</f>
        <v>0</v>
      </c>
      <c r="C151" s="153">
        <f>+'SS26'!W76</f>
        <v>0</v>
      </c>
      <c r="D151" s="153">
        <f>+'SS26'!G112</f>
        <v>0</v>
      </c>
      <c r="E151" s="155">
        <f t="shared" si="10"/>
        <v>0</v>
      </c>
    </row>
    <row r="152" spans="1:5" x14ac:dyDescent="0.25">
      <c r="A152" s="121">
        <f t="shared" si="11"/>
        <v>13</v>
      </c>
      <c r="B152" s="153">
        <f>+'SS26'!W41</f>
        <v>0</v>
      </c>
      <c r="C152" s="153">
        <f>+'SS26'!W77</f>
        <v>0</v>
      </c>
      <c r="D152" s="153">
        <f>+'SS26'!G113</f>
        <v>0</v>
      </c>
      <c r="E152" s="155">
        <f t="shared" si="10"/>
        <v>0</v>
      </c>
    </row>
    <row r="153" spans="1:5" x14ac:dyDescent="0.25">
      <c r="A153" s="121">
        <f t="shared" si="11"/>
        <v>14</v>
      </c>
      <c r="B153" s="153">
        <f>+'SS26'!W42</f>
        <v>0</v>
      </c>
      <c r="C153" s="153">
        <f>+'SS26'!W78</f>
        <v>0</v>
      </c>
      <c r="D153" s="153">
        <f>+'SS26'!G114</f>
        <v>0</v>
      </c>
      <c r="E153" s="155">
        <f t="shared" si="10"/>
        <v>0</v>
      </c>
    </row>
    <row r="154" spans="1:5" x14ac:dyDescent="0.25">
      <c r="A154" s="121">
        <f t="shared" si="11"/>
        <v>15</v>
      </c>
      <c r="B154" s="153">
        <f>+'SS26'!W43</f>
        <v>0</v>
      </c>
      <c r="C154" s="153">
        <f>+'SS26'!W79</f>
        <v>0</v>
      </c>
      <c r="D154" s="153">
        <f>+'SS26'!G115</f>
        <v>0</v>
      </c>
      <c r="E154" s="155">
        <f t="shared" si="10"/>
        <v>0</v>
      </c>
    </row>
    <row r="155" spans="1:5" x14ac:dyDescent="0.25">
      <c r="A155" s="121">
        <f t="shared" si="11"/>
        <v>16</v>
      </c>
      <c r="B155" s="153">
        <f>+'SS26'!W44</f>
        <v>0</v>
      </c>
      <c r="C155" s="153">
        <f>+'SS26'!W80</f>
        <v>0</v>
      </c>
      <c r="D155" s="153">
        <f>+'SS26'!G116</f>
        <v>0</v>
      </c>
      <c r="E155" s="155">
        <f t="shared" si="10"/>
        <v>0</v>
      </c>
    </row>
    <row r="156" spans="1:5" x14ac:dyDescent="0.25">
      <c r="A156" s="121">
        <f t="shared" si="11"/>
        <v>17</v>
      </c>
      <c r="B156" s="153">
        <f>+'SS26'!W45</f>
        <v>0</v>
      </c>
      <c r="C156" s="153">
        <f>+'SS26'!W81</f>
        <v>0</v>
      </c>
      <c r="D156" s="153">
        <f>+'SS26'!G117</f>
        <v>0</v>
      </c>
      <c r="E156" s="155">
        <f t="shared" si="10"/>
        <v>0</v>
      </c>
    </row>
    <row r="157" spans="1:5" x14ac:dyDescent="0.25">
      <c r="A157" s="121">
        <f t="shared" si="11"/>
        <v>18</v>
      </c>
      <c r="B157" s="153">
        <f>+'SS26'!W46</f>
        <v>0</v>
      </c>
      <c r="C157" s="153">
        <f>+'SS26'!W82</f>
        <v>0</v>
      </c>
      <c r="D157" s="153">
        <f>+'SS26'!G118</f>
        <v>0</v>
      </c>
      <c r="E157" s="155">
        <f t="shared" si="10"/>
        <v>0</v>
      </c>
    </row>
    <row r="158" spans="1:5" x14ac:dyDescent="0.25">
      <c r="A158" s="121">
        <f t="shared" si="11"/>
        <v>19</v>
      </c>
      <c r="B158" s="153">
        <f>+'SS26'!W47</f>
        <v>0</v>
      </c>
      <c r="C158" s="153">
        <f>+'SS26'!W83</f>
        <v>0</v>
      </c>
      <c r="D158" s="153">
        <f>+'SS26'!G119</f>
        <v>0</v>
      </c>
      <c r="E158" s="155">
        <f t="shared" si="10"/>
        <v>0</v>
      </c>
    </row>
    <row r="159" spans="1:5" x14ac:dyDescent="0.25">
      <c r="A159" s="121">
        <f t="shared" si="11"/>
        <v>20</v>
      </c>
      <c r="B159" s="153">
        <f>+'SS26'!W48</f>
        <v>0</v>
      </c>
      <c r="C159" s="153">
        <f>+'SS26'!W84</f>
        <v>0</v>
      </c>
      <c r="D159" s="153">
        <f>+'SS26'!G120</f>
        <v>0</v>
      </c>
      <c r="E159" s="155">
        <f t="shared" si="10"/>
        <v>0</v>
      </c>
    </row>
    <row r="160" spans="1:5" x14ac:dyDescent="0.25">
      <c r="A160" s="121">
        <f t="shared" si="11"/>
        <v>21</v>
      </c>
      <c r="B160" s="153">
        <f>+'SS26'!W49</f>
        <v>0</v>
      </c>
      <c r="C160" s="153">
        <f>+'SS26'!W85</f>
        <v>0</v>
      </c>
      <c r="D160" s="153">
        <f>+'SS26'!G121</f>
        <v>0</v>
      </c>
      <c r="E160" s="155">
        <f t="shared" si="10"/>
        <v>0</v>
      </c>
    </row>
    <row r="161" spans="1:32" x14ac:dyDescent="0.25">
      <c r="A161" s="121">
        <f t="shared" si="11"/>
        <v>22</v>
      </c>
      <c r="B161" s="153">
        <f>+'SS26'!W50</f>
        <v>0</v>
      </c>
      <c r="C161" s="153">
        <f>+'SS26'!W86</f>
        <v>0</v>
      </c>
      <c r="D161" s="153">
        <f>+'SS26'!G122</f>
        <v>0</v>
      </c>
      <c r="E161" s="155">
        <f t="shared" si="10"/>
        <v>0</v>
      </c>
    </row>
    <row r="162" spans="1:32" x14ac:dyDescent="0.25">
      <c r="A162" s="121">
        <f t="shared" si="11"/>
        <v>23</v>
      </c>
      <c r="B162" s="153">
        <f>+'SS26'!W51</f>
        <v>0</v>
      </c>
      <c r="C162" s="153">
        <f>+'SS26'!W87</f>
        <v>0</v>
      </c>
      <c r="D162" s="153">
        <f>+'SS26'!G123</f>
        <v>0</v>
      </c>
      <c r="E162" s="155">
        <f t="shared" si="10"/>
        <v>0</v>
      </c>
    </row>
    <row r="163" spans="1:32" x14ac:dyDescent="0.25">
      <c r="A163" s="121">
        <f t="shared" si="11"/>
        <v>24</v>
      </c>
      <c r="B163" s="153">
        <f>+'SS26'!W52</f>
        <v>0</v>
      </c>
      <c r="C163" s="153">
        <f>+'SS26'!W88</f>
        <v>0</v>
      </c>
      <c r="D163" s="153">
        <f>+'SS26'!G124</f>
        <v>0</v>
      </c>
      <c r="E163" s="155">
        <f t="shared" si="10"/>
        <v>0</v>
      </c>
    </row>
    <row r="164" spans="1:32" x14ac:dyDescent="0.25">
      <c r="A164" s="121">
        <f t="shared" si="11"/>
        <v>25</v>
      </c>
      <c r="B164" s="153">
        <f>+'SS26'!W53</f>
        <v>0</v>
      </c>
      <c r="C164" s="153">
        <f>+'SS26'!W89</f>
        <v>0</v>
      </c>
      <c r="D164" s="153">
        <f>+'SS26'!G125</f>
        <v>0</v>
      </c>
      <c r="E164" s="155">
        <f t="shared" si="10"/>
        <v>0</v>
      </c>
    </row>
    <row r="165" spans="1:32" x14ac:dyDescent="0.25">
      <c r="A165" s="121">
        <f t="shared" si="11"/>
        <v>26</v>
      </c>
      <c r="B165" s="153">
        <f>+'SS26'!W54</f>
        <v>0</v>
      </c>
      <c r="C165" s="153">
        <f>+'SS26'!W90</f>
        <v>0</v>
      </c>
      <c r="D165" s="153">
        <f>+'SS26'!G126</f>
        <v>0</v>
      </c>
      <c r="E165" s="155">
        <f t="shared" si="10"/>
        <v>0</v>
      </c>
    </row>
    <row r="166" spans="1:32" x14ac:dyDescent="0.25">
      <c r="A166" s="121">
        <f t="shared" si="11"/>
        <v>27</v>
      </c>
      <c r="B166" s="153">
        <f>+'SS26'!W55</f>
        <v>0</v>
      </c>
      <c r="C166" s="153">
        <f>+'SS26'!W91</f>
        <v>0</v>
      </c>
      <c r="D166" s="153">
        <f>+'SS26'!G127</f>
        <v>0</v>
      </c>
      <c r="E166" s="155">
        <f t="shared" si="10"/>
        <v>0</v>
      </c>
    </row>
    <row r="167" spans="1:32" x14ac:dyDescent="0.25">
      <c r="A167" s="121">
        <f t="shared" si="11"/>
        <v>28</v>
      </c>
      <c r="B167" s="153">
        <f>+'SS26'!W56</f>
        <v>0</v>
      </c>
      <c r="C167" s="153">
        <f>+'SS26'!W92</f>
        <v>0</v>
      </c>
      <c r="D167" s="153">
        <f>+'SS26'!G128</f>
        <v>0</v>
      </c>
      <c r="E167" s="155">
        <f t="shared" si="10"/>
        <v>0</v>
      </c>
    </row>
    <row r="168" spans="1:32" x14ac:dyDescent="0.25">
      <c r="A168" s="121">
        <f t="shared" si="11"/>
        <v>29</v>
      </c>
      <c r="B168" s="153">
        <f>+'SS26'!W57</f>
        <v>0</v>
      </c>
      <c r="C168" s="153">
        <f>+'SS26'!W93</f>
        <v>0</v>
      </c>
      <c r="D168" s="153">
        <f>+'SS26'!G129</f>
        <v>0</v>
      </c>
      <c r="E168" s="155">
        <f t="shared" si="10"/>
        <v>0</v>
      </c>
    </row>
    <row r="169" spans="1:32" x14ac:dyDescent="0.25">
      <c r="A169" s="121">
        <f t="shared" si="11"/>
        <v>30</v>
      </c>
      <c r="B169" s="153">
        <f>+'SS26'!W58</f>
        <v>0</v>
      </c>
      <c r="C169" s="153">
        <f>+'SS26'!W94</f>
        <v>0</v>
      </c>
      <c r="D169" s="153">
        <f>+'SS26'!G130</f>
        <v>0</v>
      </c>
      <c r="E169" s="155">
        <f t="shared" si="10"/>
        <v>0</v>
      </c>
    </row>
    <row r="170" spans="1:32" x14ac:dyDescent="0.25">
      <c r="A170" s="21">
        <f t="shared" si="11"/>
        <v>31</v>
      </c>
      <c r="B170" s="154">
        <f>+'SS26'!W59</f>
        <v>0</v>
      </c>
      <c r="C170" s="154">
        <f>+'SS26'!W95</f>
        <v>0</v>
      </c>
      <c r="D170" s="154">
        <f>+'SS26'!G131</f>
        <v>0</v>
      </c>
      <c r="E170" s="156">
        <f t="shared" si="10"/>
        <v>0</v>
      </c>
    </row>
    <row r="173" spans="1:32" x14ac:dyDescent="0.25">
      <c r="B173" s="147">
        <v>1</v>
      </c>
      <c r="C173" s="147">
        <f>+B173+1</f>
        <v>2</v>
      </c>
      <c r="D173" s="147">
        <f t="shared" ref="D173:AF173" si="12">+C173+1</f>
        <v>3</v>
      </c>
      <c r="E173" s="147">
        <f t="shared" si="12"/>
        <v>4</v>
      </c>
      <c r="F173" s="147">
        <f t="shared" si="12"/>
        <v>5</v>
      </c>
      <c r="G173" s="147">
        <f>+F173+1</f>
        <v>6</v>
      </c>
      <c r="H173" s="147">
        <f>+G173+1</f>
        <v>7</v>
      </c>
      <c r="I173" s="147">
        <f t="shared" si="12"/>
        <v>8</v>
      </c>
      <c r="J173" s="147">
        <f>+I173+1</f>
        <v>9</v>
      </c>
      <c r="K173" s="147">
        <f t="shared" si="12"/>
        <v>10</v>
      </c>
      <c r="L173" s="147">
        <f>+K173+1</f>
        <v>11</v>
      </c>
      <c r="M173" s="147">
        <f t="shared" si="12"/>
        <v>12</v>
      </c>
      <c r="N173" s="147">
        <f t="shared" si="12"/>
        <v>13</v>
      </c>
      <c r="O173" s="147">
        <f t="shared" si="12"/>
        <v>14</v>
      </c>
      <c r="P173" s="147">
        <f t="shared" si="12"/>
        <v>15</v>
      </c>
      <c r="Q173" s="147">
        <f t="shared" si="12"/>
        <v>16</v>
      </c>
      <c r="R173" s="147">
        <f t="shared" si="12"/>
        <v>17</v>
      </c>
      <c r="S173" s="147">
        <f t="shared" si="12"/>
        <v>18</v>
      </c>
      <c r="T173" s="147">
        <f t="shared" si="12"/>
        <v>19</v>
      </c>
      <c r="U173" s="147">
        <f t="shared" si="12"/>
        <v>20</v>
      </c>
      <c r="V173" s="147">
        <f t="shared" si="12"/>
        <v>21</v>
      </c>
      <c r="W173" s="147">
        <f t="shared" si="12"/>
        <v>22</v>
      </c>
      <c r="X173" s="147">
        <f t="shared" si="12"/>
        <v>23</v>
      </c>
      <c r="Y173" s="147">
        <f t="shared" si="12"/>
        <v>24</v>
      </c>
      <c r="Z173" s="147">
        <f t="shared" si="12"/>
        <v>25</v>
      </c>
      <c r="AA173" s="147">
        <f t="shared" si="12"/>
        <v>26</v>
      </c>
      <c r="AB173" s="147">
        <f t="shared" si="12"/>
        <v>27</v>
      </c>
      <c r="AC173" s="147">
        <f t="shared" si="12"/>
        <v>28</v>
      </c>
      <c r="AD173" s="147">
        <f t="shared" si="12"/>
        <v>29</v>
      </c>
      <c r="AE173" s="147">
        <f t="shared" si="12"/>
        <v>30</v>
      </c>
      <c r="AF173" s="147">
        <f t="shared" si="12"/>
        <v>31</v>
      </c>
    </row>
    <row r="174" spans="1:32" x14ac:dyDescent="0.25">
      <c r="A174" t="s">
        <v>202</v>
      </c>
      <c r="B174" s="151">
        <f>+Summary!C26</f>
        <v>0</v>
      </c>
      <c r="C174" s="151">
        <f>+Summary!D26</f>
        <v>0</v>
      </c>
      <c r="D174" s="151">
        <f>+Summary!E26</f>
        <v>0</v>
      </c>
      <c r="E174" s="151">
        <f>+Summary!F26</f>
        <v>0</v>
      </c>
      <c r="F174" s="151">
        <f>+Summary!G26</f>
        <v>0</v>
      </c>
      <c r="G174" s="151">
        <f>+Summary!H26</f>
        <v>0</v>
      </c>
      <c r="H174" s="151">
        <f>+Summary!I26</f>
        <v>0</v>
      </c>
      <c r="I174" s="151">
        <f>+Summary!J26</f>
        <v>0</v>
      </c>
      <c r="J174" s="151">
        <f>+Summary!K26</f>
        <v>0</v>
      </c>
      <c r="K174" s="151">
        <f>+Summary!L26</f>
        <v>0</v>
      </c>
      <c r="L174" s="151">
        <f>+Summary!M26</f>
        <v>0</v>
      </c>
      <c r="M174" s="151">
        <f>+Summary!N26</f>
        <v>0</v>
      </c>
      <c r="N174" s="151">
        <f>+Summary!O26</f>
        <v>0</v>
      </c>
      <c r="O174" s="151">
        <f>+Summary!P26</f>
        <v>0</v>
      </c>
      <c r="P174" s="151">
        <f>+Summary!Q26</f>
        <v>0</v>
      </c>
      <c r="Q174" s="151">
        <f>+Summary!R26</f>
        <v>0</v>
      </c>
      <c r="R174" s="151">
        <f>+Summary!S26</f>
        <v>0</v>
      </c>
      <c r="S174" s="151">
        <f>+Summary!T26</f>
        <v>0</v>
      </c>
      <c r="T174" s="151">
        <f>+Summary!U26</f>
        <v>0</v>
      </c>
      <c r="U174" s="151">
        <f>+Summary!V26</f>
        <v>0</v>
      </c>
      <c r="V174" s="151">
        <f>+Summary!W26</f>
        <v>0</v>
      </c>
      <c r="W174" s="151">
        <f>+Summary!X26</f>
        <v>0</v>
      </c>
      <c r="X174" s="151">
        <f>+Summary!Y26</f>
        <v>0</v>
      </c>
      <c r="Y174" s="151">
        <f>+Summary!Z26</f>
        <v>0</v>
      </c>
      <c r="Z174" s="151">
        <f>+Summary!AA26</f>
        <v>0</v>
      </c>
      <c r="AA174" s="151">
        <f>+Summary!AB26</f>
        <v>0</v>
      </c>
      <c r="AB174" s="151">
        <f>+Summary!AC26</f>
        <v>0</v>
      </c>
      <c r="AC174" s="151">
        <f>+Summary!AD26</f>
        <v>0</v>
      </c>
      <c r="AD174" s="151">
        <f>+Summary!AE26</f>
        <v>0</v>
      </c>
      <c r="AE174" s="151">
        <f>+Summary!AF26</f>
        <v>0</v>
      </c>
      <c r="AF174" s="151">
        <f>+Summary!AG26</f>
        <v>0</v>
      </c>
    </row>
    <row r="175" spans="1:32" x14ac:dyDescent="0.25">
      <c r="A175" t="s">
        <v>200</v>
      </c>
      <c r="B175">
        <f>+B177*6%</f>
        <v>0</v>
      </c>
      <c r="C175">
        <f t="shared" ref="C175:AF175" si="13">+C177*6%</f>
        <v>0</v>
      </c>
      <c r="D175">
        <f t="shared" si="13"/>
        <v>0</v>
      </c>
      <c r="E175">
        <f t="shared" si="13"/>
        <v>0</v>
      </c>
      <c r="F175">
        <f t="shared" si="13"/>
        <v>0</v>
      </c>
      <c r="G175">
        <f t="shared" si="13"/>
        <v>0</v>
      </c>
      <c r="H175">
        <f t="shared" si="13"/>
        <v>0</v>
      </c>
      <c r="I175">
        <f t="shared" si="13"/>
        <v>0</v>
      </c>
      <c r="J175">
        <f t="shared" si="13"/>
        <v>0</v>
      </c>
      <c r="K175">
        <f t="shared" si="13"/>
        <v>0</v>
      </c>
      <c r="L175">
        <f t="shared" si="13"/>
        <v>0</v>
      </c>
      <c r="M175">
        <f t="shared" si="13"/>
        <v>0</v>
      </c>
      <c r="N175">
        <f t="shared" si="13"/>
        <v>0</v>
      </c>
      <c r="O175">
        <f t="shared" si="13"/>
        <v>0</v>
      </c>
      <c r="P175">
        <f t="shared" si="13"/>
        <v>0</v>
      </c>
      <c r="Q175">
        <f t="shared" si="13"/>
        <v>0</v>
      </c>
      <c r="R175">
        <f t="shared" si="13"/>
        <v>0</v>
      </c>
      <c r="S175">
        <f t="shared" si="13"/>
        <v>0</v>
      </c>
      <c r="T175">
        <f t="shared" si="13"/>
        <v>0</v>
      </c>
      <c r="U175">
        <f t="shared" si="13"/>
        <v>0</v>
      </c>
      <c r="V175">
        <f t="shared" si="13"/>
        <v>0</v>
      </c>
      <c r="W175">
        <f t="shared" si="13"/>
        <v>0</v>
      </c>
      <c r="X175">
        <f t="shared" si="13"/>
        <v>0</v>
      </c>
      <c r="Y175">
        <f t="shared" si="13"/>
        <v>0</v>
      </c>
      <c r="Z175">
        <f t="shared" si="13"/>
        <v>0</v>
      </c>
      <c r="AA175">
        <f t="shared" si="13"/>
        <v>0</v>
      </c>
      <c r="AB175">
        <f t="shared" si="13"/>
        <v>0</v>
      </c>
      <c r="AC175">
        <f t="shared" si="13"/>
        <v>0</v>
      </c>
      <c r="AD175">
        <f t="shared" si="13"/>
        <v>0</v>
      </c>
      <c r="AE175">
        <f t="shared" si="13"/>
        <v>0</v>
      </c>
      <c r="AF175">
        <f t="shared" si="13"/>
        <v>0</v>
      </c>
    </row>
    <row r="177" spans="1:32" x14ac:dyDescent="0.25">
      <c r="A177" t="s">
        <v>203</v>
      </c>
      <c r="B177" s="151">
        <f>+V105</f>
        <v>0</v>
      </c>
      <c r="C177" s="151">
        <f>+V106</f>
        <v>0</v>
      </c>
      <c r="D177" s="151">
        <f>+V107</f>
        <v>0</v>
      </c>
      <c r="E177" s="151">
        <f>+V108</f>
        <v>0</v>
      </c>
      <c r="F177" s="151">
        <f>+V109</f>
        <v>0</v>
      </c>
      <c r="G177" s="151">
        <f>+V110</f>
        <v>0</v>
      </c>
      <c r="H177" s="151">
        <f>+V111</f>
        <v>0</v>
      </c>
      <c r="I177" s="151">
        <f>+V112</f>
        <v>0</v>
      </c>
      <c r="J177" s="151">
        <f>+V113</f>
        <v>0</v>
      </c>
      <c r="K177" s="151">
        <f>+V114</f>
        <v>0</v>
      </c>
      <c r="L177" s="151">
        <f>+V115</f>
        <v>0</v>
      </c>
      <c r="M177" s="151">
        <f>+V116</f>
        <v>0</v>
      </c>
      <c r="N177" s="151">
        <f>+V117</f>
        <v>0</v>
      </c>
      <c r="O177" s="151">
        <f>+V118</f>
        <v>0</v>
      </c>
      <c r="P177" s="151">
        <f>+V119</f>
        <v>0</v>
      </c>
      <c r="Q177" s="151">
        <f>+V120</f>
        <v>0</v>
      </c>
      <c r="R177" s="151">
        <f>+V121</f>
        <v>0</v>
      </c>
      <c r="S177" s="151">
        <f>+V122</f>
        <v>0</v>
      </c>
      <c r="T177" s="151">
        <f>+V123</f>
        <v>0</v>
      </c>
      <c r="U177" s="151">
        <f>+V124</f>
        <v>0</v>
      </c>
      <c r="V177" s="151">
        <f>+V125</f>
        <v>0</v>
      </c>
      <c r="W177" s="151">
        <f>+V126</f>
        <v>0</v>
      </c>
      <c r="X177" s="151">
        <f>+V127</f>
        <v>0</v>
      </c>
      <c r="Y177" s="151">
        <f>+V128</f>
        <v>0</v>
      </c>
      <c r="Z177" s="151">
        <f>+V129</f>
        <v>0</v>
      </c>
      <c r="AA177" s="151">
        <f>+V130</f>
        <v>0</v>
      </c>
      <c r="AB177" s="151">
        <f>+V131</f>
        <v>0</v>
      </c>
      <c r="AC177" s="151">
        <f>+V132</f>
        <v>0</v>
      </c>
      <c r="AD177" s="151">
        <f>+V133</f>
        <v>0</v>
      </c>
      <c r="AE177" s="151">
        <f>+V134</f>
        <v>0</v>
      </c>
      <c r="AF177" s="151">
        <f>+V135</f>
        <v>0</v>
      </c>
    </row>
    <row r="179" spans="1:32" ht="15.75" thickBot="1" x14ac:dyDescent="0.3"/>
    <row r="180" spans="1:32" ht="15.75" thickBot="1" x14ac:dyDescent="0.3">
      <c r="B180" s="46" t="s">
        <v>16</v>
      </c>
      <c r="C180" s="17" t="s">
        <v>185</v>
      </c>
      <c r="D180" s="47" t="s">
        <v>186</v>
      </c>
      <c r="F180" s="46" t="s">
        <v>16</v>
      </c>
      <c r="G180" s="17" t="s">
        <v>185</v>
      </c>
      <c r="H180" s="47" t="s">
        <v>186</v>
      </c>
    </row>
    <row r="181" spans="1:32" x14ac:dyDescent="0.25">
      <c r="A181" s="1">
        <f>+A140</f>
        <v>1</v>
      </c>
      <c r="B181" s="5">
        <f>+'1'!B14</f>
        <v>23.36</v>
      </c>
      <c r="C181" s="5">
        <f>+'1'!C14</f>
        <v>29.2</v>
      </c>
      <c r="D181" s="5">
        <f>+'1'!D14</f>
        <v>23.25</v>
      </c>
      <c r="E181" s="5"/>
      <c r="F181" s="5">
        <f>+'1'!B15</f>
        <v>21.198699999999999</v>
      </c>
      <c r="G181" s="5">
        <f>+'1'!C15</f>
        <v>26.775300000000001</v>
      </c>
      <c r="H181" s="5">
        <f>+'1'!D15</f>
        <v>21.088699999999999</v>
      </c>
    </row>
    <row r="182" spans="1:32" x14ac:dyDescent="0.25">
      <c r="A182" s="1">
        <f t="shared" ref="A182:A211" si="14">+A141</f>
        <v>2</v>
      </c>
      <c r="B182" s="5">
        <f>+'2'!B14</f>
        <v>0</v>
      </c>
      <c r="C182" s="5">
        <f>+'2'!C14</f>
        <v>0</v>
      </c>
      <c r="D182" s="5">
        <f>+'2'!D14</f>
        <v>0</v>
      </c>
      <c r="E182" s="5"/>
      <c r="F182" s="5">
        <f>+'2'!B15</f>
        <v>0</v>
      </c>
      <c r="G182" s="5">
        <f>+'2'!C15</f>
        <v>0</v>
      </c>
      <c r="H182" s="5">
        <f>+'2'!D15</f>
        <v>0</v>
      </c>
    </row>
    <row r="183" spans="1:32" x14ac:dyDescent="0.25">
      <c r="A183" s="1">
        <f t="shared" si="14"/>
        <v>3</v>
      </c>
      <c r="B183" s="5">
        <f>+'3'!B14</f>
        <v>0</v>
      </c>
      <c r="C183" s="5">
        <f>+'3'!C14</f>
        <v>0</v>
      </c>
      <c r="D183" s="5">
        <f>+'3'!D14</f>
        <v>0</v>
      </c>
      <c r="E183" s="5"/>
      <c r="F183" s="5">
        <f>+'3'!B15</f>
        <v>0</v>
      </c>
      <c r="G183" s="5">
        <f>+'3'!C15</f>
        <v>0</v>
      </c>
      <c r="H183" s="5">
        <f>+'3'!D15</f>
        <v>0</v>
      </c>
    </row>
    <row r="184" spans="1:32" x14ac:dyDescent="0.25">
      <c r="A184" s="1">
        <f t="shared" si="14"/>
        <v>4</v>
      </c>
      <c r="B184" s="5">
        <f>+'4'!B14</f>
        <v>0</v>
      </c>
      <c r="C184" s="5">
        <f>+'4'!C14</f>
        <v>0</v>
      </c>
      <c r="D184" s="5">
        <f>+'4'!D14</f>
        <v>0</v>
      </c>
      <c r="E184" s="5"/>
      <c r="F184" s="5">
        <f>+'4'!B15</f>
        <v>0</v>
      </c>
      <c r="G184" s="5">
        <f>+'4'!C15</f>
        <v>0</v>
      </c>
      <c r="H184" s="5">
        <f>+'4'!D15</f>
        <v>0</v>
      </c>
    </row>
    <row r="185" spans="1:32" x14ac:dyDescent="0.25">
      <c r="A185" s="1">
        <f t="shared" si="14"/>
        <v>5</v>
      </c>
      <c r="B185" s="5">
        <f>+'5'!B14</f>
        <v>0</v>
      </c>
      <c r="C185" s="5">
        <f>+'5'!C14</f>
        <v>0</v>
      </c>
      <c r="D185" s="5">
        <f>+'5'!D14</f>
        <v>0</v>
      </c>
      <c r="E185" s="5"/>
      <c r="F185" s="5">
        <f>+'5'!B15</f>
        <v>0</v>
      </c>
      <c r="G185" s="5">
        <f>+'5'!C15</f>
        <v>0</v>
      </c>
      <c r="H185" s="5">
        <f>+'5'!D15</f>
        <v>0</v>
      </c>
    </row>
    <row r="186" spans="1:32" x14ac:dyDescent="0.25">
      <c r="A186" s="1">
        <f t="shared" si="14"/>
        <v>6</v>
      </c>
      <c r="B186" s="5">
        <f>+'6'!B14</f>
        <v>0</v>
      </c>
      <c r="C186" s="5">
        <f>+'6'!C14</f>
        <v>0</v>
      </c>
      <c r="D186" s="5">
        <f>+'6'!D14</f>
        <v>0</v>
      </c>
      <c r="E186" s="5"/>
      <c r="F186" s="5">
        <f>+'6'!B15</f>
        <v>0</v>
      </c>
      <c r="G186" s="5">
        <f>+'6'!C15</f>
        <v>0</v>
      </c>
      <c r="H186" s="5">
        <f>+'6'!D15</f>
        <v>0</v>
      </c>
    </row>
    <row r="187" spans="1:32" x14ac:dyDescent="0.25">
      <c r="A187" s="1">
        <f t="shared" si="14"/>
        <v>7</v>
      </c>
      <c r="B187" s="5">
        <f>+'7'!B14</f>
        <v>0</v>
      </c>
      <c r="C187" s="5">
        <f>+'7'!C14</f>
        <v>0</v>
      </c>
      <c r="D187" s="5">
        <f>+'7'!D14</f>
        <v>0</v>
      </c>
      <c r="E187" s="5"/>
      <c r="F187" s="5">
        <f>+'7'!B15</f>
        <v>0</v>
      </c>
      <c r="G187" s="5">
        <f>+'7'!C15</f>
        <v>0</v>
      </c>
      <c r="H187" s="5">
        <f>+'7'!D15</f>
        <v>0</v>
      </c>
    </row>
    <row r="188" spans="1:32" x14ac:dyDescent="0.25">
      <c r="A188" s="1">
        <f t="shared" si="14"/>
        <v>8</v>
      </c>
      <c r="B188" s="5">
        <f>+'8'!B14</f>
        <v>0</v>
      </c>
      <c r="C188" s="5">
        <f>+'8'!C14</f>
        <v>0</v>
      </c>
      <c r="D188" s="5">
        <f>+'8'!D14</f>
        <v>0</v>
      </c>
      <c r="E188" s="5"/>
      <c r="F188" s="5">
        <f>+'8'!B15</f>
        <v>0</v>
      </c>
      <c r="G188" s="5">
        <f>+'8'!C15</f>
        <v>0</v>
      </c>
      <c r="H188" s="5">
        <f>+'8'!D15</f>
        <v>0</v>
      </c>
    </row>
    <row r="189" spans="1:32" x14ac:dyDescent="0.25">
      <c r="A189" s="1">
        <f t="shared" si="14"/>
        <v>9</v>
      </c>
      <c r="B189" s="5">
        <f>+'9'!B14</f>
        <v>0</v>
      </c>
      <c r="C189" s="5">
        <f>+'9'!C14</f>
        <v>0</v>
      </c>
      <c r="D189" s="5">
        <f>+'9'!D14</f>
        <v>0</v>
      </c>
      <c r="E189" s="5"/>
      <c r="F189" s="5">
        <f>+'9'!B15</f>
        <v>0</v>
      </c>
      <c r="G189" s="5">
        <f>+'9'!C15</f>
        <v>0</v>
      </c>
      <c r="H189" s="5">
        <f>+'9'!D15</f>
        <v>0</v>
      </c>
    </row>
    <row r="190" spans="1:32" x14ac:dyDescent="0.25">
      <c r="A190" s="1">
        <f t="shared" si="14"/>
        <v>10</v>
      </c>
      <c r="B190" s="5">
        <f>+'10'!B14</f>
        <v>0</v>
      </c>
      <c r="C190" s="5">
        <f>+'10'!C14</f>
        <v>0</v>
      </c>
      <c r="D190" s="5">
        <f>+'10'!D14</f>
        <v>0</v>
      </c>
      <c r="E190" s="5"/>
      <c r="F190" s="5">
        <f>+'10'!B15</f>
        <v>0</v>
      </c>
      <c r="G190" s="5">
        <f>+'10'!C15</f>
        <v>0</v>
      </c>
      <c r="H190" s="5">
        <f>+'10'!D15</f>
        <v>0</v>
      </c>
    </row>
    <row r="191" spans="1:32" x14ac:dyDescent="0.25">
      <c r="A191" s="1">
        <f t="shared" si="14"/>
        <v>11</v>
      </c>
      <c r="B191" s="5">
        <f>+'11'!B14</f>
        <v>0</v>
      </c>
      <c r="C191" s="5">
        <f>+'11'!C14</f>
        <v>0</v>
      </c>
      <c r="D191" s="5">
        <f>+'11'!D14</f>
        <v>0</v>
      </c>
      <c r="E191" s="5"/>
      <c r="F191" s="5">
        <f>+'11'!B15</f>
        <v>0</v>
      </c>
      <c r="G191" s="5">
        <f>+'11'!C15</f>
        <v>0</v>
      </c>
      <c r="H191" s="5">
        <f>+'11'!D15</f>
        <v>0</v>
      </c>
    </row>
    <row r="192" spans="1:32" x14ac:dyDescent="0.25">
      <c r="A192" s="1">
        <f t="shared" si="14"/>
        <v>12</v>
      </c>
      <c r="B192" s="5">
        <f>+'12'!B14</f>
        <v>0</v>
      </c>
      <c r="C192" s="5">
        <f>+'12'!C14</f>
        <v>0</v>
      </c>
      <c r="D192" s="5">
        <f>+'12'!D14</f>
        <v>0</v>
      </c>
      <c r="E192" s="5"/>
      <c r="F192" s="5">
        <f>+'12'!B15</f>
        <v>0</v>
      </c>
      <c r="G192" s="5">
        <f>+'12'!C15</f>
        <v>0</v>
      </c>
      <c r="H192" s="5">
        <f>+'12'!D15</f>
        <v>0</v>
      </c>
    </row>
    <row r="193" spans="1:8" x14ac:dyDescent="0.25">
      <c r="A193" s="1">
        <f t="shared" si="14"/>
        <v>13</v>
      </c>
      <c r="B193" s="5">
        <f>+'13'!B14</f>
        <v>0</v>
      </c>
      <c r="C193" s="5">
        <f>+'13'!C14</f>
        <v>0</v>
      </c>
      <c r="D193" s="5">
        <f>+'13'!D14</f>
        <v>0</v>
      </c>
      <c r="E193" s="5"/>
      <c r="F193" s="5">
        <f>+'13'!B15</f>
        <v>0</v>
      </c>
      <c r="G193" s="5">
        <f>+'13'!C15</f>
        <v>0</v>
      </c>
      <c r="H193" s="5">
        <f>+'13'!D15</f>
        <v>0</v>
      </c>
    </row>
    <row r="194" spans="1:8" x14ac:dyDescent="0.25">
      <c r="A194" s="1">
        <f t="shared" si="14"/>
        <v>14</v>
      </c>
      <c r="B194" s="5">
        <f>+'14'!B14</f>
        <v>0</v>
      </c>
      <c r="C194" s="5">
        <f>+'14'!C14</f>
        <v>0</v>
      </c>
      <c r="D194" s="5">
        <f>+'14'!D14</f>
        <v>0</v>
      </c>
      <c r="E194" s="5"/>
      <c r="F194" s="5">
        <f>+'14'!B15</f>
        <v>0</v>
      </c>
      <c r="G194" s="5">
        <f>+'14'!C15</f>
        <v>0</v>
      </c>
      <c r="H194" s="5">
        <f>+'14'!D15</f>
        <v>0</v>
      </c>
    </row>
    <row r="195" spans="1:8" x14ac:dyDescent="0.25">
      <c r="A195" s="1">
        <f t="shared" si="14"/>
        <v>15</v>
      </c>
      <c r="B195" s="5">
        <f>+'15'!B14</f>
        <v>0</v>
      </c>
      <c r="C195" s="5">
        <f>+'15'!C14</f>
        <v>0</v>
      </c>
      <c r="D195" s="5">
        <f>+'15'!D14</f>
        <v>0</v>
      </c>
      <c r="E195" s="5"/>
      <c r="F195" s="5">
        <f>+'15'!B15</f>
        <v>0</v>
      </c>
      <c r="G195" s="5">
        <f>+'15'!C15</f>
        <v>0</v>
      </c>
      <c r="H195" s="5">
        <f>+'15'!D15</f>
        <v>0</v>
      </c>
    </row>
    <row r="196" spans="1:8" x14ac:dyDescent="0.25">
      <c r="A196" s="1">
        <f t="shared" si="14"/>
        <v>16</v>
      </c>
      <c r="B196" s="5">
        <f>+'16'!B14</f>
        <v>0</v>
      </c>
      <c r="C196" s="5">
        <f>+'16'!C14</f>
        <v>0</v>
      </c>
      <c r="D196" s="5">
        <f>+'16'!D14</f>
        <v>0</v>
      </c>
      <c r="E196" s="5"/>
      <c r="F196" s="5">
        <f>+'16'!B15</f>
        <v>0</v>
      </c>
      <c r="G196" s="5">
        <f>+'16'!C15</f>
        <v>0</v>
      </c>
      <c r="H196" s="5">
        <f>+'16'!D15</f>
        <v>0</v>
      </c>
    </row>
    <row r="197" spans="1:8" x14ac:dyDescent="0.25">
      <c r="A197" s="1">
        <f t="shared" si="14"/>
        <v>17</v>
      </c>
      <c r="B197" s="5">
        <f>+'17'!B14</f>
        <v>0</v>
      </c>
      <c r="C197" s="5">
        <f>+'17'!C14</f>
        <v>0</v>
      </c>
      <c r="D197" s="5">
        <f>+'17'!D14</f>
        <v>0</v>
      </c>
      <c r="E197" s="5"/>
      <c r="F197" s="5">
        <f>+'17'!B15</f>
        <v>0</v>
      </c>
      <c r="G197" s="5">
        <f>+'17'!C15</f>
        <v>0</v>
      </c>
      <c r="H197" s="5">
        <f>+'17'!D15</f>
        <v>0</v>
      </c>
    </row>
    <row r="198" spans="1:8" x14ac:dyDescent="0.25">
      <c r="A198" s="1">
        <f t="shared" si="14"/>
        <v>18</v>
      </c>
      <c r="B198" s="5">
        <f>+'18'!B14</f>
        <v>0</v>
      </c>
      <c r="C198" s="5">
        <f>+'18'!C14</f>
        <v>0</v>
      </c>
      <c r="D198" s="5">
        <f>+'18'!D14</f>
        <v>0</v>
      </c>
      <c r="E198" s="5"/>
      <c r="F198" s="5">
        <f>+'18'!B15</f>
        <v>0</v>
      </c>
      <c r="G198" s="5">
        <f>+'18'!C15</f>
        <v>0</v>
      </c>
      <c r="H198" s="5">
        <f>+'18'!D15</f>
        <v>0</v>
      </c>
    </row>
    <row r="199" spans="1:8" x14ac:dyDescent="0.25">
      <c r="A199" s="1">
        <f t="shared" si="14"/>
        <v>19</v>
      </c>
      <c r="B199" s="5">
        <f>+'19'!B14</f>
        <v>0</v>
      </c>
      <c r="C199" s="5">
        <f>+'19'!C14</f>
        <v>0</v>
      </c>
      <c r="D199" s="5">
        <f>+'19'!D14</f>
        <v>0</v>
      </c>
      <c r="E199" s="5"/>
      <c r="F199" s="5">
        <f>+'19'!B15</f>
        <v>0</v>
      </c>
      <c r="G199" s="5">
        <f>+'19'!C15</f>
        <v>0</v>
      </c>
      <c r="H199" s="5">
        <f>+'19'!D15</f>
        <v>0</v>
      </c>
    </row>
    <row r="200" spans="1:8" x14ac:dyDescent="0.25">
      <c r="A200" s="1">
        <f t="shared" si="14"/>
        <v>20</v>
      </c>
      <c r="B200" s="5">
        <f>+'20'!B14</f>
        <v>0</v>
      </c>
      <c r="C200" s="5">
        <f>+'20'!C14</f>
        <v>0</v>
      </c>
      <c r="D200" s="5">
        <f>+'20'!D14</f>
        <v>0</v>
      </c>
      <c r="E200" s="5"/>
      <c r="F200" s="5">
        <f>+'20'!B15</f>
        <v>0</v>
      </c>
      <c r="G200" s="5">
        <f>+'20'!C15</f>
        <v>0</v>
      </c>
      <c r="H200" s="5">
        <f>+'20'!D15</f>
        <v>0</v>
      </c>
    </row>
    <row r="201" spans="1:8" x14ac:dyDescent="0.25">
      <c r="A201" s="1">
        <f t="shared" si="14"/>
        <v>21</v>
      </c>
      <c r="B201" s="5">
        <f>+'21'!B14</f>
        <v>0</v>
      </c>
      <c r="C201" s="5">
        <f>+'21'!C14</f>
        <v>0</v>
      </c>
      <c r="D201" s="5">
        <f>+'21'!D14</f>
        <v>0</v>
      </c>
      <c r="E201" s="5"/>
      <c r="F201" s="5">
        <f>+'21'!B15</f>
        <v>0</v>
      </c>
      <c r="G201" s="5">
        <f>+'21'!C15</f>
        <v>0</v>
      </c>
      <c r="H201" s="5">
        <f>+'21'!D15</f>
        <v>0</v>
      </c>
    </row>
    <row r="202" spans="1:8" x14ac:dyDescent="0.25">
      <c r="A202" s="1">
        <f t="shared" si="14"/>
        <v>22</v>
      </c>
      <c r="B202" s="5">
        <f>+'22'!B14</f>
        <v>0</v>
      </c>
      <c r="C202" s="5">
        <f>+'22'!C14</f>
        <v>0</v>
      </c>
      <c r="D202" s="5">
        <f>+'22'!D14</f>
        <v>0</v>
      </c>
      <c r="E202" s="5"/>
      <c r="F202" s="5">
        <f>+'22'!B15</f>
        <v>0</v>
      </c>
      <c r="G202" s="5">
        <f>+'22'!C15</f>
        <v>0</v>
      </c>
      <c r="H202" s="5">
        <f>+'22'!D15</f>
        <v>0</v>
      </c>
    </row>
    <row r="203" spans="1:8" x14ac:dyDescent="0.25">
      <c r="A203" s="1">
        <f t="shared" si="14"/>
        <v>23</v>
      </c>
      <c r="B203" s="5">
        <f>+'23'!B14</f>
        <v>0</v>
      </c>
      <c r="C203" s="5">
        <f>+'23'!C14</f>
        <v>0</v>
      </c>
      <c r="D203" s="5">
        <f>+'23'!D14</f>
        <v>0</v>
      </c>
      <c r="E203" s="5"/>
      <c r="F203" s="5">
        <f>+'23'!B15</f>
        <v>0</v>
      </c>
      <c r="G203" s="5">
        <f>+'23'!C15</f>
        <v>0</v>
      </c>
      <c r="H203" s="5">
        <f>+'23'!D15</f>
        <v>0</v>
      </c>
    </row>
    <row r="204" spans="1:8" x14ac:dyDescent="0.25">
      <c r="A204" s="1">
        <f t="shared" si="14"/>
        <v>24</v>
      </c>
      <c r="B204" s="5">
        <f>+'24'!B14</f>
        <v>0</v>
      </c>
      <c r="C204" s="5">
        <f>+'24'!C14</f>
        <v>0</v>
      </c>
      <c r="D204" s="5">
        <f>+'24'!D14</f>
        <v>0</v>
      </c>
      <c r="E204" s="5"/>
      <c r="F204" s="5">
        <f>+'24'!B15</f>
        <v>0</v>
      </c>
      <c r="G204" s="5">
        <f>+'24'!C15</f>
        <v>0</v>
      </c>
      <c r="H204" s="5">
        <f>+'24'!D15</f>
        <v>0</v>
      </c>
    </row>
    <row r="205" spans="1:8" x14ac:dyDescent="0.25">
      <c r="A205" s="1">
        <f t="shared" si="14"/>
        <v>25</v>
      </c>
      <c r="B205" s="5">
        <f>+'25'!B14</f>
        <v>0</v>
      </c>
      <c r="C205" s="5">
        <f>+'25'!C14</f>
        <v>0</v>
      </c>
      <c r="D205" s="5">
        <f>+'25'!D14</f>
        <v>0</v>
      </c>
      <c r="E205" s="5"/>
      <c r="F205" s="5">
        <f>+'25'!B15</f>
        <v>0</v>
      </c>
      <c r="G205" s="5">
        <f>+'25'!C15</f>
        <v>0</v>
      </c>
      <c r="H205" s="5">
        <f>+'25'!D15</f>
        <v>0</v>
      </c>
    </row>
    <row r="206" spans="1:8" x14ac:dyDescent="0.25">
      <c r="A206" s="1">
        <f t="shared" si="14"/>
        <v>26</v>
      </c>
      <c r="B206" s="5">
        <f>+'26'!B14</f>
        <v>0</v>
      </c>
      <c r="C206" s="5">
        <f>+'26'!C14</f>
        <v>0</v>
      </c>
      <c r="D206" s="5">
        <f>+'26'!D14</f>
        <v>0</v>
      </c>
      <c r="E206" s="5"/>
      <c r="F206" s="5">
        <f>+'26'!B15</f>
        <v>0</v>
      </c>
      <c r="G206" s="5">
        <f>+'26'!C15</f>
        <v>0</v>
      </c>
      <c r="H206" s="5">
        <f>+'26'!D15</f>
        <v>0</v>
      </c>
    </row>
    <row r="207" spans="1:8" x14ac:dyDescent="0.25">
      <c r="A207" s="1">
        <f t="shared" si="14"/>
        <v>27</v>
      </c>
      <c r="B207" s="5">
        <f>+'27'!B14</f>
        <v>0</v>
      </c>
      <c r="C207" s="5">
        <f>+'27'!C14</f>
        <v>0</v>
      </c>
      <c r="D207" s="5">
        <f>+'27'!D14</f>
        <v>0</v>
      </c>
      <c r="E207" s="5"/>
      <c r="F207" s="5">
        <f>+'27'!B15</f>
        <v>0</v>
      </c>
      <c r="G207" s="5">
        <f>+'27'!C15</f>
        <v>0</v>
      </c>
      <c r="H207" s="5">
        <f>+'27'!D15</f>
        <v>0</v>
      </c>
    </row>
    <row r="208" spans="1:8" x14ac:dyDescent="0.25">
      <c r="A208" s="1">
        <f t="shared" si="14"/>
        <v>28</v>
      </c>
      <c r="B208" s="5">
        <f>+'28'!B14</f>
        <v>0</v>
      </c>
      <c r="C208" s="5">
        <f>+'28'!C14</f>
        <v>0</v>
      </c>
      <c r="D208" s="5">
        <f>+'28'!D14</f>
        <v>0</v>
      </c>
      <c r="E208" s="5"/>
      <c r="F208" s="5">
        <f>+'28'!B15</f>
        <v>0</v>
      </c>
      <c r="G208" s="5">
        <f>+'28'!C15</f>
        <v>0</v>
      </c>
      <c r="H208" s="5">
        <f>+'28'!D15</f>
        <v>0</v>
      </c>
    </row>
    <row r="209" spans="1:8" x14ac:dyDescent="0.25">
      <c r="A209" s="1">
        <f t="shared" si="14"/>
        <v>29</v>
      </c>
      <c r="B209" s="5">
        <f>+'29'!B14</f>
        <v>0</v>
      </c>
      <c r="C209" s="5">
        <f>+'29'!C14</f>
        <v>0</v>
      </c>
      <c r="D209" s="5">
        <f>+'29'!D14</f>
        <v>0</v>
      </c>
      <c r="E209" s="5"/>
      <c r="F209" s="5">
        <f>+'29'!B15</f>
        <v>0</v>
      </c>
      <c r="G209" s="5">
        <f>+'29'!C15</f>
        <v>0</v>
      </c>
      <c r="H209" s="5">
        <f>+'29'!D15</f>
        <v>0</v>
      </c>
    </row>
    <row r="210" spans="1:8" x14ac:dyDescent="0.25">
      <c r="A210" s="1">
        <f t="shared" si="14"/>
        <v>30</v>
      </c>
      <c r="B210" s="5">
        <f>+'30'!B14</f>
        <v>0</v>
      </c>
      <c r="C210" s="5">
        <f>+'30'!C14</f>
        <v>0</v>
      </c>
      <c r="D210" s="5">
        <f>+'30'!D14</f>
        <v>0</v>
      </c>
      <c r="E210" s="5"/>
      <c r="F210" s="5">
        <f>+'30'!B15</f>
        <v>0</v>
      </c>
      <c r="G210" s="5">
        <f>+'30'!C15</f>
        <v>0</v>
      </c>
      <c r="H210" s="5">
        <f>+'30'!D15</f>
        <v>0</v>
      </c>
    </row>
    <row r="211" spans="1:8" x14ac:dyDescent="0.25">
      <c r="A211" s="1">
        <f t="shared" si="14"/>
        <v>31</v>
      </c>
      <c r="B211" s="5">
        <f>+'31'!B14</f>
        <v>0</v>
      </c>
      <c r="C211" s="5">
        <f>+'31'!C14</f>
        <v>0</v>
      </c>
      <c r="D211" s="5">
        <f>+'31'!D14</f>
        <v>0</v>
      </c>
      <c r="E211" s="5"/>
      <c r="F211" s="5">
        <f>+'31'!B15</f>
        <v>0</v>
      </c>
      <c r="G211" s="5">
        <f>+'31'!C15</f>
        <v>0</v>
      </c>
      <c r="H211" s="5">
        <f>+'31'!D15</f>
        <v>0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ADD5-12E3-46EB-8BB7-F96553B44124}">
  <dimension ref="A1:AF100"/>
  <sheetViews>
    <sheetView workbookViewId="0"/>
  </sheetViews>
  <sheetFormatPr defaultRowHeight="15" x14ac:dyDescent="0.25"/>
  <cols>
    <col min="1" max="1" width="28.7109375" customWidth="1"/>
  </cols>
  <sheetData>
    <row r="1" spans="1:3" ht="26.25" x14ac:dyDescent="0.4">
      <c r="A1" s="9" t="str">
        <f>+Input!B2</f>
        <v>ENGEN JETPARK</v>
      </c>
      <c r="B1" s="5"/>
      <c r="C1" s="5"/>
    </row>
    <row r="2" spans="1:3" x14ac:dyDescent="0.25">
      <c r="B2" s="5"/>
      <c r="C2" s="5"/>
    </row>
    <row r="3" spans="1:3" ht="24.75" thickBot="1" x14ac:dyDescent="0.45">
      <c r="A3" s="10" t="s">
        <v>216</v>
      </c>
      <c r="B3" s="236">
        <f>+Input!B6</f>
        <v>46143</v>
      </c>
      <c r="C3" s="236"/>
    </row>
    <row r="60" spans="1:32" x14ac:dyDescent="0.25">
      <c r="A60" s="148" t="s">
        <v>31</v>
      </c>
      <c r="B60" s="147">
        <v>1</v>
      </c>
      <c r="C60" s="147">
        <f>+B60+1</f>
        <v>2</v>
      </c>
      <c r="D60" s="147">
        <f t="shared" ref="D60:AF60" si="0">+C60+1</f>
        <v>3</v>
      </c>
      <c r="E60" s="147">
        <f t="shared" si="0"/>
        <v>4</v>
      </c>
      <c r="F60" s="147">
        <f t="shared" si="0"/>
        <v>5</v>
      </c>
      <c r="G60" s="147">
        <f t="shared" si="0"/>
        <v>6</v>
      </c>
      <c r="H60" s="147">
        <f t="shared" si="0"/>
        <v>7</v>
      </c>
      <c r="I60" s="147">
        <f t="shared" si="0"/>
        <v>8</v>
      </c>
      <c r="J60" s="147">
        <f t="shared" si="0"/>
        <v>9</v>
      </c>
      <c r="K60" s="147">
        <f t="shared" si="0"/>
        <v>10</v>
      </c>
      <c r="L60" s="147">
        <f t="shared" si="0"/>
        <v>11</v>
      </c>
      <c r="M60" s="147">
        <f t="shared" si="0"/>
        <v>12</v>
      </c>
      <c r="N60" s="147">
        <f t="shared" si="0"/>
        <v>13</v>
      </c>
      <c r="O60" s="147">
        <f t="shared" si="0"/>
        <v>14</v>
      </c>
      <c r="P60" s="147">
        <f t="shared" si="0"/>
        <v>15</v>
      </c>
      <c r="Q60" s="147">
        <f t="shared" si="0"/>
        <v>16</v>
      </c>
      <c r="R60" s="147">
        <f t="shared" si="0"/>
        <v>17</v>
      </c>
      <c r="S60" s="147">
        <f t="shared" si="0"/>
        <v>18</v>
      </c>
      <c r="T60" s="147">
        <f t="shared" si="0"/>
        <v>19</v>
      </c>
      <c r="U60" s="147">
        <f t="shared" si="0"/>
        <v>20</v>
      </c>
      <c r="V60" s="147">
        <f t="shared" si="0"/>
        <v>21</v>
      </c>
      <c r="W60" s="147">
        <f t="shared" si="0"/>
        <v>22</v>
      </c>
      <c r="X60" s="147">
        <f t="shared" si="0"/>
        <v>23</v>
      </c>
      <c r="Y60" s="147">
        <f t="shared" si="0"/>
        <v>24</v>
      </c>
      <c r="Z60" s="147">
        <f t="shared" si="0"/>
        <v>25</v>
      </c>
      <c r="AA60" s="147">
        <f t="shared" si="0"/>
        <v>26</v>
      </c>
      <c r="AB60" s="147">
        <f t="shared" si="0"/>
        <v>27</v>
      </c>
      <c r="AC60" s="147">
        <f t="shared" si="0"/>
        <v>28</v>
      </c>
      <c r="AD60" s="147">
        <f t="shared" si="0"/>
        <v>29</v>
      </c>
      <c r="AE60" s="147">
        <f t="shared" si="0"/>
        <v>30</v>
      </c>
      <c r="AF60" s="147">
        <f t="shared" si="0"/>
        <v>31</v>
      </c>
    </row>
    <row r="61" spans="1:32" x14ac:dyDescent="0.25">
      <c r="A61" s="35" t="s">
        <v>32</v>
      </c>
      <c r="B61" s="152">
        <f>SUM(Summary!C22:C24)</f>
        <v>0</v>
      </c>
      <c r="C61" s="197">
        <f>SUM(Summary!D22:D24)</f>
        <v>0</v>
      </c>
      <c r="D61" s="197">
        <f>SUM(Summary!E22:E24)</f>
        <v>0</v>
      </c>
      <c r="E61" s="197">
        <f>SUM(Summary!F22:F24)</f>
        <v>0</v>
      </c>
      <c r="F61" s="197">
        <f>SUM(Summary!G22:G24)</f>
        <v>0</v>
      </c>
      <c r="G61" s="197">
        <f>SUM(Summary!H22:H24)</f>
        <v>0</v>
      </c>
      <c r="H61" s="197">
        <f>SUM(Summary!I22:I24)</f>
        <v>0</v>
      </c>
      <c r="I61" s="197">
        <f>SUM(Summary!J22:J24)</f>
        <v>0</v>
      </c>
      <c r="J61" s="197">
        <f>SUM(Summary!K22:K24)</f>
        <v>0</v>
      </c>
      <c r="K61" s="197">
        <f>SUM(Summary!L22:L24)</f>
        <v>0</v>
      </c>
      <c r="L61" s="197">
        <f>SUM(Summary!M22:M24)</f>
        <v>0</v>
      </c>
      <c r="M61" s="197">
        <f>SUM(Summary!N22:N24)</f>
        <v>0</v>
      </c>
      <c r="N61" s="197">
        <f>SUM(Summary!O22:O24)</f>
        <v>0</v>
      </c>
      <c r="O61" s="197">
        <f>SUM(Summary!P22:P24)</f>
        <v>0</v>
      </c>
      <c r="P61" s="197">
        <f>SUM(Summary!Q22:Q24)</f>
        <v>0</v>
      </c>
      <c r="Q61" s="197">
        <f>SUM(Summary!R22:R24)</f>
        <v>0</v>
      </c>
      <c r="R61" s="197">
        <f>SUM(Summary!S22:S24)</f>
        <v>0</v>
      </c>
      <c r="S61" s="197">
        <f>SUM(Summary!T22:T24)</f>
        <v>0</v>
      </c>
      <c r="T61" s="197">
        <f>SUM(Summary!U22:U24)</f>
        <v>0</v>
      </c>
      <c r="U61" s="197">
        <f>SUM(Summary!V22:V24)</f>
        <v>0</v>
      </c>
      <c r="V61" s="197">
        <f>SUM(Summary!W22:W24)</f>
        <v>0</v>
      </c>
      <c r="W61" s="197">
        <f>SUM(Summary!X22:X24)</f>
        <v>0</v>
      </c>
      <c r="X61" s="197">
        <f>SUM(Summary!Y22:Y24)</f>
        <v>0</v>
      </c>
      <c r="Y61" s="197">
        <f>SUM(Summary!Z22:Z24)</f>
        <v>0</v>
      </c>
      <c r="Z61" s="197">
        <f>SUM(Summary!AA22:AA24)</f>
        <v>0</v>
      </c>
      <c r="AA61" s="197">
        <f>SUM(Summary!AB22:AB24)</f>
        <v>0</v>
      </c>
      <c r="AB61" s="197">
        <f>SUM(Summary!AC22:AC24)</f>
        <v>0</v>
      </c>
      <c r="AC61" s="197">
        <f>SUM(Summary!AD22:AD24)</f>
        <v>0</v>
      </c>
      <c r="AD61" s="197">
        <f>SUM(Summary!AE22:AE24)</f>
        <v>0</v>
      </c>
      <c r="AE61" s="197">
        <f>SUM(Summary!AF22:AF24)</f>
        <v>0</v>
      </c>
      <c r="AF61" s="197">
        <f>SUM(Summary!AG22:AG24)</f>
        <v>0</v>
      </c>
    </row>
    <row r="62" spans="1:32" x14ac:dyDescent="0.25">
      <c r="A62" s="36" t="s">
        <v>37</v>
      </c>
      <c r="B62" s="153">
        <f>+Summary!C27</f>
        <v>0</v>
      </c>
      <c r="C62" s="198">
        <f>+Summary!D27</f>
        <v>0</v>
      </c>
      <c r="D62" s="198">
        <f>+Summary!E27</f>
        <v>0</v>
      </c>
      <c r="E62" s="198">
        <f>+Summary!F27</f>
        <v>0</v>
      </c>
      <c r="F62" s="198">
        <f>+Summary!G27</f>
        <v>0</v>
      </c>
      <c r="G62" s="198">
        <f>+Summary!H27</f>
        <v>0</v>
      </c>
      <c r="H62" s="198">
        <f>+Summary!I27</f>
        <v>0</v>
      </c>
      <c r="I62" s="198">
        <f>+Summary!J27</f>
        <v>0</v>
      </c>
      <c r="J62" s="198">
        <f>+Summary!K27</f>
        <v>0</v>
      </c>
      <c r="K62" s="198">
        <f>+Summary!L27</f>
        <v>0</v>
      </c>
      <c r="L62" s="198">
        <f>+Summary!M27</f>
        <v>0</v>
      </c>
      <c r="M62" s="198">
        <f>+Summary!N27</f>
        <v>0</v>
      </c>
      <c r="N62" s="198">
        <f>+Summary!O27</f>
        <v>0</v>
      </c>
      <c r="O62" s="198">
        <f>+Summary!P27</f>
        <v>0</v>
      </c>
      <c r="P62" s="198">
        <f>+Summary!Q27</f>
        <v>0</v>
      </c>
      <c r="Q62" s="198">
        <f>+Summary!R27</f>
        <v>0</v>
      </c>
      <c r="R62" s="198">
        <f>+Summary!S27</f>
        <v>0</v>
      </c>
      <c r="S62" s="198">
        <f>+Summary!T27</f>
        <v>0</v>
      </c>
      <c r="T62" s="198">
        <f>+Summary!U27</f>
        <v>0</v>
      </c>
      <c r="U62" s="198">
        <f>+Summary!V27</f>
        <v>0</v>
      </c>
      <c r="V62" s="198">
        <f>+Summary!W27</f>
        <v>0</v>
      </c>
      <c r="W62" s="198">
        <f>+Summary!X27</f>
        <v>0</v>
      </c>
      <c r="X62" s="198">
        <f>+Summary!Y27</f>
        <v>0</v>
      </c>
      <c r="Y62" s="198">
        <f>+Summary!Z27</f>
        <v>0</v>
      </c>
      <c r="Z62" s="198">
        <f>+Summary!AA27</f>
        <v>0</v>
      </c>
      <c r="AA62" s="198">
        <f>+Summary!AB27</f>
        <v>0</v>
      </c>
      <c r="AB62" s="198">
        <f>+Summary!AC27</f>
        <v>0</v>
      </c>
      <c r="AC62" s="198">
        <f>+Summary!AD27</f>
        <v>0</v>
      </c>
      <c r="AD62" s="198">
        <f>+Summary!AE27</f>
        <v>0</v>
      </c>
      <c r="AE62" s="198">
        <f>+Summary!AF27</f>
        <v>0</v>
      </c>
      <c r="AF62" s="198">
        <f>+Summary!AG27</f>
        <v>0</v>
      </c>
    </row>
    <row r="63" spans="1:32" x14ac:dyDescent="0.25">
      <c r="A63" s="37" t="s">
        <v>38</v>
      </c>
      <c r="B63" s="154">
        <f>+Summary!C28</f>
        <v>0</v>
      </c>
      <c r="C63" s="199">
        <f>+Summary!D28</f>
        <v>0</v>
      </c>
      <c r="D63" s="199">
        <f>+Summary!E28</f>
        <v>0</v>
      </c>
      <c r="E63" s="199">
        <f>+Summary!F28</f>
        <v>0</v>
      </c>
      <c r="F63" s="199">
        <f>+Summary!G28</f>
        <v>0</v>
      </c>
      <c r="G63" s="199">
        <f>+Summary!H28</f>
        <v>0</v>
      </c>
      <c r="H63" s="199">
        <f>+Summary!I28</f>
        <v>0</v>
      </c>
      <c r="I63" s="199">
        <f>+Summary!J28</f>
        <v>0</v>
      </c>
      <c r="J63" s="199">
        <f>+Summary!K28</f>
        <v>0</v>
      </c>
      <c r="K63" s="199">
        <f>+Summary!L28</f>
        <v>0</v>
      </c>
      <c r="L63" s="199">
        <f>+Summary!M28</f>
        <v>0</v>
      </c>
      <c r="M63" s="199">
        <f>+Summary!N28</f>
        <v>0</v>
      </c>
      <c r="N63" s="199">
        <f>+Summary!O28</f>
        <v>0</v>
      </c>
      <c r="O63" s="199">
        <f>+Summary!P28</f>
        <v>0</v>
      </c>
      <c r="P63" s="199">
        <f>+Summary!Q28</f>
        <v>0</v>
      </c>
      <c r="Q63" s="199">
        <f>+Summary!R28</f>
        <v>0</v>
      </c>
      <c r="R63" s="199">
        <f>+Summary!S28</f>
        <v>0</v>
      </c>
      <c r="S63" s="199">
        <f>+Summary!T28</f>
        <v>0</v>
      </c>
      <c r="T63" s="199">
        <f>+Summary!U28</f>
        <v>0</v>
      </c>
      <c r="U63" s="199">
        <f>+Summary!V28</f>
        <v>0</v>
      </c>
      <c r="V63" s="199">
        <f>+Summary!W28</f>
        <v>0</v>
      </c>
      <c r="W63" s="199">
        <f>+Summary!X28</f>
        <v>0</v>
      </c>
      <c r="X63" s="199">
        <f>+Summary!Y28</f>
        <v>0</v>
      </c>
      <c r="Y63" s="199">
        <f>+Summary!Z28</f>
        <v>0</v>
      </c>
      <c r="Z63" s="199">
        <f>+Summary!AA28</f>
        <v>0</v>
      </c>
      <c r="AA63" s="199">
        <f>+Summary!AB28</f>
        <v>0</v>
      </c>
      <c r="AB63" s="199">
        <f>+Summary!AC28</f>
        <v>0</v>
      </c>
      <c r="AC63" s="199">
        <f>+Summary!AD28</f>
        <v>0</v>
      </c>
      <c r="AD63" s="199">
        <f>+Summary!AE28</f>
        <v>0</v>
      </c>
      <c r="AE63" s="199">
        <f>+Summary!AF28</f>
        <v>0</v>
      </c>
      <c r="AF63" s="199">
        <f>+Summary!AG28</f>
        <v>0</v>
      </c>
    </row>
    <row r="64" spans="1:32" x14ac:dyDescent="0.25">
      <c r="B64" s="200">
        <f>SUM(B61:B63)</f>
        <v>0</v>
      </c>
      <c r="C64" s="200">
        <f t="shared" ref="C64:AF64" si="1">SUM(C61:C63)</f>
        <v>0</v>
      </c>
      <c r="D64" s="200">
        <f t="shared" si="1"/>
        <v>0</v>
      </c>
      <c r="E64" s="200">
        <f t="shared" si="1"/>
        <v>0</v>
      </c>
      <c r="F64" s="200">
        <f t="shared" si="1"/>
        <v>0</v>
      </c>
      <c r="G64" s="200">
        <f t="shared" si="1"/>
        <v>0</v>
      </c>
      <c r="H64" s="200">
        <f t="shared" si="1"/>
        <v>0</v>
      </c>
      <c r="I64" s="200">
        <f t="shared" si="1"/>
        <v>0</v>
      </c>
      <c r="J64" s="200">
        <f t="shared" si="1"/>
        <v>0</v>
      </c>
      <c r="K64" s="200">
        <f t="shared" si="1"/>
        <v>0</v>
      </c>
      <c r="L64" s="200">
        <f t="shared" si="1"/>
        <v>0</v>
      </c>
      <c r="M64" s="200">
        <f t="shared" si="1"/>
        <v>0</v>
      </c>
      <c r="N64" s="200">
        <f t="shared" si="1"/>
        <v>0</v>
      </c>
      <c r="O64" s="200">
        <f t="shared" si="1"/>
        <v>0</v>
      </c>
      <c r="P64" s="200">
        <f t="shared" si="1"/>
        <v>0</v>
      </c>
      <c r="Q64" s="200">
        <f t="shared" si="1"/>
        <v>0</v>
      </c>
      <c r="R64" s="200">
        <f t="shared" si="1"/>
        <v>0</v>
      </c>
      <c r="S64" s="200">
        <f t="shared" si="1"/>
        <v>0</v>
      </c>
      <c r="T64" s="200">
        <f t="shared" si="1"/>
        <v>0</v>
      </c>
      <c r="U64" s="200">
        <f t="shared" si="1"/>
        <v>0</v>
      </c>
      <c r="V64" s="200">
        <f t="shared" si="1"/>
        <v>0</v>
      </c>
      <c r="W64" s="200">
        <f t="shared" si="1"/>
        <v>0</v>
      </c>
      <c r="X64" s="200">
        <f t="shared" si="1"/>
        <v>0</v>
      </c>
      <c r="Y64" s="200">
        <f t="shared" si="1"/>
        <v>0</v>
      </c>
      <c r="Z64" s="200">
        <f t="shared" si="1"/>
        <v>0</v>
      </c>
      <c r="AA64" s="200">
        <f t="shared" si="1"/>
        <v>0</v>
      </c>
      <c r="AB64" s="200">
        <f t="shared" si="1"/>
        <v>0</v>
      </c>
      <c r="AC64" s="200">
        <f t="shared" si="1"/>
        <v>0</v>
      </c>
      <c r="AD64" s="200">
        <f t="shared" si="1"/>
        <v>0</v>
      </c>
      <c r="AE64" s="200">
        <f t="shared" si="1"/>
        <v>0</v>
      </c>
      <c r="AF64" s="200">
        <f t="shared" si="1"/>
        <v>0</v>
      </c>
    </row>
    <row r="67" spans="1:16" x14ac:dyDescent="0.25">
      <c r="J67" s="252" t="s">
        <v>220</v>
      </c>
      <c r="K67" s="252"/>
      <c r="O67" s="252" t="s">
        <v>224</v>
      </c>
      <c r="P67" s="252"/>
    </row>
    <row r="68" spans="1:16" x14ac:dyDescent="0.25">
      <c r="B68" s="1" t="s">
        <v>222</v>
      </c>
      <c r="C68" s="1"/>
      <c r="D68" s="1" t="s">
        <v>220</v>
      </c>
      <c r="E68" s="1"/>
      <c r="F68" s="1" t="s">
        <v>221</v>
      </c>
      <c r="J68" s="1" t="s">
        <v>223</v>
      </c>
      <c r="K68" s="1" t="s">
        <v>200</v>
      </c>
      <c r="O68" s="1" t="s">
        <v>223</v>
      </c>
      <c r="P68" s="1" t="s">
        <v>200</v>
      </c>
    </row>
    <row r="69" spans="1:16" x14ac:dyDescent="0.25">
      <c r="A69" s="1">
        <v>1</v>
      </c>
      <c r="B69">
        <f>+'Dashboard-Fuel'!V105</f>
        <v>0</v>
      </c>
      <c r="C69" s="159">
        <v>0.3</v>
      </c>
      <c r="D69">
        <f>+B69*C69</f>
        <v>0</v>
      </c>
      <c r="E69" s="159">
        <v>0.85</v>
      </c>
      <c r="F69">
        <f>+B69*E69</f>
        <v>0</v>
      </c>
      <c r="I69" s="1">
        <f>+A69</f>
        <v>1</v>
      </c>
      <c r="J69" s="151">
        <f>+B61</f>
        <v>0</v>
      </c>
      <c r="K69">
        <f>+D69</f>
        <v>0</v>
      </c>
      <c r="N69" s="1">
        <f>+I69</f>
        <v>1</v>
      </c>
      <c r="O69" s="151">
        <f>+B63</f>
        <v>0</v>
      </c>
      <c r="P69">
        <f>+F69</f>
        <v>0</v>
      </c>
    </row>
    <row r="70" spans="1:16" x14ac:dyDescent="0.25">
      <c r="A70" s="1">
        <f>+A69+1</f>
        <v>2</v>
      </c>
      <c r="B70">
        <f>+'Dashboard-Fuel'!V106</f>
        <v>0</v>
      </c>
      <c r="C70" s="159">
        <f>+$C$69</f>
        <v>0.3</v>
      </c>
      <c r="D70">
        <f>+B70*C70</f>
        <v>0</v>
      </c>
      <c r="E70" s="159">
        <f>+$E$69</f>
        <v>0.85</v>
      </c>
      <c r="F70">
        <f>+B70*E70</f>
        <v>0</v>
      </c>
      <c r="I70" s="1">
        <f t="shared" ref="I70:I99" si="2">+A70</f>
        <v>2</v>
      </c>
      <c r="J70" s="151">
        <f>+C61</f>
        <v>0</v>
      </c>
      <c r="K70">
        <f t="shared" ref="K70:K99" si="3">+D70</f>
        <v>0</v>
      </c>
      <c r="N70" s="1">
        <f t="shared" ref="N70:N99" si="4">+I70</f>
        <v>2</v>
      </c>
      <c r="O70" s="151">
        <f>+C63</f>
        <v>0</v>
      </c>
      <c r="P70">
        <v>0</v>
      </c>
    </row>
    <row r="71" spans="1:16" x14ac:dyDescent="0.25">
      <c r="A71" s="1">
        <f t="shared" ref="A71:A99" si="5">+A70+1</f>
        <v>3</v>
      </c>
      <c r="B71">
        <f>+'Dashboard-Fuel'!V107</f>
        <v>0</v>
      </c>
      <c r="C71" s="159">
        <f t="shared" ref="C71:C99" si="6">+$C$69</f>
        <v>0.3</v>
      </c>
      <c r="D71">
        <f t="shared" ref="D71:D99" si="7">+B71*C71</f>
        <v>0</v>
      </c>
      <c r="E71" s="159">
        <f t="shared" ref="E71:E99" si="8">+$E$69</f>
        <v>0.85</v>
      </c>
      <c r="F71">
        <f t="shared" ref="F71:F99" si="9">+B71*E71</f>
        <v>0</v>
      </c>
      <c r="I71" s="1">
        <f t="shared" si="2"/>
        <v>3</v>
      </c>
      <c r="J71" s="151">
        <f>+D61</f>
        <v>0</v>
      </c>
      <c r="K71">
        <f t="shared" si="3"/>
        <v>0</v>
      </c>
      <c r="N71" s="1">
        <f t="shared" si="4"/>
        <v>3</v>
      </c>
      <c r="O71" s="151">
        <f>+D63</f>
        <v>0</v>
      </c>
      <c r="P71">
        <f t="shared" ref="P71:P99" si="10">+F71</f>
        <v>0</v>
      </c>
    </row>
    <row r="72" spans="1:16" x14ac:dyDescent="0.25">
      <c r="A72" s="1">
        <f t="shared" si="5"/>
        <v>4</v>
      </c>
      <c r="B72">
        <f>+'Dashboard-Fuel'!V108</f>
        <v>0</v>
      </c>
      <c r="C72" s="159">
        <f t="shared" si="6"/>
        <v>0.3</v>
      </c>
      <c r="D72">
        <f t="shared" si="7"/>
        <v>0</v>
      </c>
      <c r="E72" s="159">
        <f t="shared" si="8"/>
        <v>0.85</v>
      </c>
      <c r="F72">
        <f t="shared" si="9"/>
        <v>0</v>
      </c>
      <c r="I72" s="1">
        <f t="shared" si="2"/>
        <v>4</v>
      </c>
      <c r="J72" s="151">
        <f>+E61</f>
        <v>0</v>
      </c>
      <c r="K72">
        <f t="shared" si="3"/>
        <v>0</v>
      </c>
      <c r="N72" s="1">
        <f t="shared" si="4"/>
        <v>4</v>
      </c>
      <c r="O72" s="151">
        <f>+E63</f>
        <v>0</v>
      </c>
      <c r="P72">
        <f t="shared" si="10"/>
        <v>0</v>
      </c>
    </row>
    <row r="73" spans="1:16" x14ac:dyDescent="0.25">
      <c r="A73" s="1">
        <f t="shared" si="5"/>
        <v>5</v>
      </c>
      <c r="B73">
        <f>+'Dashboard-Fuel'!V109</f>
        <v>0</v>
      </c>
      <c r="C73" s="159">
        <f t="shared" si="6"/>
        <v>0.3</v>
      </c>
      <c r="D73">
        <f t="shared" si="7"/>
        <v>0</v>
      </c>
      <c r="E73" s="159">
        <f t="shared" si="8"/>
        <v>0.85</v>
      </c>
      <c r="F73">
        <f t="shared" si="9"/>
        <v>0</v>
      </c>
      <c r="I73" s="1">
        <f t="shared" si="2"/>
        <v>5</v>
      </c>
      <c r="J73" s="151">
        <f>+F61</f>
        <v>0</v>
      </c>
      <c r="K73">
        <f t="shared" si="3"/>
        <v>0</v>
      </c>
      <c r="N73" s="1">
        <f t="shared" si="4"/>
        <v>5</v>
      </c>
      <c r="O73" s="151">
        <f>+F63</f>
        <v>0</v>
      </c>
      <c r="P73">
        <f t="shared" si="10"/>
        <v>0</v>
      </c>
    </row>
    <row r="74" spans="1:16" x14ac:dyDescent="0.25">
      <c r="A74" s="1">
        <f t="shared" si="5"/>
        <v>6</v>
      </c>
      <c r="B74">
        <f>+'Dashboard-Fuel'!V110</f>
        <v>0</v>
      </c>
      <c r="C74" s="159">
        <f t="shared" si="6"/>
        <v>0.3</v>
      </c>
      <c r="D74">
        <f t="shared" si="7"/>
        <v>0</v>
      </c>
      <c r="E74" s="159">
        <f t="shared" si="8"/>
        <v>0.85</v>
      </c>
      <c r="F74">
        <f t="shared" si="9"/>
        <v>0</v>
      </c>
      <c r="I74" s="1">
        <f t="shared" si="2"/>
        <v>6</v>
      </c>
      <c r="J74" s="151">
        <f>+G61</f>
        <v>0</v>
      </c>
      <c r="K74">
        <f t="shared" si="3"/>
        <v>0</v>
      </c>
      <c r="N74" s="1">
        <f t="shared" si="4"/>
        <v>6</v>
      </c>
      <c r="O74" s="151">
        <f>+G63</f>
        <v>0</v>
      </c>
      <c r="P74">
        <f t="shared" si="10"/>
        <v>0</v>
      </c>
    </row>
    <row r="75" spans="1:16" x14ac:dyDescent="0.25">
      <c r="A75" s="1">
        <f t="shared" si="5"/>
        <v>7</v>
      </c>
      <c r="B75">
        <f>+'Dashboard-Fuel'!V111</f>
        <v>0</v>
      </c>
      <c r="C75" s="159">
        <f t="shared" si="6"/>
        <v>0.3</v>
      </c>
      <c r="D75">
        <f t="shared" si="7"/>
        <v>0</v>
      </c>
      <c r="E75" s="159">
        <f t="shared" si="8"/>
        <v>0.85</v>
      </c>
      <c r="F75">
        <f t="shared" si="9"/>
        <v>0</v>
      </c>
      <c r="I75" s="1">
        <f t="shared" si="2"/>
        <v>7</v>
      </c>
      <c r="J75" s="151">
        <f>+H61</f>
        <v>0</v>
      </c>
      <c r="K75">
        <f t="shared" si="3"/>
        <v>0</v>
      </c>
      <c r="N75" s="1">
        <f t="shared" si="4"/>
        <v>7</v>
      </c>
      <c r="O75" s="151">
        <f>+H63</f>
        <v>0</v>
      </c>
      <c r="P75">
        <f t="shared" si="10"/>
        <v>0</v>
      </c>
    </row>
    <row r="76" spans="1:16" x14ac:dyDescent="0.25">
      <c r="A76" s="1">
        <f t="shared" si="5"/>
        <v>8</v>
      </c>
      <c r="B76">
        <f>+'Dashboard-Fuel'!V112</f>
        <v>0</v>
      </c>
      <c r="C76" s="159">
        <f t="shared" si="6"/>
        <v>0.3</v>
      </c>
      <c r="D76">
        <f t="shared" si="7"/>
        <v>0</v>
      </c>
      <c r="E76" s="159">
        <f t="shared" si="8"/>
        <v>0.85</v>
      </c>
      <c r="F76">
        <f t="shared" si="9"/>
        <v>0</v>
      </c>
      <c r="I76" s="1">
        <f t="shared" si="2"/>
        <v>8</v>
      </c>
      <c r="J76" s="151">
        <f>+I61</f>
        <v>0</v>
      </c>
      <c r="K76">
        <f t="shared" si="3"/>
        <v>0</v>
      </c>
      <c r="N76" s="1">
        <f t="shared" si="4"/>
        <v>8</v>
      </c>
      <c r="O76" s="151">
        <f>+I63</f>
        <v>0</v>
      </c>
      <c r="P76">
        <f t="shared" si="10"/>
        <v>0</v>
      </c>
    </row>
    <row r="77" spans="1:16" x14ac:dyDescent="0.25">
      <c r="A77" s="1">
        <f t="shared" si="5"/>
        <v>9</v>
      </c>
      <c r="B77">
        <f>+'Dashboard-Fuel'!V113</f>
        <v>0</v>
      </c>
      <c r="C77" s="159">
        <f t="shared" si="6"/>
        <v>0.3</v>
      </c>
      <c r="D77">
        <f t="shared" si="7"/>
        <v>0</v>
      </c>
      <c r="E77" s="159">
        <f t="shared" si="8"/>
        <v>0.85</v>
      </c>
      <c r="F77">
        <f t="shared" si="9"/>
        <v>0</v>
      </c>
      <c r="I77" s="1">
        <f t="shared" si="2"/>
        <v>9</v>
      </c>
      <c r="J77" s="151">
        <f>+J61</f>
        <v>0</v>
      </c>
      <c r="K77">
        <f t="shared" si="3"/>
        <v>0</v>
      </c>
      <c r="N77" s="1">
        <f t="shared" si="4"/>
        <v>9</v>
      </c>
      <c r="O77" s="151">
        <f>+J63</f>
        <v>0</v>
      </c>
      <c r="P77">
        <f t="shared" si="10"/>
        <v>0</v>
      </c>
    </row>
    <row r="78" spans="1:16" x14ac:dyDescent="0.25">
      <c r="A78" s="1">
        <f t="shared" si="5"/>
        <v>10</v>
      </c>
      <c r="B78">
        <f>+'Dashboard-Fuel'!V114</f>
        <v>0</v>
      </c>
      <c r="C78" s="159">
        <f t="shared" si="6"/>
        <v>0.3</v>
      </c>
      <c r="D78">
        <f t="shared" si="7"/>
        <v>0</v>
      </c>
      <c r="E78" s="159">
        <f t="shared" si="8"/>
        <v>0.85</v>
      </c>
      <c r="F78">
        <f t="shared" si="9"/>
        <v>0</v>
      </c>
      <c r="I78" s="1">
        <f t="shared" si="2"/>
        <v>10</v>
      </c>
      <c r="J78" s="151">
        <f>+K61</f>
        <v>0</v>
      </c>
      <c r="K78">
        <f t="shared" si="3"/>
        <v>0</v>
      </c>
      <c r="N78" s="1">
        <f t="shared" si="4"/>
        <v>10</v>
      </c>
      <c r="O78" s="151">
        <f>+K63</f>
        <v>0</v>
      </c>
      <c r="P78">
        <f t="shared" si="10"/>
        <v>0</v>
      </c>
    </row>
    <row r="79" spans="1:16" x14ac:dyDescent="0.25">
      <c r="A79" s="1">
        <f t="shared" si="5"/>
        <v>11</v>
      </c>
      <c r="B79">
        <f>+'Dashboard-Fuel'!V115</f>
        <v>0</v>
      </c>
      <c r="C79" s="159">
        <f t="shared" si="6"/>
        <v>0.3</v>
      </c>
      <c r="D79">
        <f t="shared" si="7"/>
        <v>0</v>
      </c>
      <c r="E79" s="159">
        <f t="shared" si="8"/>
        <v>0.85</v>
      </c>
      <c r="F79">
        <f t="shared" si="9"/>
        <v>0</v>
      </c>
      <c r="I79" s="1">
        <f t="shared" si="2"/>
        <v>11</v>
      </c>
      <c r="J79" s="151">
        <f>+L61</f>
        <v>0</v>
      </c>
      <c r="K79">
        <f t="shared" si="3"/>
        <v>0</v>
      </c>
      <c r="N79" s="1">
        <f t="shared" si="4"/>
        <v>11</v>
      </c>
      <c r="O79" s="151">
        <f>+L63</f>
        <v>0</v>
      </c>
      <c r="P79">
        <f t="shared" si="10"/>
        <v>0</v>
      </c>
    </row>
    <row r="80" spans="1:16" x14ac:dyDescent="0.25">
      <c r="A80" s="1">
        <f t="shared" si="5"/>
        <v>12</v>
      </c>
      <c r="B80">
        <f>+'Dashboard-Fuel'!V116</f>
        <v>0</v>
      </c>
      <c r="C80" s="159">
        <f t="shared" si="6"/>
        <v>0.3</v>
      </c>
      <c r="D80">
        <f t="shared" si="7"/>
        <v>0</v>
      </c>
      <c r="E80" s="159">
        <f t="shared" si="8"/>
        <v>0.85</v>
      </c>
      <c r="F80">
        <f t="shared" si="9"/>
        <v>0</v>
      </c>
      <c r="I80" s="1">
        <f t="shared" si="2"/>
        <v>12</v>
      </c>
      <c r="J80" s="151">
        <f>+M61</f>
        <v>0</v>
      </c>
      <c r="K80">
        <f t="shared" si="3"/>
        <v>0</v>
      </c>
      <c r="N80" s="1">
        <f t="shared" si="4"/>
        <v>12</v>
      </c>
      <c r="O80" s="151">
        <f>+M63</f>
        <v>0</v>
      </c>
      <c r="P80">
        <f t="shared" si="10"/>
        <v>0</v>
      </c>
    </row>
    <row r="81" spans="1:16" x14ac:dyDescent="0.25">
      <c r="A81" s="1">
        <f t="shared" si="5"/>
        <v>13</v>
      </c>
      <c r="B81">
        <f>+'Dashboard-Fuel'!V117</f>
        <v>0</v>
      </c>
      <c r="C81" s="159">
        <f t="shared" si="6"/>
        <v>0.3</v>
      </c>
      <c r="D81">
        <f t="shared" si="7"/>
        <v>0</v>
      </c>
      <c r="E81" s="159">
        <f t="shared" si="8"/>
        <v>0.85</v>
      </c>
      <c r="F81">
        <f t="shared" si="9"/>
        <v>0</v>
      </c>
      <c r="I81" s="1">
        <f t="shared" si="2"/>
        <v>13</v>
      </c>
      <c r="J81" s="151">
        <f>+N61</f>
        <v>0</v>
      </c>
      <c r="K81">
        <f t="shared" si="3"/>
        <v>0</v>
      </c>
      <c r="N81" s="1">
        <f t="shared" si="4"/>
        <v>13</v>
      </c>
      <c r="O81" s="151">
        <f>+N63</f>
        <v>0</v>
      </c>
      <c r="P81">
        <f t="shared" si="10"/>
        <v>0</v>
      </c>
    </row>
    <row r="82" spans="1:16" x14ac:dyDescent="0.25">
      <c r="A82" s="1">
        <f t="shared" si="5"/>
        <v>14</v>
      </c>
      <c r="B82">
        <f>+'Dashboard-Fuel'!V118</f>
        <v>0</v>
      </c>
      <c r="C82" s="159">
        <f t="shared" si="6"/>
        <v>0.3</v>
      </c>
      <c r="D82">
        <f t="shared" si="7"/>
        <v>0</v>
      </c>
      <c r="E82" s="159">
        <f t="shared" si="8"/>
        <v>0.85</v>
      </c>
      <c r="F82">
        <f t="shared" si="9"/>
        <v>0</v>
      </c>
      <c r="I82" s="1">
        <f t="shared" si="2"/>
        <v>14</v>
      </c>
      <c r="J82" s="151">
        <f>+O61</f>
        <v>0</v>
      </c>
      <c r="K82">
        <f t="shared" si="3"/>
        <v>0</v>
      </c>
      <c r="N82" s="1">
        <f t="shared" si="4"/>
        <v>14</v>
      </c>
      <c r="O82" s="151">
        <f>+O63</f>
        <v>0</v>
      </c>
      <c r="P82">
        <f t="shared" si="10"/>
        <v>0</v>
      </c>
    </row>
    <row r="83" spans="1:16" x14ac:dyDescent="0.25">
      <c r="A83" s="1">
        <f t="shared" si="5"/>
        <v>15</v>
      </c>
      <c r="B83">
        <f>+'Dashboard-Fuel'!V119</f>
        <v>0</v>
      </c>
      <c r="C83" s="159">
        <f t="shared" si="6"/>
        <v>0.3</v>
      </c>
      <c r="D83">
        <f t="shared" si="7"/>
        <v>0</v>
      </c>
      <c r="E83" s="159">
        <f t="shared" si="8"/>
        <v>0.85</v>
      </c>
      <c r="F83">
        <f t="shared" si="9"/>
        <v>0</v>
      </c>
      <c r="I83" s="1">
        <f t="shared" si="2"/>
        <v>15</v>
      </c>
      <c r="J83" s="151">
        <f>+P61</f>
        <v>0</v>
      </c>
      <c r="K83">
        <f t="shared" si="3"/>
        <v>0</v>
      </c>
      <c r="N83" s="1">
        <f t="shared" si="4"/>
        <v>15</v>
      </c>
      <c r="O83" s="151">
        <f>+P63</f>
        <v>0</v>
      </c>
      <c r="P83">
        <f t="shared" si="10"/>
        <v>0</v>
      </c>
    </row>
    <row r="84" spans="1:16" x14ac:dyDescent="0.25">
      <c r="A84" s="1">
        <f t="shared" si="5"/>
        <v>16</v>
      </c>
      <c r="B84">
        <f>+'Dashboard-Fuel'!V120</f>
        <v>0</v>
      </c>
      <c r="C84" s="159">
        <f t="shared" si="6"/>
        <v>0.3</v>
      </c>
      <c r="D84">
        <f t="shared" si="7"/>
        <v>0</v>
      </c>
      <c r="E84" s="159">
        <f t="shared" si="8"/>
        <v>0.85</v>
      </c>
      <c r="F84">
        <f t="shared" si="9"/>
        <v>0</v>
      </c>
      <c r="I84" s="1">
        <f t="shared" si="2"/>
        <v>16</v>
      </c>
      <c r="J84" s="151">
        <f>+Q61</f>
        <v>0</v>
      </c>
      <c r="K84">
        <f t="shared" si="3"/>
        <v>0</v>
      </c>
      <c r="N84" s="1">
        <f t="shared" si="4"/>
        <v>16</v>
      </c>
      <c r="O84" s="151">
        <f>+Q63</f>
        <v>0</v>
      </c>
      <c r="P84">
        <f t="shared" si="10"/>
        <v>0</v>
      </c>
    </row>
    <row r="85" spans="1:16" x14ac:dyDescent="0.25">
      <c r="A85" s="1">
        <f t="shared" si="5"/>
        <v>17</v>
      </c>
      <c r="B85">
        <f>+'Dashboard-Fuel'!V121</f>
        <v>0</v>
      </c>
      <c r="C85" s="159">
        <f t="shared" si="6"/>
        <v>0.3</v>
      </c>
      <c r="D85">
        <f t="shared" si="7"/>
        <v>0</v>
      </c>
      <c r="E85" s="159">
        <f t="shared" si="8"/>
        <v>0.85</v>
      </c>
      <c r="F85">
        <f t="shared" si="9"/>
        <v>0</v>
      </c>
      <c r="I85" s="1">
        <f t="shared" si="2"/>
        <v>17</v>
      </c>
      <c r="J85" s="151">
        <f>+R61</f>
        <v>0</v>
      </c>
      <c r="K85">
        <f t="shared" si="3"/>
        <v>0</v>
      </c>
      <c r="N85" s="1">
        <f t="shared" si="4"/>
        <v>17</v>
      </c>
      <c r="O85" s="151">
        <f>+R63</f>
        <v>0</v>
      </c>
      <c r="P85">
        <f t="shared" si="10"/>
        <v>0</v>
      </c>
    </row>
    <row r="86" spans="1:16" x14ac:dyDescent="0.25">
      <c r="A86" s="1">
        <f t="shared" si="5"/>
        <v>18</v>
      </c>
      <c r="B86">
        <f>+'Dashboard-Fuel'!V122</f>
        <v>0</v>
      </c>
      <c r="C86" s="159">
        <f t="shared" si="6"/>
        <v>0.3</v>
      </c>
      <c r="D86">
        <f t="shared" si="7"/>
        <v>0</v>
      </c>
      <c r="E86" s="159">
        <f t="shared" si="8"/>
        <v>0.85</v>
      </c>
      <c r="F86">
        <f t="shared" si="9"/>
        <v>0</v>
      </c>
      <c r="I86" s="1">
        <f t="shared" si="2"/>
        <v>18</v>
      </c>
      <c r="J86" s="151">
        <f>+S61</f>
        <v>0</v>
      </c>
      <c r="K86">
        <f t="shared" si="3"/>
        <v>0</v>
      </c>
      <c r="N86" s="1">
        <f t="shared" si="4"/>
        <v>18</v>
      </c>
      <c r="O86" s="151">
        <f>+S63</f>
        <v>0</v>
      </c>
      <c r="P86">
        <f t="shared" si="10"/>
        <v>0</v>
      </c>
    </row>
    <row r="87" spans="1:16" x14ac:dyDescent="0.25">
      <c r="A87" s="1">
        <f t="shared" si="5"/>
        <v>19</v>
      </c>
      <c r="B87">
        <f>+'Dashboard-Fuel'!V123</f>
        <v>0</v>
      </c>
      <c r="C87" s="159">
        <f t="shared" si="6"/>
        <v>0.3</v>
      </c>
      <c r="D87">
        <f t="shared" si="7"/>
        <v>0</v>
      </c>
      <c r="E87" s="159">
        <f t="shared" si="8"/>
        <v>0.85</v>
      </c>
      <c r="F87">
        <f t="shared" si="9"/>
        <v>0</v>
      </c>
      <c r="I87" s="1">
        <f t="shared" si="2"/>
        <v>19</v>
      </c>
      <c r="J87" s="151">
        <f>+T61</f>
        <v>0</v>
      </c>
      <c r="K87">
        <f t="shared" si="3"/>
        <v>0</v>
      </c>
      <c r="N87" s="1">
        <f t="shared" si="4"/>
        <v>19</v>
      </c>
      <c r="O87" s="151">
        <f>+T63</f>
        <v>0</v>
      </c>
      <c r="P87">
        <f t="shared" si="10"/>
        <v>0</v>
      </c>
    </row>
    <row r="88" spans="1:16" x14ac:dyDescent="0.25">
      <c r="A88" s="1">
        <f t="shared" si="5"/>
        <v>20</v>
      </c>
      <c r="B88">
        <f>+'Dashboard-Fuel'!V124</f>
        <v>0</v>
      </c>
      <c r="C88" s="159">
        <f t="shared" si="6"/>
        <v>0.3</v>
      </c>
      <c r="D88">
        <f t="shared" si="7"/>
        <v>0</v>
      </c>
      <c r="E88" s="159">
        <f t="shared" si="8"/>
        <v>0.85</v>
      </c>
      <c r="F88">
        <f t="shared" si="9"/>
        <v>0</v>
      </c>
      <c r="I88" s="1">
        <f t="shared" si="2"/>
        <v>20</v>
      </c>
      <c r="J88" s="151">
        <f>+U61</f>
        <v>0</v>
      </c>
      <c r="K88">
        <f t="shared" si="3"/>
        <v>0</v>
      </c>
      <c r="N88" s="1">
        <f t="shared" si="4"/>
        <v>20</v>
      </c>
      <c r="O88" s="151">
        <f>+U63</f>
        <v>0</v>
      </c>
      <c r="P88">
        <f t="shared" si="10"/>
        <v>0</v>
      </c>
    </row>
    <row r="89" spans="1:16" x14ac:dyDescent="0.25">
      <c r="A89" s="1">
        <f t="shared" si="5"/>
        <v>21</v>
      </c>
      <c r="B89">
        <f>+'Dashboard-Fuel'!V125</f>
        <v>0</v>
      </c>
      <c r="C89" s="159">
        <f t="shared" si="6"/>
        <v>0.3</v>
      </c>
      <c r="D89">
        <f t="shared" si="7"/>
        <v>0</v>
      </c>
      <c r="E89" s="159">
        <f t="shared" si="8"/>
        <v>0.85</v>
      </c>
      <c r="F89">
        <f t="shared" si="9"/>
        <v>0</v>
      </c>
      <c r="I89" s="1">
        <f t="shared" si="2"/>
        <v>21</v>
      </c>
      <c r="J89" s="151">
        <f>+V61</f>
        <v>0</v>
      </c>
      <c r="K89">
        <f t="shared" si="3"/>
        <v>0</v>
      </c>
      <c r="N89" s="1">
        <f t="shared" si="4"/>
        <v>21</v>
      </c>
      <c r="O89" s="151">
        <f>+V63</f>
        <v>0</v>
      </c>
      <c r="P89">
        <f t="shared" si="10"/>
        <v>0</v>
      </c>
    </row>
    <row r="90" spans="1:16" x14ac:dyDescent="0.25">
      <c r="A90" s="1">
        <f t="shared" si="5"/>
        <v>22</v>
      </c>
      <c r="B90">
        <f>+'Dashboard-Fuel'!V126</f>
        <v>0</v>
      </c>
      <c r="C90" s="159">
        <f t="shared" si="6"/>
        <v>0.3</v>
      </c>
      <c r="D90">
        <f t="shared" si="7"/>
        <v>0</v>
      </c>
      <c r="E90" s="159">
        <f t="shared" si="8"/>
        <v>0.85</v>
      </c>
      <c r="F90">
        <f t="shared" si="9"/>
        <v>0</v>
      </c>
      <c r="I90" s="1">
        <f t="shared" si="2"/>
        <v>22</v>
      </c>
      <c r="J90" s="151">
        <f>+W61</f>
        <v>0</v>
      </c>
      <c r="K90">
        <f t="shared" si="3"/>
        <v>0</v>
      </c>
      <c r="N90" s="1">
        <f t="shared" si="4"/>
        <v>22</v>
      </c>
      <c r="O90" s="151">
        <f>+W63</f>
        <v>0</v>
      </c>
      <c r="P90">
        <f t="shared" si="10"/>
        <v>0</v>
      </c>
    </row>
    <row r="91" spans="1:16" x14ac:dyDescent="0.25">
      <c r="A91" s="1">
        <f t="shared" si="5"/>
        <v>23</v>
      </c>
      <c r="B91">
        <f>+'Dashboard-Fuel'!V127</f>
        <v>0</v>
      </c>
      <c r="C91" s="159">
        <f t="shared" si="6"/>
        <v>0.3</v>
      </c>
      <c r="D91">
        <f t="shared" si="7"/>
        <v>0</v>
      </c>
      <c r="E91" s="159">
        <f t="shared" si="8"/>
        <v>0.85</v>
      </c>
      <c r="F91">
        <f t="shared" si="9"/>
        <v>0</v>
      </c>
      <c r="I91" s="1">
        <f t="shared" si="2"/>
        <v>23</v>
      </c>
      <c r="J91" s="151">
        <f>+X61</f>
        <v>0</v>
      </c>
      <c r="K91">
        <f t="shared" si="3"/>
        <v>0</v>
      </c>
      <c r="N91" s="1">
        <f t="shared" si="4"/>
        <v>23</v>
      </c>
      <c r="O91" s="151">
        <f>+X63</f>
        <v>0</v>
      </c>
      <c r="P91">
        <f t="shared" si="10"/>
        <v>0</v>
      </c>
    </row>
    <row r="92" spans="1:16" x14ac:dyDescent="0.25">
      <c r="A92" s="1">
        <f t="shared" si="5"/>
        <v>24</v>
      </c>
      <c r="B92">
        <f>+'Dashboard-Fuel'!V128</f>
        <v>0</v>
      </c>
      <c r="C92" s="159">
        <f t="shared" si="6"/>
        <v>0.3</v>
      </c>
      <c r="D92">
        <f t="shared" si="7"/>
        <v>0</v>
      </c>
      <c r="E92" s="159">
        <f t="shared" si="8"/>
        <v>0.85</v>
      </c>
      <c r="F92">
        <f t="shared" si="9"/>
        <v>0</v>
      </c>
      <c r="I92" s="1">
        <f t="shared" si="2"/>
        <v>24</v>
      </c>
      <c r="J92" s="151">
        <f>+Y61</f>
        <v>0</v>
      </c>
      <c r="K92">
        <f t="shared" si="3"/>
        <v>0</v>
      </c>
      <c r="N92" s="1">
        <f t="shared" si="4"/>
        <v>24</v>
      </c>
      <c r="O92" s="151">
        <f>+Y63</f>
        <v>0</v>
      </c>
      <c r="P92">
        <f t="shared" si="10"/>
        <v>0</v>
      </c>
    </row>
    <row r="93" spans="1:16" x14ac:dyDescent="0.25">
      <c r="A93" s="1">
        <f t="shared" si="5"/>
        <v>25</v>
      </c>
      <c r="B93">
        <f>+'Dashboard-Fuel'!V129</f>
        <v>0</v>
      </c>
      <c r="C93" s="159">
        <f t="shared" si="6"/>
        <v>0.3</v>
      </c>
      <c r="D93">
        <f t="shared" si="7"/>
        <v>0</v>
      </c>
      <c r="E93" s="159">
        <f t="shared" si="8"/>
        <v>0.85</v>
      </c>
      <c r="F93">
        <f t="shared" si="9"/>
        <v>0</v>
      </c>
      <c r="I93" s="1">
        <f t="shared" si="2"/>
        <v>25</v>
      </c>
      <c r="J93" s="151">
        <f>+Z61</f>
        <v>0</v>
      </c>
      <c r="K93">
        <f t="shared" si="3"/>
        <v>0</v>
      </c>
      <c r="N93" s="1">
        <f t="shared" si="4"/>
        <v>25</v>
      </c>
      <c r="O93" s="151">
        <f>+Z63</f>
        <v>0</v>
      </c>
      <c r="P93">
        <f t="shared" si="10"/>
        <v>0</v>
      </c>
    </row>
    <row r="94" spans="1:16" x14ac:dyDescent="0.25">
      <c r="A94" s="1">
        <f t="shared" si="5"/>
        <v>26</v>
      </c>
      <c r="B94">
        <f>+'Dashboard-Fuel'!V130</f>
        <v>0</v>
      </c>
      <c r="C94" s="159">
        <f t="shared" si="6"/>
        <v>0.3</v>
      </c>
      <c r="D94">
        <f t="shared" si="7"/>
        <v>0</v>
      </c>
      <c r="E94" s="159">
        <f t="shared" si="8"/>
        <v>0.85</v>
      </c>
      <c r="F94">
        <f t="shared" si="9"/>
        <v>0</v>
      </c>
      <c r="I94" s="1">
        <f t="shared" si="2"/>
        <v>26</v>
      </c>
      <c r="J94" s="151">
        <f>+AA61</f>
        <v>0</v>
      </c>
      <c r="K94">
        <f t="shared" si="3"/>
        <v>0</v>
      </c>
      <c r="N94" s="1">
        <f t="shared" si="4"/>
        <v>26</v>
      </c>
      <c r="O94" s="151">
        <f>+AA63</f>
        <v>0</v>
      </c>
      <c r="P94">
        <f t="shared" si="10"/>
        <v>0</v>
      </c>
    </row>
    <row r="95" spans="1:16" x14ac:dyDescent="0.25">
      <c r="A95" s="1">
        <f t="shared" si="5"/>
        <v>27</v>
      </c>
      <c r="B95">
        <f>+'Dashboard-Fuel'!V131</f>
        <v>0</v>
      </c>
      <c r="C95" s="159">
        <f t="shared" si="6"/>
        <v>0.3</v>
      </c>
      <c r="D95">
        <f t="shared" si="7"/>
        <v>0</v>
      </c>
      <c r="E95" s="159">
        <f t="shared" si="8"/>
        <v>0.85</v>
      </c>
      <c r="F95">
        <f t="shared" si="9"/>
        <v>0</v>
      </c>
      <c r="I95" s="1">
        <f t="shared" si="2"/>
        <v>27</v>
      </c>
      <c r="J95" s="151">
        <f>+AB61</f>
        <v>0</v>
      </c>
      <c r="K95">
        <f t="shared" si="3"/>
        <v>0</v>
      </c>
      <c r="N95" s="1">
        <f t="shared" si="4"/>
        <v>27</v>
      </c>
      <c r="O95" s="151">
        <f>+AB63</f>
        <v>0</v>
      </c>
      <c r="P95">
        <f t="shared" si="10"/>
        <v>0</v>
      </c>
    </row>
    <row r="96" spans="1:16" x14ac:dyDescent="0.25">
      <c r="A96" s="1">
        <f t="shared" si="5"/>
        <v>28</v>
      </c>
      <c r="B96">
        <f>+'Dashboard-Fuel'!V132</f>
        <v>0</v>
      </c>
      <c r="C96" s="159">
        <f t="shared" si="6"/>
        <v>0.3</v>
      </c>
      <c r="D96">
        <f t="shared" si="7"/>
        <v>0</v>
      </c>
      <c r="E96" s="159">
        <f t="shared" si="8"/>
        <v>0.85</v>
      </c>
      <c r="F96">
        <f t="shared" si="9"/>
        <v>0</v>
      </c>
      <c r="I96" s="1">
        <f t="shared" si="2"/>
        <v>28</v>
      </c>
      <c r="J96" s="151">
        <f>+AC61</f>
        <v>0</v>
      </c>
      <c r="K96">
        <f t="shared" si="3"/>
        <v>0</v>
      </c>
      <c r="N96" s="1">
        <f t="shared" si="4"/>
        <v>28</v>
      </c>
      <c r="O96" s="151">
        <f>+AC63</f>
        <v>0</v>
      </c>
      <c r="P96">
        <f t="shared" si="10"/>
        <v>0</v>
      </c>
    </row>
    <row r="97" spans="1:16" x14ac:dyDescent="0.25">
      <c r="A97" s="1">
        <f t="shared" si="5"/>
        <v>29</v>
      </c>
      <c r="B97">
        <f>+'Dashboard-Fuel'!V133</f>
        <v>0</v>
      </c>
      <c r="C97" s="159">
        <f t="shared" si="6"/>
        <v>0.3</v>
      </c>
      <c r="D97">
        <f t="shared" si="7"/>
        <v>0</v>
      </c>
      <c r="E97" s="159">
        <f t="shared" si="8"/>
        <v>0.85</v>
      </c>
      <c r="F97">
        <f t="shared" si="9"/>
        <v>0</v>
      </c>
      <c r="I97" s="1">
        <f t="shared" si="2"/>
        <v>29</v>
      </c>
      <c r="J97" s="151">
        <f>+AD61</f>
        <v>0</v>
      </c>
      <c r="K97">
        <f t="shared" si="3"/>
        <v>0</v>
      </c>
      <c r="N97" s="1">
        <f t="shared" si="4"/>
        <v>29</v>
      </c>
      <c r="O97" s="151">
        <f>+AD63</f>
        <v>0</v>
      </c>
      <c r="P97">
        <f t="shared" si="10"/>
        <v>0</v>
      </c>
    </row>
    <row r="98" spans="1:16" x14ac:dyDescent="0.25">
      <c r="A98" s="1">
        <f t="shared" si="5"/>
        <v>30</v>
      </c>
      <c r="B98">
        <f>+'Dashboard-Fuel'!V134</f>
        <v>0</v>
      </c>
      <c r="C98" s="159">
        <f t="shared" si="6"/>
        <v>0.3</v>
      </c>
      <c r="D98">
        <f t="shared" si="7"/>
        <v>0</v>
      </c>
      <c r="E98" s="159">
        <f t="shared" si="8"/>
        <v>0.85</v>
      </c>
      <c r="F98">
        <f t="shared" si="9"/>
        <v>0</v>
      </c>
      <c r="I98" s="1">
        <f t="shared" si="2"/>
        <v>30</v>
      </c>
      <c r="J98" s="151">
        <f>+AE61</f>
        <v>0</v>
      </c>
      <c r="K98">
        <f t="shared" si="3"/>
        <v>0</v>
      </c>
      <c r="N98" s="1">
        <f t="shared" si="4"/>
        <v>30</v>
      </c>
      <c r="O98" s="151">
        <f>+AE63</f>
        <v>0</v>
      </c>
      <c r="P98">
        <f t="shared" si="10"/>
        <v>0</v>
      </c>
    </row>
    <row r="99" spans="1:16" x14ac:dyDescent="0.25">
      <c r="A99" s="1">
        <f t="shared" si="5"/>
        <v>31</v>
      </c>
      <c r="B99">
        <f>+'Dashboard-Fuel'!V135</f>
        <v>0</v>
      </c>
      <c r="C99" s="159">
        <f t="shared" si="6"/>
        <v>0.3</v>
      </c>
      <c r="D99">
        <f t="shared" si="7"/>
        <v>0</v>
      </c>
      <c r="E99" s="159">
        <f t="shared" si="8"/>
        <v>0.85</v>
      </c>
      <c r="F99">
        <f t="shared" si="9"/>
        <v>0</v>
      </c>
      <c r="I99" s="1">
        <f t="shared" si="2"/>
        <v>31</v>
      </c>
      <c r="J99" s="151">
        <f>+AF61</f>
        <v>0</v>
      </c>
      <c r="K99">
        <f t="shared" si="3"/>
        <v>0</v>
      </c>
      <c r="N99" s="1">
        <f t="shared" si="4"/>
        <v>31</v>
      </c>
      <c r="O99" s="151">
        <f>+AF63</f>
        <v>0</v>
      </c>
      <c r="P99">
        <f t="shared" si="10"/>
        <v>0</v>
      </c>
    </row>
    <row r="100" spans="1:16" x14ac:dyDescent="0.25">
      <c r="D100" s="158">
        <f>SUM(D69:D99)</f>
        <v>0</v>
      </c>
      <c r="F100" s="158">
        <f>SUM(F69:F99)</f>
        <v>0</v>
      </c>
      <c r="J100" s="158">
        <f>SUM(J69:J99)</f>
        <v>0</v>
      </c>
      <c r="K100" s="158">
        <f>SUM(K69:K99)</f>
        <v>0</v>
      </c>
      <c r="O100" s="158">
        <f>SUM(O69:O99)</f>
        <v>0</v>
      </c>
      <c r="P100" s="158">
        <f>SUM(P69:P99)</f>
        <v>0</v>
      </c>
    </row>
  </sheetData>
  <mergeCells count="3">
    <mergeCell ref="B3:C3"/>
    <mergeCell ref="J67:K67"/>
    <mergeCell ref="O67:P6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6C83-90D5-4B35-8000-9C24F9F5EF0C}">
  <dimension ref="A1:K38"/>
  <sheetViews>
    <sheetView topLeftCell="A14" workbookViewId="0">
      <selection activeCell="C6" sqref="C6"/>
    </sheetView>
  </sheetViews>
  <sheetFormatPr defaultRowHeight="15" x14ac:dyDescent="0.25"/>
  <cols>
    <col min="1" max="1" width="16.140625" customWidth="1"/>
    <col min="2" max="2" width="10.42578125" bestFit="1" customWidth="1"/>
    <col min="3" max="11" width="11.7109375" customWidth="1"/>
  </cols>
  <sheetData>
    <row r="1" spans="1:11" ht="26.25" x14ac:dyDescent="0.4">
      <c r="A1" s="9" t="str">
        <f>+Input!B2</f>
        <v>ENGEN JETPARK</v>
      </c>
    </row>
    <row r="3" spans="1:11" ht="24.75" thickBot="1" x14ac:dyDescent="0.45">
      <c r="A3" s="10" t="s">
        <v>193</v>
      </c>
      <c r="C3" s="236">
        <f>+Input!B6</f>
        <v>46143</v>
      </c>
      <c r="D3" s="236"/>
    </row>
    <row r="4" spans="1:11" ht="15.75" thickBot="1" x14ac:dyDescent="0.3"/>
    <row r="5" spans="1:11" ht="15.75" thickBot="1" x14ac:dyDescent="0.3">
      <c r="A5" s="15" t="s">
        <v>8</v>
      </c>
      <c r="B5" s="16" t="s">
        <v>7</v>
      </c>
      <c r="C5" s="15" t="str">
        <f>+Input!B44</f>
        <v>Mandla</v>
      </c>
      <c r="D5" s="16" t="str">
        <f>+Input!C44</f>
        <v>Caroline</v>
      </c>
      <c r="E5" s="17" t="str">
        <f>+Input!D44</f>
        <v>Siyabonga</v>
      </c>
      <c r="F5" s="18" t="str">
        <f>+Input!E44</f>
        <v>Thumelo</v>
      </c>
      <c r="G5" s="19" t="str">
        <f>+Input!F44</f>
        <v>Cashier 5</v>
      </c>
      <c r="H5" s="20" t="str">
        <f>+Input!G44</f>
        <v>Cashier 6</v>
      </c>
      <c r="I5" s="49" t="s">
        <v>68</v>
      </c>
      <c r="J5" s="50" t="s">
        <v>71</v>
      </c>
      <c r="K5" s="138" t="s">
        <v>170</v>
      </c>
    </row>
    <row r="6" spans="1:11" x14ac:dyDescent="0.25">
      <c r="A6" s="121" t="str">
        <f>+Input!B10</f>
        <v>Friday</v>
      </c>
      <c r="B6" s="136">
        <f>+Input!C10</f>
        <v>46143</v>
      </c>
      <c r="C6" s="43">
        <f>+'1'!B53</f>
        <v>33206.04</v>
      </c>
      <c r="D6" s="43">
        <f>+'1'!C53</f>
        <v>-1000</v>
      </c>
      <c r="E6" s="43">
        <f>+'1'!D53</f>
        <v>-1000</v>
      </c>
      <c r="F6" s="43">
        <f>+'1'!E53</f>
        <v>-1000</v>
      </c>
      <c r="G6" s="43">
        <f>+'1'!F53</f>
        <v>-1000</v>
      </c>
      <c r="H6" s="43">
        <f>+'1'!G53</f>
        <v>-1000</v>
      </c>
      <c r="I6" s="81">
        <f>SUM(C6:H6)</f>
        <v>28206.04</v>
      </c>
      <c r="J6" s="43">
        <f>+'1'!H53</f>
        <v>28206.04</v>
      </c>
      <c r="K6" s="81">
        <f>+J6-I6</f>
        <v>0</v>
      </c>
    </row>
    <row r="7" spans="1:11" x14ac:dyDescent="0.25">
      <c r="A7" s="121" t="str">
        <f>+Input!B11</f>
        <v>Saturday</v>
      </c>
      <c r="B7" s="136">
        <f>+Input!C11</f>
        <v>46144</v>
      </c>
      <c r="C7" s="43">
        <f>+'2'!B53</f>
        <v>0</v>
      </c>
      <c r="D7" s="43">
        <f>+'2'!C53</f>
        <v>0</v>
      </c>
      <c r="E7" s="43">
        <f>+'2'!D53</f>
        <v>0</v>
      </c>
      <c r="F7" s="43">
        <f>+'2'!E53</f>
        <v>0</v>
      </c>
      <c r="G7" s="43">
        <f>+'2'!F53</f>
        <v>0</v>
      </c>
      <c r="H7" s="43">
        <f>+'2'!G53</f>
        <v>0</v>
      </c>
      <c r="I7" s="81">
        <f t="shared" ref="I7:I36" si="0">SUM(C7:H7)</f>
        <v>0</v>
      </c>
      <c r="J7" s="43">
        <f>+'2'!H53</f>
        <v>0</v>
      </c>
      <c r="K7" s="81">
        <f t="shared" ref="K7:K36" si="1">+J7-I7</f>
        <v>0</v>
      </c>
    </row>
    <row r="8" spans="1:11" x14ac:dyDescent="0.25">
      <c r="A8" s="121" t="str">
        <f>+Input!B12</f>
        <v>Sunday</v>
      </c>
      <c r="B8" s="136">
        <f>+Input!C12</f>
        <v>46145</v>
      </c>
      <c r="C8" s="43">
        <f>+'3'!B53</f>
        <v>0</v>
      </c>
      <c r="D8" s="43">
        <f>+'3'!C53</f>
        <v>0</v>
      </c>
      <c r="E8" s="43">
        <f>+'3'!D53</f>
        <v>0</v>
      </c>
      <c r="F8" s="43">
        <f>+'3'!E53</f>
        <v>0</v>
      </c>
      <c r="G8" s="43">
        <f>+'3'!F53</f>
        <v>0</v>
      </c>
      <c r="H8" s="43">
        <f>+'3'!G53</f>
        <v>0</v>
      </c>
      <c r="I8" s="81">
        <f t="shared" si="0"/>
        <v>0</v>
      </c>
      <c r="J8" s="43">
        <f>+'3'!H53</f>
        <v>0</v>
      </c>
      <c r="K8" s="81">
        <f t="shared" si="1"/>
        <v>0</v>
      </c>
    </row>
    <row r="9" spans="1:11" x14ac:dyDescent="0.25">
      <c r="A9" s="121" t="str">
        <f>+Input!B13</f>
        <v>Monday</v>
      </c>
      <c r="B9" s="136">
        <f>+Input!C13</f>
        <v>46146</v>
      </c>
      <c r="C9" s="43">
        <f>+'4'!B53</f>
        <v>0</v>
      </c>
      <c r="D9" s="43">
        <f>+'4'!C53</f>
        <v>0</v>
      </c>
      <c r="E9" s="43">
        <f>+'4'!D53</f>
        <v>0</v>
      </c>
      <c r="F9" s="43">
        <f>+'4'!E53</f>
        <v>0</v>
      </c>
      <c r="G9" s="43">
        <f>+'4'!F53</f>
        <v>0</v>
      </c>
      <c r="H9" s="43">
        <f>+'4'!G53</f>
        <v>0</v>
      </c>
      <c r="I9" s="81">
        <f t="shared" si="0"/>
        <v>0</v>
      </c>
      <c r="J9" s="43">
        <f>+'4'!H53</f>
        <v>0</v>
      </c>
      <c r="K9" s="81">
        <f t="shared" si="1"/>
        <v>0</v>
      </c>
    </row>
    <row r="10" spans="1:11" x14ac:dyDescent="0.25">
      <c r="A10" s="121" t="str">
        <f>+Input!B14</f>
        <v>Tuesday</v>
      </c>
      <c r="B10" s="136">
        <f>+Input!C14</f>
        <v>46147</v>
      </c>
      <c r="C10" s="43">
        <f>+'5'!B53</f>
        <v>0</v>
      </c>
      <c r="D10" s="43">
        <f>+'5'!C53</f>
        <v>0</v>
      </c>
      <c r="E10" s="43">
        <f>+'5'!D53</f>
        <v>0</v>
      </c>
      <c r="F10" s="43">
        <f>+'5'!E53</f>
        <v>0</v>
      </c>
      <c r="G10" s="43">
        <f>+'5'!F53</f>
        <v>0</v>
      </c>
      <c r="H10" s="43">
        <f>+'5'!G53</f>
        <v>0</v>
      </c>
      <c r="I10" s="81">
        <f t="shared" si="0"/>
        <v>0</v>
      </c>
      <c r="J10" s="43">
        <f>+'5'!H53</f>
        <v>0</v>
      </c>
      <c r="K10" s="81">
        <f t="shared" si="1"/>
        <v>0</v>
      </c>
    </row>
    <row r="11" spans="1:11" x14ac:dyDescent="0.25">
      <c r="A11" s="121" t="str">
        <f>+Input!B15</f>
        <v>Wednesday</v>
      </c>
      <c r="B11" s="136">
        <f>+Input!C15</f>
        <v>46148</v>
      </c>
      <c r="C11" s="43">
        <f>+'6'!B53</f>
        <v>0</v>
      </c>
      <c r="D11" s="43">
        <f>+'6'!C53</f>
        <v>0</v>
      </c>
      <c r="E11" s="43">
        <f>+'6'!D53</f>
        <v>0</v>
      </c>
      <c r="F11" s="43">
        <f>+'6'!E53</f>
        <v>0</v>
      </c>
      <c r="G11" s="43">
        <f>+'6'!F53</f>
        <v>0</v>
      </c>
      <c r="H11" s="43">
        <f>+'6'!G53</f>
        <v>0</v>
      </c>
      <c r="I11" s="81">
        <f t="shared" si="0"/>
        <v>0</v>
      </c>
      <c r="J11" s="43">
        <f>+'6'!H53</f>
        <v>0</v>
      </c>
      <c r="K11" s="81">
        <f t="shared" si="1"/>
        <v>0</v>
      </c>
    </row>
    <row r="12" spans="1:11" x14ac:dyDescent="0.25">
      <c r="A12" s="121" t="str">
        <f>+Input!B16</f>
        <v>Thursday</v>
      </c>
      <c r="B12" s="136">
        <f>+Input!C16</f>
        <v>46149</v>
      </c>
      <c r="C12" s="43">
        <f>+'7'!B53</f>
        <v>0</v>
      </c>
      <c r="D12" s="43">
        <f>+'7'!C53</f>
        <v>0</v>
      </c>
      <c r="E12" s="43">
        <f>+'7'!D53</f>
        <v>0</v>
      </c>
      <c r="F12" s="43">
        <f>+'7'!E53</f>
        <v>0</v>
      </c>
      <c r="G12" s="43">
        <f>+'7'!F53</f>
        <v>0</v>
      </c>
      <c r="H12" s="43">
        <f>+'7'!G53</f>
        <v>0</v>
      </c>
      <c r="I12" s="81">
        <f t="shared" si="0"/>
        <v>0</v>
      </c>
      <c r="J12" s="43">
        <f>+'7'!H53</f>
        <v>0</v>
      </c>
      <c r="K12" s="81">
        <f t="shared" si="1"/>
        <v>0</v>
      </c>
    </row>
    <row r="13" spans="1:11" x14ac:dyDescent="0.25">
      <c r="A13" s="121" t="str">
        <f>+Input!B17</f>
        <v>Friday</v>
      </c>
      <c r="B13" s="136">
        <f>+Input!C17</f>
        <v>46150</v>
      </c>
      <c r="C13" s="43">
        <f>+'8'!B53</f>
        <v>0</v>
      </c>
      <c r="D13" s="43">
        <f>+'8'!C53</f>
        <v>0</v>
      </c>
      <c r="E13" s="43">
        <f>+'8'!D53</f>
        <v>0</v>
      </c>
      <c r="F13" s="43">
        <f>+'8'!E53</f>
        <v>0</v>
      </c>
      <c r="G13" s="43">
        <f>+'8'!F53</f>
        <v>0</v>
      </c>
      <c r="H13" s="43">
        <f>+'8'!G53</f>
        <v>0</v>
      </c>
      <c r="I13" s="81">
        <f t="shared" si="0"/>
        <v>0</v>
      </c>
      <c r="J13" s="43">
        <f>+'8'!H53</f>
        <v>0</v>
      </c>
      <c r="K13" s="81">
        <f t="shared" si="1"/>
        <v>0</v>
      </c>
    </row>
    <row r="14" spans="1:11" x14ac:dyDescent="0.25">
      <c r="A14" s="121" t="str">
        <f>+Input!B18</f>
        <v>Saturday</v>
      </c>
      <c r="B14" s="136">
        <f>+Input!C18</f>
        <v>46151</v>
      </c>
      <c r="C14" s="43">
        <f>+'9'!B53</f>
        <v>0</v>
      </c>
      <c r="D14" s="43">
        <f>+'9'!C53</f>
        <v>0</v>
      </c>
      <c r="E14" s="43">
        <f>+'9'!D53</f>
        <v>0</v>
      </c>
      <c r="F14" s="43">
        <f>+'9'!E53</f>
        <v>0</v>
      </c>
      <c r="G14" s="43">
        <f>+'9'!F53</f>
        <v>0</v>
      </c>
      <c r="H14" s="43">
        <f>+'9'!G53</f>
        <v>0</v>
      </c>
      <c r="I14" s="81">
        <f t="shared" si="0"/>
        <v>0</v>
      </c>
      <c r="J14" s="43">
        <f>+'9'!H53</f>
        <v>0</v>
      </c>
      <c r="K14" s="81">
        <f t="shared" si="1"/>
        <v>0</v>
      </c>
    </row>
    <row r="15" spans="1:11" x14ac:dyDescent="0.25">
      <c r="A15" s="121" t="str">
        <f>+Input!B19</f>
        <v>Sunday</v>
      </c>
      <c r="B15" s="136">
        <f>+Input!C19</f>
        <v>46152</v>
      </c>
      <c r="C15" s="43">
        <f>+'10'!B53</f>
        <v>0</v>
      </c>
      <c r="D15" s="43">
        <f>+'10'!C53</f>
        <v>0</v>
      </c>
      <c r="E15" s="43">
        <f>+'10'!D53</f>
        <v>0</v>
      </c>
      <c r="F15" s="43">
        <f>+'10'!E53</f>
        <v>0</v>
      </c>
      <c r="G15" s="43">
        <f>+'10'!F53</f>
        <v>0</v>
      </c>
      <c r="H15" s="43">
        <f>+'10'!G53</f>
        <v>0</v>
      </c>
      <c r="I15" s="81">
        <f t="shared" si="0"/>
        <v>0</v>
      </c>
      <c r="J15" s="43">
        <f>+'10'!H53</f>
        <v>0</v>
      </c>
      <c r="K15" s="81">
        <f t="shared" si="1"/>
        <v>0</v>
      </c>
    </row>
    <row r="16" spans="1:11" x14ac:dyDescent="0.25">
      <c r="A16" s="121" t="str">
        <f>+Input!B20</f>
        <v>Monday</v>
      </c>
      <c r="B16" s="136">
        <f>+Input!C20</f>
        <v>46153</v>
      </c>
      <c r="C16" s="43">
        <f>+'11'!B53</f>
        <v>0</v>
      </c>
      <c r="D16" s="43">
        <f>+'11'!C53</f>
        <v>0</v>
      </c>
      <c r="E16" s="43">
        <f>+'11'!D53</f>
        <v>0</v>
      </c>
      <c r="F16" s="43">
        <f>+'11'!E53</f>
        <v>0</v>
      </c>
      <c r="G16" s="43">
        <f>+'11'!F53</f>
        <v>0</v>
      </c>
      <c r="H16" s="43">
        <f>+'11'!G53</f>
        <v>0</v>
      </c>
      <c r="I16" s="81">
        <f t="shared" si="0"/>
        <v>0</v>
      </c>
      <c r="J16" s="43">
        <f>+'11'!H53</f>
        <v>0</v>
      </c>
      <c r="K16" s="81">
        <f t="shared" si="1"/>
        <v>0</v>
      </c>
    </row>
    <row r="17" spans="1:11" x14ac:dyDescent="0.25">
      <c r="A17" s="121" t="str">
        <f>+Input!B21</f>
        <v>Tuesday</v>
      </c>
      <c r="B17" s="136">
        <f>+Input!C21</f>
        <v>46154</v>
      </c>
      <c r="C17" s="43">
        <f>+'12'!B53</f>
        <v>0</v>
      </c>
      <c r="D17" s="43">
        <f>+'12'!C53</f>
        <v>0</v>
      </c>
      <c r="E17" s="43">
        <f>+'12'!D53</f>
        <v>0</v>
      </c>
      <c r="F17" s="43">
        <f>+'12'!E53</f>
        <v>0</v>
      </c>
      <c r="G17" s="43">
        <f>+'12'!F53</f>
        <v>0</v>
      </c>
      <c r="H17" s="43">
        <f>+'12'!G53</f>
        <v>0</v>
      </c>
      <c r="I17" s="81">
        <f t="shared" si="0"/>
        <v>0</v>
      </c>
      <c r="J17" s="43">
        <f>+'12'!H53</f>
        <v>0</v>
      </c>
      <c r="K17" s="81">
        <f t="shared" si="1"/>
        <v>0</v>
      </c>
    </row>
    <row r="18" spans="1:11" x14ac:dyDescent="0.25">
      <c r="A18" s="121" t="str">
        <f>+Input!B22</f>
        <v>Wednesday</v>
      </c>
      <c r="B18" s="136">
        <f>+Input!C22</f>
        <v>46155</v>
      </c>
      <c r="C18" s="43">
        <f>+'13'!B53</f>
        <v>0</v>
      </c>
      <c r="D18" s="43">
        <f>+'13'!C53</f>
        <v>0</v>
      </c>
      <c r="E18" s="43">
        <f>+'13'!D53</f>
        <v>0</v>
      </c>
      <c r="F18" s="43">
        <f>+'13'!E53</f>
        <v>0</v>
      </c>
      <c r="G18" s="43">
        <f>+'13'!F53</f>
        <v>0</v>
      </c>
      <c r="H18" s="43">
        <f>+'13'!G53</f>
        <v>0</v>
      </c>
      <c r="I18" s="81">
        <f t="shared" si="0"/>
        <v>0</v>
      </c>
      <c r="J18" s="43">
        <f>+'13'!B53</f>
        <v>0</v>
      </c>
      <c r="K18" s="81">
        <f t="shared" si="1"/>
        <v>0</v>
      </c>
    </row>
    <row r="19" spans="1:11" x14ac:dyDescent="0.25">
      <c r="A19" s="121" t="str">
        <f>+Input!B23</f>
        <v>Thursday</v>
      </c>
      <c r="B19" s="136">
        <f>+Input!C23</f>
        <v>46156</v>
      </c>
      <c r="C19" s="43">
        <f>+'14'!B53</f>
        <v>0</v>
      </c>
      <c r="D19" s="43">
        <f>+'14'!C53</f>
        <v>0</v>
      </c>
      <c r="E19" s="43">
        <f>+'14'!D53</f>
        <v>0</v>
      </c>
      <c r="F19" s="43">
        <f>+'14'!E53</f>
        <v>0</v>
      </c>
      <c r="G19" s="43">
        <f>+'14'!F53</f>
        <v>0</v>
      </c>
      <c r="H19" s="43">
        <f>+'14'!G53</f>
        <v>0</v>
      </c>
      <c r="I19" s="81">
        <f t="shared" si="0"/>
        <v>0</v>
      </c>
      <c r="J19" s="43">
        <f>+'14'!H53</f>
        <v>0</v>
      </c>
      <c r="K19" s="81">
        <f t="shared" si="1"/>
        <v>0</v>
      </c>
    </row>
    <row r="20" spans="1:11" x14ac:dyDescent="0.25">
      <c r="A20" s="121" t="str">
        <f>+Input!B24</f>
        <v>Friday</v>
      </c>
      <c r="B20" s="136">
        <f>+Input!C24</f>
        <v>46157</v>
      </c>
      <c r="C20" s="43">
        <f>+'15'!B53</f>
        <v>0</v>
      </c>
      <c r="D20" s="43">
        <f>+'15'!C53</f>
        <v>0</v>
      </c>
      <c r="E20" s="43">
        <f>+'15'!D53</f>
        <v>0</v>
      </c>
      <c r="F20" s="43">
        <f>+'15'!E53</f>
        <v>0</v>
      </c>
      <c r="G20" s="43">
        <f>+'15'!F53</f>
        <v>0</v>
      </c>
      <c r="H20" s="43">
        <f>+'15'!G53</f>
        <v>0</v>
      </c>
      <c r="I20" s="81">
        <f t="shared" si="0"/>
        <v>0</v>
      </c>
      <c r="J20" s="43">
        <f>+'15'!H53</f>
        <v>0</v>
      </c>
      <c r="K20" s="81">
        <f t="shared" si="1"/>
        <v>0</v>
      </c>
    </row>
    <row r="21" spans="1:11" x14ac:dyDescent="0.25">
      <c r="A21" s="121" t="str">
        <f>+Input!B25</f>
        <v>Saturday</v>
      </c>
      <c r="B21" s="136">
        <f>+Input!C25</f>
        <v>46158</v>
      </c>
      <c r="C21" s="43">
        <f>+'16'!B53</f>
        <v>0</v>
      </c>
      <c r="D21" s="43">
        <f>+'16'!C53</f>
        <v>0</v>
      </c>
      <c r="E21" s="43">
        <f>+'16'!D53</f>
        <v>0</v>
      </c>
      <c r="F21" s="43">
        <f>+'16'!E53</f>
        <v>0</v>
      </c>
      <c r="G21" s="43">
        <f>+'16'!F53</f>
        <v>0</v>
      </c>
      <c r="H21" s="43">
        <f>+'16'!G53</f>
        <v>0</v>
      </c>
      <c r="I21" s="81">
        <f t="shared" si="0"/>
        <v>0</v>
      </c>
      <c r="J21" s="43">
        <f>+'16'!H53</f>
        <v>0</v>
      </c>
      <c r="K21" s="81">
        <f t="shared" si="1"/>
        <v>0</v>
      </c>
    </row>
    <row r="22" spans="1:11" x14ac:dyDescent="0.25">
      <c r="A22" s="121" t="str">
        <f>+Input!B26</f>
        <v>Sunday</v>
      </c>
      <c r="B22" s="136">
        <f>+Input!C26</f>
        <v>46159</v>
      </c>
      <c r="C22" s="43">
        <f>+'17'!B53</f>
        <v>0</v>
      </c>
      <c r="D22" s="43">
        <f>+'17'!C53</f>
        <v>0</v>
      </c>
      <c r="E22" s="43">
        <f>+'17'!D53</f>
        <v>0</v>
      </c>
      <c r="F22" s="43">
        <f>+'17'!E53</f>
        <v>0</v>
      </c>
      <c r="G22" s="43">
        <f>+'17'!F53</f>
        <v>0</v>
      </c>
      <c r="H22" s="43">
        <f>+'17'!G53</f>
        <v>0</v>
      </c>
      <c r="I22" s="81">
        <f t="shared" si="0"/>
        <v>0</v>
      </c>
      <c r="J22" s="43">
        <f>+'17'!H53</f>
        <v>0</v>
      </c>
      <c r="K22" s="81">
        <f t="shared" si="1"/>
        <v>0</v>
      </c>
    </row>
    <row r="23" spans="1:11" x14ac:dyDescent="0.25">
      <c r="A23" s="121" t="str">
        <f>+Input!B27</f>
        <v>Monday</v>
      </c>
      <c r="B23" s="136">
        <f>+Input!C27</f>
        <v>46160</v>
      </c>
      <c r="C23" s="43">
        <f>+'18'!B53</f>
        <v>0</v>
      </c>
      <c r="D23" s="43">
        <f>+'18'!C53</f>
        <v>0</v>
      </c>
      <c r="E23" s="43">
        <f>+'18'!D53</f>
        <v>0</v>
      </c>
      <c r="F23" s="43">
        <f>+'18'!E53</f>
        <v>0</v>
      </c>
      <c r="G23" s="43">
        <f>+'18'!F53</f>
        <v>0</v>
      </c>
      <c r="H23" s="43">
        <f>+'18'!G53</f>
        <v>0</v>
      </c>
      <c r="I23" s="81">
        <f t="shared" si="0"/>
        <v>0</v>
      </c>
      <c r="J23" s="43">
        <f>+'18'!H53</f>
        <v>0</v>
      </c>
      <c r="K23" s="81">
        <f t="shared" si="1"/>
        <v>0</v>
      </c>
    </row>
    <row r="24" spans="1:11" x14ac:dyDescent="0.25">
      <c r="A24" s="121" t="str">
        <f>+Input!B28</f>
        <v>Tuesday</v>
      </c>
      <c r="B24" s="136">
        <f>+Input!C28</f>
        <v>46161</v>
      </c>
      <c r="C24" s="43">
        <f>+'19'!B53</f>
        <v>0</v>
      </c>
      <c r="D24" s="43">
        <f>+'19'!C53</f>
        <v>0</v>
      </c>
      <c r="E24" s="43">
        <f>+'19'!D53</f>
        <v>0</v>
      </c>
      <c r="F24" s="43">
        <f>+'19'!E53</f>
        <v>0</v>
      </c>
      <c r="G24" s="43">
        <f>+'19'!F53</f>
        <v>0</v>
      </c>
      <c r="H24" s="43">
        <f>+'19'!G53</f>
        <v>0</v>
      </c>
      <c r="I24" s="81">
        <f t="shared" si="0"/>
        <v>0</v>
      </c>
      <c r="J24" s="43">
        <f>+'19'!H53</f>
        <v>0</v>
      </c>
      <c r="K24" s="81">
        <f t="shared" si="1"/>
        <v>0</v>
      </c>
    </row>
    <row r="25" spans="1:11" x14ac:dyDescent="0.25">
      <c r="A25" s="121" t="str">
        <f>+Input!B29</f>
        <v>Wednesday</v>
      </c>
      <c r="B25" s="136">
        <f>+Input!C29</f>
        <v>46162</v>
      </c>
      <c r="C25" s="43">
        <f>+'20'!B53</f>
        <v>0</v>
      </c>
      <c r="D25" s="43">
        <f>+'20'!C53</f>
        <v>0</v>
      </c>
      <c r="E25" s="43">
        <f>+'20'!D53</f>
        <v>0</v>
      </c>
      <c r="F25" s="43">
        <f>+'20'!E53</f>
        <v>0</v>
      </c>
      <c r="G25" s="43">
        <f>+'20'!F53</f>
        <v>0</v>
      </c>
      <c r="H25" s="43">
        <f>+'20'!G53</f>
        <v>0</v>
      </c>
      <c r="I25" s="81">
        <f t="shared" si="0"/>
        <v>0</v>
      </c>
      <c r="J25" s="43">
        <f>+'20'!H53</f>
        <v>0</v>
      </c>
      <c r="K25" s="81">
        <f t="shared" si="1"/>
        <v>0</v>
      </c>
    </row>
    <row r="26" spans="1:11" x14ac:dyDescent="0.25">
      <c r="A26" s="121" t="str">
        <f>+Input!B30</f>
        <v>Thursday</v>
      </c>
      <c r="B26" s="136">
        <f>+Input!C30</f>
        <v>46163</v>
      </c>
      <c r="C26" s="43">
        <f>+'21'!B53</f>
        <v>0</v>
      </c>
      <c r="D26" s="43">
        <f>+'21'!C53</f>
        <v>0</v>
      </c>
      <c r="E26" s="43">
        <f>+'21'!D53</f>
        <v>0</v>
      </c>
      <c r="F26" s="43">
        <f>+'21'!E53</f>
        <v>0</v>
      </c>
      <c r="G26" s="43">
        <f>+'21'!F53</f>
        <v>0</v>
      </c>
      <c r="H26" s="43">
        <f>+'21'!G53</f>
        <v>0</v>
      </c>
      <c r="I26" s="81">
        <f t="shared" si="0"/>
        <v>0</v>
      </c>
      <c r="J26" s="43">
        <f>+'21'!H53</f>
        <v>0</v>
      </c>
      <c r="K26" s="81">
        <f t="shared" si="1"/>
        <v>0</v>
      </c>
    </row>
    <row r="27" spans="1:11" x14ac:dyDescent="0.25">
      <c r="A27" s="121" t="str">
        <f>+Input!B31</f>
        <v>Friday</v>
      </c>
      <c r="B27" s="136">
        <f>+Input!C31</f>
        <v>46164</v>
      </c>
      <c r="C27" s="43">
        <f>+'22'!B53</f>
        <v>0</v>
      </c>
      <c r="D27" s="43">
        <f>+'22'!C53</f>
        <v>0</v>
      </c>
      <c r="E27" s="43">
        <f>+'22'!D53</f>
        <v>0</v>
      </c>
      <c r="F27" s="43">
        <f>+'22'!E53</f>
        <v>0</v>
      </c>
      <c r="G27" s="43">
        <f>+'22'!F53</f>
        <v>0</v>
      </c>
      <c r="H27" s="43">
        <f>+'22'!G53</f>
        <v>0</v>
      </c>
      <c r="I27" s="81">
        <f t="shared" si="0"/>
        <v>0</v>
      </c>
      <c r="J27" s="43">
        <f>+'22'!H53</f>
        <v>0</v>
      </c>
      <c r="K27" s="81">
        <f t="shared" si="1"/>
        <v>0</v>
      </c>
    </row>
    <row r="28" spans="1:11" x14ac:dyDescent="0.25">
      <c r="A28" s="121" t="str">
        <f>+Input!B32</f>
        <v>Saturday</v>
      </c>
      <c r="B28" s="136">
        <f>+Input!C32</f>
        <v>46165</v>
      </c>
      <c r="C28" s="43">
        <f>+'23'!B53</f>
        <v>0</v>
      </c>
      <c r="D28" s="43">
        <f>+'23'!C53</f>
        <v>0</v>
      </c>
      <c r="E28" s="43">
        <f>+'23'!D53</f>
        <v>0</v>
      </c>
      <c r="F28" s="43">
        <f>+'23'!E53</f>
        <v>0</v>
      </c>
      <c r="G28" s="43">
        <f>+'23'!F53</f>
        <v>0</v>
      </c>
      <c r="H28" s="43">
        <f>+'23'!G53</f>
        <v>0</v>
      </c>
      <c r="I28" s="81">
        <f t="shared" si="0"/>
        <v>0</v>
      </c>
      <c r="J28" s="43">
        <f>+'23'!H53</f>
        <v>0</v>
      </c>
      <c r="K28" s="81">
        <f t="shared" si="1"/>
        <v>0</v>
      </c>
    </row>
    <row r="29" spans="1:11" x14ac:dyDescent="0.25">
      <c r="A29" s="121" t="str">
        <f>+Input!B33</f>
        <v>Sunday</v>
      </c>
      <c r="B29" s="136">
        <f>+Input!C33</f>
        <v>46166</v>
      </c>
      <c r="C29" s="43">
        <f>+'24'!B53</f>
        <v>0</v>
      </c>
      <c r="D29" s="43">
        <f>+'24'!C53</f>
        <v>0</v>
      </c>
      <c r="E29" s="43">
        <f>+'24'!D53</f>
        <v>0</v>
      </c>
      <c r="F29" s="43">
        <f>+'24'!E53</f>
        <v>0</v>
      </c>
      <c r="G29" s="43">
        <f>+'24'!F53</f>
        <v>0</v>
      </c>
      <c r="H29" s="43">
        <f>+'24'!G53</f>
        <v>0</v>
      </c>
      <c r="I29" s="81">
        <f t="shared" si="0"/>
        <v>0</v>
      </c>
      <c r="J29" s="43">
        <f>+'24'!H53</f>
        <v>0</v>
      </c>
      <c r="K29" s="81">
        <f t="shared" si="1"/>
        <v>0</v>
      </c>
    </row>
    <row r="30" spans="1:11" x14ac:dyDescent="0.25">
      <c r="A30" s="121" t="str">
        <f>+Input!B34</f>
        <v>Monday</v>
      </c>
      <c r="B30" s="136">
        <f>+Input!C34</f>
        <v>46167</v>
      </c>
      <c r="C30" s="43">
        <f>+'25'!B53</f>
        <v>0</v>
      </c>
      <c r="D30" s="43">
        <f>+'25'!C53</f>
        <v>0</v>
      </c>
      <c r="E30" s="43">
        <f>+'25'!D53</f>
        <v>0</v>
      </c>
      <c r="F30" s="43">
        <f>+'25'!E53</f>
        <v>0</v>
      </c>
      <c r="G30" s="43">
        <f>+'25'!F53</f>
        <v>0</v>
      </c>
      <c r="H30" s="43">
        <f>+'25'!G53</f>
        <v>0</v>
      </c>
      <c r="I30" s="81">
        <f t="shared" si="0"/>
        <v>0</v>
      </c>
      <c r="J30" s="43">
        <f>+'25'!H53</f>
        <v>0</v>
      </c>
      <c r="K30" s="81">
        <f t="shared" si="1"/>
        <v>0</v>
      </c>
    </row>
    <row r="31" spans="1:11" x14ac:dyDescent="0.25">
      <c r="A31" s="121" t="str">
        <f>+Input!B35</f>
        <v>Tuesday</v>
      </c>
      <c r="B31" s="136">
        <f>+Input!C35</f>
        <v>46168</v>
      </c>
      <c r="C31" s="43">
        <f>+'26'!B53</f>
        <v>0</v>
      </c>
      <c r="D31" s="43">
        <f>+'26'!C53</f>
        <v>0</v>
      </c>
      <c r="E31" s="43">
        <f>+'26'!D53</f>
        <v>0</v>
      </c>
      <c r="F31" s="43">
        <f>+'26'!E53</f>
        <v>0</v>
      </c>
      <c r="G31" s="43">
        <f>+'26'!F53</f>
        <v>0</v>
      </c>
      <c r="H31" s="43">
        <f>+'26'!G53</f>
        <v>0</v>
      </c>
      <c r="I31" s="81">
        <f t="shared" si="0"/>
        <v>0</v>
      </c>
      <c r="J31" s="43">
        <f>+'26'!H53</f>
        <v>0</v>
      </c>
      <c r="K31" s="81">
        <f t="shared" si="1"/>
        <v>0</v>
      </c>
    </row>
    <row r="32" spans="1:11" x14ac:dyDescent="0.25">
      <c r="A32" s="121" t="str">
        <f>+Input!B36</f>
        <v>Wednesday</v>
      </c>
      <c r="B32" s="136">
        <f>+Input!C36</f>
        <v>46169</v>
      </c>
      <c r="C32" s="43">
        <f>+'27'!B53</f>
        <v>0</v>
      </c>
      <c r="D32" s="43">
        <f>+'27'!C53</f>
        <v>0</v>
      </c>
      <c r="E32" s="43">
        <f>+'27'!D53</f>
        <v>0</v>
      </c>
      <c r="F32" s="43">
        <f>+'27'!E53</f>
        <v>0</v>
      </c>
      <c r="G32" s="43">
        <f>+'27'!F53</f>
        <v>0</v>
      </c>
      <c r="H32" s="43">
        <f>+'27'!G53</f>
        <v>0</v>
      </c>
      <c r="I32" s="81">
        <f t="shared" si="0"/>
        <v>0</v>
      </c>
      <c r="J32" s="43">
        <f>+'27'!H53</f>
        <v>0</v>
      </c>
      <c r="K32" s="81">
        <f t="shared" si="1"/>
        <v>0</v>
      </c>
    </row>
    <row r="33" spans="1:11" x14ac:dyDescent="0.25">
      <c r="A33" s="121" t="str">
        <f>+Input!B37</f>
        <v>Thursday</v>
      </c>
      <c r="B33" s="136">
        <f>+Input!C37</f>
        <v>46170</v>
      </c>
      <c r="C33" s="43">
        <f>+'28'!B53</f>
        <v>0</v>
      </c>
      <c r="D33" s="43">
        <f>+'28'!C53</f>
        <v>0</v>
      </c>
      <c r="E33" s="43">
        <f>+'28'!D53</f>
        <v>0</v>
      </c>
      <c r="F33" s="43">
        <f>+'28'!E53</f>
        <v>0</v>
      </c>
      <c r="G33" s="43">
        <f>+'28'!F53</f>
        <v>0</v>
      </c>
      <c r="H33" s="43">
        <f>+'28'!G53</f>
        <v>0</v>
      </c>
      <c r="I33" s="81">
        <f t="shared" si="0"/>
        <v>0</v>
      </c>
      <c r="J33" s="43">
        <f>+'28'!H53</f>
        <v>0</v>
      </c>
      <c r="K33" s="81">
        <f t="shared" si="1"/>
        <v>0</v>
      </c>
    </row>
    <row r="34" spans="1:11" x14ac:dyDescent="0.25">
      <c r="A34" s="121" t="str">
        <f>+Input!B38</f>
        <v>Friday</v>
      </c>
      <c r="B34" s="136">
        <f>+Input!C38</f>
        <v>46171</v>
      </c>
      <c r="C34" s="43">
        <f>+'29'!B53</f>
        <v>0</v>
      </c>
      <c r="D34" s="43">
        <f>+'29'!C53</f>
        <v>0</v>
      </c>
      <c r="E34" s="43">
        <f>+'29'!D53</f>
        <v>0</v>
      </c>
      <c r="F34" s="43">
        <f>+'29'!E53</f>
        <v>0</v>
      </c>
      <c r="G34" s="43">
        <f>+'29'!F53</f>
        <v>0</v>
      </c>
      <c r="H34" s="43">
        <f>+'29'!G53</f>
        <v>0</v>
      </c>
      <c r="I34" s="81">
        <f t="shared" si="0"/>
        <v>0</v>
      </c>
      <c r="J34" s="43">
        <f>+'29'!H53</f>
        <v>0</v>
      </c>
      <c r="K34" s="81">
        <f t="shared" si="1"/>
        <v>0</v>
      </c>
    </row>
    <row r="35" spans="1:11" x14ac:dyDescent="0.25">
      <c r="A35" s="121" t="str">
        <f>+Input!B39</f>
        <v>Saturday</v>
      </c>
      <c r="B35" s="136">
        <f>+Input!C39</f>
        <v>46172</v>
      </c>
      <c r="C35" s="43">
        <f>+'30'!B53</f>
        <v>0</v>
      </c>
      <c r="D35" s="43">
        <f>+'30'!C53</f>
        <v>0</v>
      </c>
      <c r="E35" s="43">
        <f>+'30'!D53</f>
        <v>0</v>
      </c>
      <c r="F35" s="43">
        <f>+'30'!E53</f>
        <v>0</v>
      </c>
      <c r="G35" s="43">
        <f>+'30'!F53</f>
        <v>0</v>
      </c>
      <c r="H35" s="43">
        <f>+'30'!G53</f>
        <v>0</v>
      </c>
      <c r="I35" s="81">
        <f t="shared" si="0"/>
        <v>0</v>
      </c>
      <c r="J35" s="43">
        <f>+'30'!H53</f>
        <v>0</v>
      </c>
      <c r="K35" s="81">
        <f t="shared" si="1"/>
        <v>0</v>
      </c>
    </row>
    <row r="36" spans="1:11" x14ac:dyDescent="0.25">
      <c r="A36" s="21" t="str">
        <f>+Input!B40</f>
        <v>Sunday</v>
      </c>
      <c r="B36" s="137">
        <f>+Input!C40</f>
        <v>46173</v>
      </c>
      <c r="C36" s="31">
        <f>+'31'!B53</f>
        <v>0</v>
      </c>
      <c r="D36" s="31">
        <f>+'31'!C53</f>
        <v>0</v>
      </c>
      <c r="E36" s="31">
        <f>+'31'!D53</f>
        <v>0</v>
      </c>
      <c r="F36" s="31">
        <f>+'31'!E53</f>
        <v>0</v>
      </c>
      <c r="G36" s="31">
        <f>+'31'!F53</f>
        <v>0</v>
      </c>
      <c r="H36" s="31">
        <f>+'31'!G53</f>
        <v>0</v>
      </c>
      <c r="I36" s="44">
        <f t="shared" si="0"/>
        <v>0</v>
      </c>
      <c r="J36" s="31">
        <f>+'31'!H53</f>
        <v>0</v>
      </c>
      <c r="K36" s="44">
        <f t="shared" si="1"/>
        <v>0</v>
      </c>
    </row>
    <row r="37" spans="1:11" x14ac:dyDescent="0.25">
      <c r="C37" s="29">
        <f>SUM(C6:C36)</f>
        <v>33206.04</v>
      </c>
      <c r="D37" s="29">
        <f t="shared" ref="D37:J37" si="2">SUM(D6:D36)</f>
        <v>-1000</v>
      </c>
      <c r="E37" s="29">
        <f t="shared" si="2"/>
        <v>-1000</v>
      </c>
      <c r="F37" s="29">
        <f t="shared" si="2"/>
        <v>-1000</v>
      </c>
      <c r="G37" s="29">
        <f t="shared" si="2"/>
        <v>-1000</v>
      </c>
      <c r="H37" s="29">
        <f t="shared" si="2"/>
        <v>-1000</v>
      </c>
      <c r="I37" s="29">
        <f t="shared" si="2"/>
        <v>28206.04</v>
      </c>
      <c r="J37" s="29">
        <f t="shared" si="2"/>
        <v>28206.04</v>
      </c>
      <c r="K37" s="29">
        <f>+J37-I37</f>
        <v>0</v>
      </c>
    </row>
    <row r="38" spans="1:11" x14ac:dyDescent="0.25">
      <c r="C38" s="5"/>
      <c r="D38" s="5"/>
      <c r="E38" s="5"/>
      <c r="F38" s="5"/>
      <c r="G38" s="5"/>
      <c r="H38" s="5"/>
      <c r="I38" s="5"/>
      <c r="J38" s="5"/>
      <c r="K38" s="29">
        <f>SUM(K6:K36)-K37</f>
        <v>0</v>
      </c>
    </row>
  </sheetData>
  <mergeCells count="1">
    <mergeCell ref="C3:D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3689-885C-4AF8-8920-602743EE53A4}">
  <dimension ref="A1:AZ100"/>
  <sheetViews>
    <sheetView tabSelected="1" workbookViewId="0">
      <selection activeCell="B56" sqref="B56"/>
    </sheetView>
  </sheetViews>
  <sheetFormatPr defaultRowHeight="15" x14ac:dyDescent="0.25"/>
  <cols>
    <col min="1" max="1" width="37.85546875" customWidth="1"/>
    <col min="2" max="26" width="11.7109375" style="5" customWidth="1"/>
    <col min="27" max="32" width="11.7109375" customWidth="1"/>
  </cols>
  <sheetData>
    <row r="1" spans="1:52" ht="26.25" x14ac:dyDescent="0.4">
      <c r="A1" s="9" t="str">
        <f>+Input!B2</f>
        <v>ENGEN JETPARK</v>
      </c>
    </row>
    <row r="3" spans="1:52" ht="24.75" thickBot="1" x14ac:dyDescent="0.45">
      <c r="A3" s="10" t="s">
        <v>210</v>
      </c>
      <c r="B3" s="236">
        <f>+Input!B6</f>
        <v>46143</v>
      </c>
      <c r="C3" s="236"/>
    </row>
    <row r="5" spans="1:52" x14ac:dyDescent="0.25">
      <c r="A5" s="95" t="s">
        <v>56</v>
      </c>
      <c r="B5" s="147">
        <v>1</v>
      </c>
      <c r="C5" s="147">
        <f>+B5+1</f>
        <v>2</v>
      </c>
      <c r="D5" s="147">
        <f t="shared" ref="D5:AF5" si="0">+C5+1</f>
        <v>3</v>
      </c>
      <c r="E5" s="147">
        <f t="shared" si="0"/>
        <v>4</v>
      </c>
      <c r="F5" s="147">
        <f t="shared" si="0"/>
        <v>5</v>
      </c>
      <c r="G5" s="147">
        <f t="shared" si="0"/>
        <v>6</v>
      </c>
      <c r="H5" s="147">
        <f t="shared" si="0"/>
        <v>7</v>
      </c>
      <c r="I5" s="147">
        <f t="shared" si="0"/>
        <v>8</v>
      </c>
      <c r="J5" s="147">
        <f t="shared" si="0"/>
        <v>9</v>
      </c>
      <c r="K5" s="147">
        <f t="shared" si="0"/>
        <v>10</v>
      </c>
      <c r="L5" s="147">
        <f t="shared" si="0"/>
        <v>11</v>
      </c>
      <c r="M5" s="147">
        <f t="shared" si="0"/>
        <v>12</v>
      </c>
      <c r="N5" s="147">
        <f t="shared" si="0"/>
        <v>13</v>
      </c>
      <c r="O5" s="147">
        <f t="shared" si="0"/>
        <v>14</v>
      </c>
      <c r="P5" s="147">
        <f t="shared" si="0"/>
        <v>15</v>
      </c>
      <c r="Q5" s="147">
        <f t="shared" si="0"/>
        <v>16</v>
      </c>
      <c r="R5" s="147">
        <f t="shared" si="0"/>
        <v>17</v>
      </c>
      <c r="S5" s="147">
        <f t="shared" si="0"/>
        <v>18</v>
      </c>
      <c r="T5" s="147">
        <f t="shared" si="0"/>
        <v>19</v>
      </c>
      <c r="U5" s="147">
        <f t="shared" si="0"/>
        <v>20</v>
      </c>
      <c r="V5" s="147">
        <f t="shared" si="0"/>
        <v>21</v>
      </c>
      <c r="W5" s="147">
        <f t="shared" si="0"/>
        <v>22</v>
      </c>
      <c r="X5" s="147">
        <f t="shared" si="0"/>
        <v>23</v>
      </c>
      <c r="Y5" s="147">
        <f t="shared" si="0"/>
        <v>24</v>
      </c>
      <c r="Z5" s="147">
        <f t="shared" si="0"/>
        <v>25</v>
      </c>
      <c r="AA5" s="147">
        <f t="shared" si="0"/>
        <v>26</v>
      </c>
      <c r="AB5" s="147">
        <f t="shared" si="0"/>
        <v>27</v>
      </c>
      <c r="AC5" s="147">
        <f t="shared" si="0"/>
        <v>28</v>
      </c>
      <c r="AD5" s="147">
        <f t="shared" si="0"/>
        <v>29</v>
      </c>
      <c r="AE5" s="147">
        <f t="shared" si="0"/>
        <v>30</v>
      </c>
      <c r="AF5" s="147">
        <f t="shared" si="0"/>
        <v>31</v>
      </c>
    </row>
    <row r="6" spans="1:52" x14ac:dyDescent="0.25">
      <c r="A6" s="35" t="s">
        <v>62</v>
      </c>
      <c r="B6" s="68">
        <f>+'1'!H83</f>
        <v>0</v>
      </c>
      <c r="C6" s="55">
        <f>+'2'!H83</f>
        <v>0</v>
      </c>
      <c r="D6" s="55">
        <f>+'3'!H83</f>
        <v>0</v>
      </c>
      <c r="E6" s="55">
        <f>+'4'!H83</f>
        <v>0</v>
      </c>
      <c r="F6" s="55">
        <f>+'5'!H83</f>
        <v>0</v>
      </c>
      <c r="G6" s="55">
        <f>+'6'!H83</f>
        <v>0</v>
      </c>
      <c r="H6" s="55">
        <f>+'7'!H83</f>
        <v>0</v>
      </c>
      <c r="I6" s="55">
        <f>+'8'!H83</f>
        <v>0</v>
      </c>
      <c r="J6" s="55">
        <f>+'9'!H83</f>
        <v>0</v>
      </c>
      <c r="K6" s="55">
        <f>+'10'!H83</f>
        <v>0</v>
      </c>
      <c r="L6" s="55">
        <f>+'11'!H83</f>
        <v>0</v>
      </c>
      <c r="M6" s="55">
        <f>+'12'!H83</f>
        <v>0</v>
      </c>
      <c r="N6" s="55">
        <f>+'13'!H83</f>
        <v>0</v>
      </c>
      <c r="O6" s="55">
        <f>+'14'!H83</f>
        <v>0</v>
      </c>
      <c r="P6" s="55">
        <f>+'15'!H83</f>
        <v>0</v>
      </c>
      <c r="Q6" s="55">
        <f>+'16'!H83</f>
        <v>0</v>
      </c>
      <c r="R6" s="55">
        <f>+'17'!H83</f>
        <v>0</v>
      </c>
      <c r="S6" s="55">
        <f>+'18'!H83</f>
        <v>0</v>
      </c>
      <c r="T6" s="55">
        <f>+'19'!H83</f>
        <v>0</v>
      </c>
      <c r="U6" s="55">
        <f>+'20'!H83</f>
        <v>0</v>
      </c>
      <c r="V6" s="55">
        <f>+'21'!H83</f>
        <v>0</v>
      </c>
      <c r="W6" s="55">
        <f>+'22'!H83</f>
        <v>0</v>
      </c>
      <c r="X6" s="55">
        <f>+'23'!H83</f>
        <v>0</v>
      </c>
      <c r="Y6" s="55">
        <f>+'24'!H83</f>
        <v>0</v>
      </c>
      <c r="Z6" s="55">
        <f>+'25'!H83</f>
        <v>0</v>
      </c>
      <c r="AA6" s="55">
        <f>+'26'!H83</f>
        <v>0</v>
      </c>
      <c r="AB6" s="55">
        <f>+'27'!H83</f>
        <v>0</v>
      </c>
      <c r="AC6" s="55">
        <f>+'28'!H83</f>
        <v>0</v>
      </c>
      <c r="AD6" s="55">
        <f>+'29'!H83</f>
        <v>0</v>
      </c>
      <c r="AE6" s="55">
        <f>+'30'!H83</f>
        <v>0</v>
      </c>
      <c r="AF6" s="56">
        <f>+'31'!H83</f>
        <v>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36" t="s">
        <v>112</v>
      </c>
      <c r="B7" s="69">
        <f>+'1'!H84</f>
        <v>0</v>
      </c>
      <c r="C7" s="5">
        <f>+'2'!H84</f>
        <v>0</v>
      </c>
      <c r="D7" s="5">
        <f>+'3'!H84</f>
        <v>0</v>
      </c>
      <c r="E7" s="5">
        <f>+'4'!H84</f>
        <v>0</v>
      </c>
      <c r="F7" s="5">
        <f>+'5'!H84</f>
        <v>0</v>
      </c>
      <c r="G7" s="5">
        <f>+'6'!H84</f>
        <v>0</v>
      </c>
      <c r="H7" s="5">
        <f>+'7'!H84</f>
        <v>0</v>
      </c>
      <c r="I7" s="5">
        <f>+'8'!H84</f>
        <v>0</v>
      </c>
      <c r="J7" s="5">
        <f>+'9'!H84</f>
        <v>0</v>
      </c>
      <c r="K7" s="5">
        <f>+'10'!H84</f>
        <v>0</v>
      </c>
      <c r="L7" s="5">
        <f>+'11'!H84</f>
        <v>0</v>
      </c>
      <c r="M7" s="5">
        <f>+'12'!H84</f>
        <v>0</v>
      </c>
      <c r="N7" s="5">
        <f>+'13'!H84</f>
        <v>0</v>
      </c>
      <c r="O7" s="5">
        <f>+'14'!H84</f>
        <v>0</v>
      </c>
      <c r="P7" s="5">
        <f>+'15'!H84</f>
        <v>0</v>
      </c>
      <c r="Q7" s="5">
        <f>+'16'!H84</f>
        <v>0</v>
      </c>
      <c r="R7" s="5">
        <f>+'17'!H84</f>
        <v>0</v>
      </c>
      <c r="S7" s="5">
        <f>+'18'!H84</f>
        <v>0</v>
      </c>
      <c r="T7" s="5">
        <f>+'19'!H84</f>
        <v>0</v>
      </c>
      <c r="U7" s="5">
        <f>+'20'!H84</f>
        <v>0</v>
      </c>
      <c r="V7" s="5">
        <f>+'21'!H84</f>
        <v>0</v>
      </c>
      <c r="W7" s="5">
        <f>+'22'!H84</f>
        <v>0</v>
      </c>
      <c r="X7" s="5">
        <f>+'23'!H84</f>
        <v>0</v>
      </c>
      <c r="Y7" s="5">
        <f>+'24'!H84</f>
        <v>0</v>
      </c>
      <c r="Z7" s="5">
        <f>+'25'!H84</f>
        <v>0</v>
      </c>
      <c r="AA7" s="5">
        <f>+'26'!H84</f>
        <v>0</v>
      </c>
      <c r="AB7" s="5">
        <f>+'27'!H84</f>
        <v>0</v>
      </c>
      <c r="AC7" s="5">
        <f>+'28'!H84</f>
        <v>0</v>
      </c>
      <c r="AD7" s="5">
        <f>+'29'!H84</f>
        <v>0</v>
      </c>
      <c r="AE7" s="5">
        <f>+'30'!H84</f>
        <v>0</v>
      </c>
      <c r="AF7" s="70">
        <f>+'31'!H84</f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36" t="s">
        <v>113</v>
      </c>
      <c r="B8" s="69">
        <f>+'1'!H85</f>
        <v>0</v>
      </c>
      <c r="C8" s="5">
        <f>+'2'!H85</f>
        <v>0</v>
      </c>
      <c r="D8" s="5">
        <f>+'3'!H85</f>
        <v>0</v>
      </c>
      <c r="E8" s="5">
        <f>+'4'!H85</f>
        <v>0</v>
      </c>
      <c r="F8" s="5">
        <f>+'5'!H85</f>
        <v>0</v>
      </c>
      <c r="G8" s="5">
        <f>+'6'!H85</f>
        <v>0</v>
      </c>
      <c r="H8" s="5">
        <f>+'7'!H85</f>
        <v>0</v>
      </c>
      <c r="I8" s="5">
        <f>+'8'!H85</f>
        <v>0</v>
      </c>
      <c r="J8" s="5">
        <f>+'9'!H85</f>
        <v>0</v>
      </c>
      <c r="K8" s="5">
        <f>+'10'!H85</f>
        <v>0</v>
      </c>
      <c r="L8" s="5">
        <f>+'11'!H85</f>
        <v>0</v>
      </c>
      <c r="M8" s="5">
        <f>+'12'!H85</f>
        <v>0</v>
      </c>
      <c r="N8" s="5">
        <f>+'13'!H85</f>
        <v>0</v>
      </c>
      <c r="O8" s="5">
        <f>+'14'!H85</f>
        <v>0</v>
      </c>
      <c r="P8" s="5">
        <f>+'15'!H85</f>
        <v>0</v>
      </c>
      <c r="Q8" s="5">
        <f>+'16'!H85</f>
        <v>0</v>
      </c>
      <c r="R8" s="5">
        <f>+'17'!H85</f>
        <v>0</v>
      </c>
      <c r="S8" s="5">
        <f>+'18'!H85</f>
        <v>0</v>
      </c>
      <c r="T8" s="5">
        <f>+'19'!H85</f>
        <v>0</v>
      </c>
      <c r="U8" s="5">
        <f>+'20'!H85</f>
        <v>0</v>
      </c>
      <c r="V8" s="5">
        <f>+'21'!H85</f>
        <v>0</v>
      </c>
      <c r="W8" s="5">
        <f>+'22'!H85</f>
        <v>0</v>
      </c>
      <c r="X8" s="5">
        <f>+'23'!H85</f>
        <v>0</v>
      </c>
      <c r="Y8" s="5">
        <f>+'24'!H85</f>
        <v>0</v>
      </c>
      <c r="Z8" s="5">
        <f>+'25'!H85</f>
        <v>0</v>
      </c>
      <c r="AA8" s="5">
        <f>+'26'!H85</f>
        <v>0</v>
      </c>
      <c r="AB8" s="5">
        <f>+'27'!H85</f>
        <v>0</v>
      </c>
      <c r="AC8" s="5">
        <f>+'28'!H85</f>
        <v>0</v>
      </c>
      <c r="AD8" s="5">
        <f>+'29'!H85</f>
        <v>0</v>
      </c>
      <c r="AE8" s="5">
        <f>+'30'!H85</f>
        <v>0</v>
      </c>
      <c r="AF8" s="70">
        <f>+'31'!H85</f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36" t="s">
        <v>63</v>
      </c>
      <c r="B9" s="69">
        <f>+'1'!H86</f>
        <v>0</v>
      </c>
      <c r="C9" s="5">
        <f>+'2'!H86</f>
        <v>0</v>
      </c>
      <c r="D9" s="5">
        <f>+'3'!H86</f>
        <v>0</v>
      </c>
      <c r="E9" s="5">
        <f>+'4'!H86</f>
        <v>0</v>
      </c>
      <c r="F9" s="5">
        <f>+'5'!H86</f>
        <v>0</v>
      </c>
      <c r="G9" s="5">
        <f>+'6'!H86</f>
        <v>0</v>
      </c>
      <c r="H9" s="5">
        <f>+'7'!H86</f>
        <v>0</v>
      </c>
      <c r="I9" s="5">
        <f>+'8'!H86</f>
        <v>0</v>
      </c>
      <c r="J9" s="5">
        <f>+'9'!H86</f>
        <v>0</v>
      </c>
      <c r="K9" s="5">
        <f>+'10'!H86</f>
        <v>0</v>
      </c>
      <c r="L9" s="5">
        <f>+'11'!H86</f>
        <v>0</v>
      </c>
      <c r="M9" s="5">
        <f>+'12'!H86</f>
        <v>0</v>
      </c>
      <c r="N9" s="5">
        <f>+'13'!H86</f>
        <v>0</v>
      </c>
      <c r="O9" s="5">
        <f>+'14'!H86</f>
        <v>0</v>
      </c>
      <c r="P9" s="5">
        <f>+'15'!H86</f>
        <v>0</v>
      </c>
      <c r="Q9" s="5">
        <f>+'16'!H86</f>
        <v>0</v>
      </c>
      <c r="R9" s="5">
        <f>+'17'!H86</f>
        <v>0</v>
      </c>
      <c r="S9" s="5">
        <f>+'18'!H86</f>
        <v>0</v>
      </c>
      <c r="T9" s="5">
        <f>+'19'!H86</f>
        <v>0</v>
      </c>
      <c r="U9" s="5">
        <f>+'20'!H86</f>
        <v>0</v>
      </c>
      <c r="V9" s="5">
        <f>+'21'!H86</f>
        <v>0</v>
      </c>
      <c r="W9" s="5">
        <f>+'22'!H86</f>
        <v>0</v>
      </c>
      <c r="X9" s="5">
        <f>+'23'!H86</f>
        <v>0</v>
      </c>
      <c r="Y9" s="5">
        <f>+'24'!H86</f>
        <v>0</v>
      </c>
      <c r="Z9" s="5">
        <f>+'25'!H86</f>
        <v>0</v>
      </c>
      <c r="AA9" s="5">
        <f>+'26'!H86</f>
        <v>0</v>
      </c>
      <c r="AB9" s="5">
        <f>+'27'!H86</f>
        <v>0</v>
      </c>
      <c r="AC9" s="5">
        <f>+'28'!H86</f>
        <v>0</v>
      </c>
      <c r="AD9" s="5">
        <f>+'29'!H86</f>
        <v>0</v>
      </c>
      <c r="AE9" s="5">
        <f>+'30'!H86</f>
        <v>0</v>
      </c>
      <c r="AF9" s="70">
        <f>+'31'!H86</f>
        <v>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36" t="s">
        <v>67</v>
      </c>
      <c r="B10" s="69">
        <f>+'1'!H87</f>
        <v>0</v>
      </c>
      <c r="C10" s="5">
        <f>+'2'!H87</f>
        <v>0</v>
      </c>
      <c r="D10" s="5">
        <f>+'3'!H87</f>
        <v>0</v>
      </c>
      <c r="E10" s="5">
        <f>+'4'!H87</f>
        <v>0</v>
      </c>
      <c r="F10" s="5">
        <f>+'5'!H87</f>
        <v>0</v>
      </c>
      <c r="G10" s="5">
        <f>+'6'!H87</f>
        <v>0</v>
      </c>
      <c r="H10" s="5">
        <f>+'7'!H87</f>
        <v>0</v>
      </c>
      <c r="I10" s="5">
        <f>+'8'!H87</f>
        <v>0</v>
      </c>
      <c r="J10" s="5">
        <f>+'9'!H87</f>
        <v>0</v>
      </c>
      <c r="K10" s="5">
        <f>+'10'!H87</f>
        <v>0</v>
      </c>
      <c r="L10" s="5">
        <f>+'11'!H87</f>
        <v>0</v>
      </c>
      <c r="M10" s="5">
        <f>+'12'!H87</f>
        <v>0</v>
      </c>
      <c r="N10" s="5">
        <f>+'13'!H87</f>
        <v>0</v>
      </c>
      <c r="O10" s="5">
        <f>+'14'!H87</f>
        <v>0</v>
      </c>
      <c r="P10" s="5">
        <f>+'15'!H87</f>
        <v>0</v>
      </c>
      <c r="Q10" s="5">
        <f>+'16'!H87</f>
        <v>0</v>
      </c>
      <c r="R10" s="5">
        <f>+'17'!H87</f>
        <v>0</v>
      </c>
      <c r="S10" s="5">
        <f>+'18'!H87</f>
        <v>0</v>
      </c>
      <c r="T10" s="5">
        <f>+'19'!H87</f>
        <v>0</v>
      </c>
      <c r="U10" s="5">
        <f>+'20'!H87</f>
        <v>0</v>
      </c>
      <c r="V10" s="5">
        <f>+'21'!H87</f>
        <v>0</v>
      </c>
      <c r="W10" s="5">
        <f>+'22'!H87</f>
        <v>0</v>
      </c>
      <c r="X10" s="5">
        <f>+'23'!H87</f>
        <v>0</v>
      </c>
      <c r="Y10" s="5">
        <f>+'24'!H87</f>
        <v>0</v>
      </c>
      <c r="Z10" s="5">
        <f>+'25'!H87</f>
        <v>0</v>
      </c>
      <c r="AA10" s="5">
        <f>+'26'!H87</f>
        <v>0</v>
      </c>
      <c r="AB10" s="5">
        <f>+'27'!H87</f>
        <v>0</v>
      </c>
      <c r="AC10" s="5">
        <f>+'28'!H87</f>
        <v>0</v>
      </c>
      <c r="AD10" s="5">
        <f>+'29'!H87</f>
        <v>0</v>
      </c>
      <c r="AE10" s="5">
        <f>+'30'!H87</f>
        <v>0</v>
      </c>
      <c r="AF10" s="70">
        <f>+'31'!H87</f>
        <v>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36" t="s">
        <v>67</v>
      </c>
      <c r="B11" s="69">
        <f>+'1'!H88</f>
        <v>0</v>
      </c>
      <c r="C11" s="5">
        <f>+'2'!H88</f>
        <v>0</v>
      </c>
      <c r="D11" s="5">
        <f>+'3'!H88</f>
        <v>0</v>
      </c>
      <c r="E11" s="5">
        <f>+'4'!H88</f>
        <v>0</v>
      </c>
      <c r="F11" s="5">
        <f>+'5'!H88</f>
        <v>0</v>
      </c>
      <c r="G11" s="5">
        <f>+'6'!H88</f>
        <v>0</v>
      </c>
      <c r="H11" s="5">
        <f>+'7'!H88</f>
        <v>0</v>
      </c>
      <c r="I11" s="5">
        <f>+'8'!H88</f>
        <v>0</v>
      </c>
      <c r="J11" s="5">
        <f>+'9'!H88</f>
        <v>0</v>
      </c>
      <c r="K11" s="5">
        <f>+'10'!H88</f>
        <v>0</v>
      </c>
      <c r="L11" s="5">
        <f>+'11'!H88</f>
        <v>0</v>
      </c>
      <c r="M11" s="5">
        <f>+'12'!H88</f>
        <v>0</v>
      </c>
      <c r="N11" s="5">
        <f>+'13'!H88</f>
        <v>0</v>
      </c>
      <c r="O11" s="5">
        <f>+'14'!H88</f>
        <v>0</v>
      </c>
      <c r="P11" s="5">
        <f>+'15'!H88</f>
        <v>0</v>
      </c>
      <c r="Q11" s="5">
        <f>+'16'!H88</f>
        <v>0</v>
      </c>
      <c r="R11" s="5">
        <f>+'17'!H88</f>
        <v>0</v>
      </c>
      <c r="S11" s="5">
        <f>+'18'!H88</f>
        <v>0</v>
      </c>
      <c r="T11" s="5">
        <f>+'19'!H88</f>
        <v>0</v>
      </c>
      <c r="U11" s="5">
        <f>+'20'!H88</f>
        <v>0</v>
      </c>
      <c r="V11" s="5">
        <f>+'21'!H88</f>
        <v>0</v>
      </c>
      <c r="W11" s="5">
        <f>+'22'!H88</f>
        <v>0</v>
      </c>
      <c r="X11" s="5">
        <f>+'23'!H88</f>
        <v>0</v>
      </c>
      <c r="Y11" s="5">
        <f>+'24'!H88</f>
        <v>0</v>
      </c>
      <c r="Z11" s="5">
        <f>+'25'!H88</f>
        <v>0</v>
      </c>
      <c r="AA11" s="5">
        <f>+'26'!H88</f>
        <v>0</v>
      </c>
      <c r="AB11" s="5">
        <f>+'27'!H88</f>
        <v>0</v>
      </c>
      <c r="AC11" s="5">
        <f>+'28'!H88</f>
        <v>0</v>
      </c>
      <c r="AD11" s="5">
        <f>+'29'!H88</f>
        <v>0</v>
      </c>
      <c r="AE11" s="5">
        <f>+'30'!H88</f>
        <v>0</v>
      </c>
      <c r="AF11" s="70">
        <f>+'31'!H88</f>
        <v>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36" t="s">
        <v>67</v>
      </c>
      <c r="B12" s="69">
        <f>+'1'!H89</f>
        <v>0</v>
      </c>
      <c r="C12" s="5">
        <f>+'2'!H89</f>
        <v>0</v>
      </c>
      <c r="D12" s="5">
        <f>+'3'!H89</f>
        <v>0</v>
      </c>
      <c r="E12" s="5">
        <f>+'4'!H89</f>
        <v>0</v>
      </c>
      <c r="F12" s="5">
        <f>+'5'!H89</f>
        <v>0</v>
      </c>
      <c r="G12" s="5">
        <f>+'6'!H89</f>
        <v>0</v>
      </c>
      <c r="H12" s="5">
        <f>+'7'!H89</f>
        <v>0</v>
      </c>
      <c r="I12" s="5">
        <f>+'8'!H89</f>
        <v>0</v>
      </c>
      <c r="J12" s="5">
        <f>+'9'!H89</f>
        <v>0</v>
      </c>
      <c r="K12" s="5">
        <f>+'10'!H89</f>
        <v>0</v>
      </c>
      <c r="L12" s="5">
        <f>+'11'!H89</f>
        <v>0</v>
      </c>
      <c r="M12" s="5">
        <f>+'12'!H89</f>
        <v>0</v>
      </c>
      <c r="N12" s="5">
        <f>+'13'!H89</f>
        <v>0</v>
      </c>
      <c r="O12" s="5">
        <f>+'14'!H89</f>
        <v>0</v>
      </c>
      <c r="P12" s="5">
        <f>+'15'!H89</f>
        <v>0</v>
      </c>
      <c r="Q12" s="5">
        <f>+'16'!H89</f>
        <v>0</v>
      </c>
      <c r="R12" s="5">
        <f>+'17'!H89</f>
        <v>0</v>
      </c>
      <c r="S12" s="5">
        <f>+'18'!H89</f>
        <v>0</v>
      </c>
      <c r="T12" s="5">
        <f>+'19'!H89</f>
        <v>0</v>
      </c>
      <c r="U12" s="5">
        <f>+'20'!H89</f>
        <v>0</v>
      </c>
      <c r="V12" s="5">
        <f>+'21'!H89</f>
        <v>0</v>
      </c>
      <c r="W12" s="5">
        <f>+'22'!H89</f>
        <v>0</v>
      </c>
      <c r="X12" s="5">
        <f>+'23'!H89</f>
        <v>0</v>
      </c>
      <c r="Y12" s="5">
        <f>+'24'!H89</f>
        <v>0</v>
      </c>
      <c r="Z12" s="5">
        <f>+'25'!H89</f>
        <v>0</v>
      </c>
      <c r="AA12" s="5">
        <f>+'26'!H89</f>
        <v>0</v>
      </c>
      <c r="AB12" s="5">
        <f>+'27'!H89</f>
        <v>0</v>
      </c>
      <c r="AC12" s="5">
        <f>+'28'!H89</f>
        <v>0</v>
      </c>
      <c r="AD12" s="5">
        <f>+'29'!H89</f>
        <v>0</v>
      </c>
      <c r="AE12" s="5">
        <f>+'30'!H89</f>
        <v>0</v>
      </c>
      <c r="AF12" s="70">
        <f>+'31'!H89</f>
        <v>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36" t="s">
        <v>66</v>
      </c>
      <c r="B13" s="69">
        <f>+'1'!H90</f>
        <v>0</v>
      </c>
      <c r="C13" s="5">
        <f>+'2'!H90</f>
        <v>0</v>
      </c>
      <c r="D13" s="5">
        <f>+'3'!H90</f>
        <v>0</v>
      </c>
      <c r="E13" s="5">
        <f>+'4'!H90</f>
        <v>0</v>
      </c>
      <c r="F13" s="5">
        <f>+'5'!H90</f>
        <v>0</v>
      </c>
      <c r="G13" s="5">
        <f>+'6'!H90</f>
        <v>0</v>
      </c>
      <c r="H13" s="5">
        <f>+'7'!H90</f>
        <v>0</v>
      </c>
      <c r="I13" s="5">
        <f>+'8'!H90</f>
        <v>0</v>
      </c>
      <c r="J13" s="5">
        <f>+'9'!H90</f>
        <v>0</v>
      </c>
      <c r="K13" s="5">
        <f>+'10'!H90</f>
        <v>0</v>
      </c>
      <c r="L13" s="5">
        <f>+'11'!H90</f>
        <v>0</v>
      </c>
      <c r="M13" s="5">
        <f>+'12'!H90</f>
        <v>0</v>
      </c>
      <c r="N13" s="5">
        <f>+'13'!H90</f>
        <v>0</v>
      </c>
      <c r="O13" s="5">
        <f>+'14'!H90</f>
        <v>0</v>
      </c>
      <c r="P13" s="5">
        <f>+'15'!H90</f>
        <v>0</v>
      </c>
      <c r="Q13" s="5">
        <f>+'16'!H90</f>
        <v>0</v>
      </c>
      <c r="R13" s="5">
        <f>+'17'!H90</f>
        <v>0</v>
      </c>
      <c r="S13" s="5">
        <f>+'18'!H90</f>
        <v>0</v>
      </c>
      <c r="T13" s="5">
        <f>+'19'!H90</f>
        <v>0</v>
      </c>
      <c r="U13" s="5">
        <f>+'20'!H90</f>
        <v>0</v>
      </c>
      <c r="V13" s="5">
        <f>+'21'!H90</f>
        <v>0</v>
      </c>
      <c r="W13" s="5">
        <f>+'22'!H90</f>
        <v>0</v>
      </c>
      <c r="X13" s="5">
        <f>+'23'!H90</f>
        <v>0</v>
      </c>
      <c r="Y13" s="5">
        <f>+'24'!H90</f>
        <v>0</v>
      </c>
      <c r="Z13" s="5">
        <f>+'25'!H90</f>
        <v>0</v>
      </c>
      <c r="AA13" s="5">
        <f>+'26'!H90</f>
        <v>0</v>
      </c>
      <c r="AB13" s="5">
        <f>+'27'!H90</f>
        <v>0</v>
      </c>
      <c r="AC13" s="5">
        <f>+'28'!H90</f>
        <v>0</v>
      </c>
      <c r="AD13" s="5">
        <f>+'29'!H90</f>
        <v>0</v>
      </c>
      <c r="AE13" s="5">
        <f>+'30'!H90</f>
        <v>0</v>
      </c>
      <c r="AF13" s="70">
        <f>+'31'!H90</f>
        <v>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36" t="s">
        <v>66</v>
      </c>
      <c r="B14" s="69">
        <f>+'1'!H91</f>
        <v>0</v>
      </c>
      <c r="C14" s="5">
        <f>+'2'!H91</f>
        <v>0</v>
      </c>
      <c r="D14" s="5">
        <f>+'3'!H91</f>
        <v>0</v>
      </c>
      <c r="E14" s="5">
        <f>+'4'!H91</f>
        <v>0</v>
      </c>
      <c r="F14" s="5">
        <f>+'5'!H91</f>
        <v>0</v>
      </c>
      <c r="G14" s="5">
        <f>+'6'!H91</f>
        <v>0</v>
      </c>
      <c r="H14" s="5">
        <f>+'7'!H91</f>
        <v>0</v>
      </c>
      <c r="I14" s="5">
        <f>+'8'!H91</f>
        <v>0</v>
      </c>
      <c r="J14" s="5">
        <f>+'9'!H91</f>
        <v>0</v>
      </c>
      <c r="K14" s="5">
        <f>+'10'!H91</f>
        <v>0</v>
      </c>
      <c r="L14" s="5">
        <f>+'11'!H91</f>
        <v>0</v>
      </c>
      <c r="M14" s="5">
        <f>+'12'!H91</f>
        <v>0</v>
      </c>
      <c r="N14" s="5">
        <f>+'13'!H91</f>
        <v>0</v>
      </c>
      <c r="O14" s="5">
        <f>+'14'!H91</f>
        <v>0</v>
      </c>
      <c r="P14" s="5">
        <f>+'15'!H91</f>
        <v>0</v>
      </c>
      <c r="Q14" s="5">
        <f>+'16'!H91</f>
        <v>0</v>
      </c>
      <c r="R14" s="5">
        <f>+'17'!H91</f>
        <v>0</v>
      </c>
      <c r="S14" s="5">
        <f>+'18'!H91</f>
        <v>0</v>
      </c>
      <c r="T14" s="5">
        <f>+'19'!H91</f>
        <v>0</v>
      </c>
      <c r="U14" s="5">
        <f>+'20'!H91</f>
        <v>0</v>
      </c>
      <c r="V14" s="5">
        <f>+'21'!H91</f>
        <v>0</v>
      </c>
      <c r="W14" s="5">
        <f>+'22'!H91</f>
        <v>0</v>
      </c>
      <c r="X14" s="5">
        <f>+'23'!H91</f>
        <v>0</v>
      </c>
      <c r="Y14" s="5">
        <f>+'24'!H91</f>
        <v>0</v>
      </c>
      <c r="Z14" s="5">
        <f>+'25'!H91</f>
        <v>0</v>
      </c>
      <c r="AA14" s="5">
        <f>+'26'!H91</f>
        <v>0</v>
      </c>
      <c r="AB14" s="5">
        <f>+'27'!H91</f>
        <v>0</v>
      </c>
      <c r="AC14" s="5">
        <f>+'28'!H91</f>
        <v>0</v>
      </c>
      <c r="AD14" s="5">
        <f>+'29'!H91</f>
        <v>0</v>
      </c>
      <c r="AE14" s="5">
        <f>+'30'!H91</f>
        <v>0</v>
      </c>
      <c r="AF14" s="70">
        <f>+'31'!H91</f>
        <v>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36" t="s">
        <v>66</v>
      </c>
      <c r="B15" s="69">
        <f>+'1'!H92</f>
        <v>0</v>
      </c>
      <c r="C15" s="5">
        <f>+'2'!H92</f>
        <v>0</v>
      </c>
      <c r="D15" s="5">
        <f>+'3'!H92</f>
        <v>0</v>
      </c>
      <c r="E15" s="5">
        <f>+'4'!H92</f>
        <v>0</v>
      </c>
      <c r="F15" s="5">
        <f>+'5'!H92</f>
        <v>0</v>
      </c>
      <c r="G15" s="5">
        <f>+'6'!H92</f>
        <v>0</v>
      </c>
      <c r="H15" s="5">
        <f>+'7'!H92</f>
        <v>0</v>
      </c>
      <c r="I15" s="5">
        <f>+'8'!H92</f>
        <v>0</v>
      </c>
      <c r="J15" s="5">
        <f>+'9'!H92</f>
        <v>0</v>
      </c>
      <c r="K15" s="5">
        <f>+'10'!H92</f>
        <v>0</v>
      </c>
      <c r="L15" s="5">
        <f>+'11'!H92</f>
        <v>0</v>
      </c>
      <c r="M15" s="5">
        <f>+'12'!H92</f>
        <v>0</v>
      </c>
      <c r="N15" s="5">
        <f>+'13'!H92</f>
        <v>0</v>
      </c>
      <c r="O15" s="5">
        <f>+'14'!H92</f>
        <v>0</v>
      </c>
      <c r="P15" s="5">
        <f>+'15'!H92</f>
        <v>0</v>
      </c>
      <c r="Q15" s="5">
        <f>+'16'!H92</f>
        <v>0</v>
      </c>
      <c r="R15" s="5">
        <f>+'17'!H92</f>
        <v>0</v>
      </c>
      <c r="S15" s="5">
        <f>+'18'!H92</f>
        <v>0</v>
      </c>
      <c r="T15" s="5">
        <f>+'19'!H92</f>
        <v>0</v>
      </c>
      <c r="U15" s="5">
        <f>+'20'!H92</f>
        <v>0</v>
      </c>
      <c r="V15" s="5">
        <f>+'21'!H92</f>
        <v>0</v>
      </c>
      <c r="W15" s="5">
        <f>+'22'!H92</f>
        <v>0</v>
      </c>
      <c r="X15" s="5">
        <f>+'23'!H92</f>
        <v>0</v>
      </c>
      <c r="Y15" s="5">
        <f>+'24'!H92</f>
        <v>0</v>
      </c>
      <c r="Z15" s="5">
        <f>+'25'!H92</f>
        <v>0</v>
      </c>
      <c r="AA15" s="5">
        <f>+'26'!H92</f>
        <v>0</v>
      </c>
      <c r="AB15" s="5">
        <f>+'27'!H92</f>
        <v>0</v>
      </c>
      <c r="AC15" s="5">
        <f>+'28'!H92</f>
        <v>0</v>
      </c>
      <c r="AD15" s="5">
        <f>+'29'!H92</f>
        <v>0</v>
      </c>
      <c r="AE15" s="5">
        <f>+'30'!H92</f>
        <v>0</v>
      </c>
      <c r="AF15" s="70">
        <f>+'31'!H92</f>
        <v>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36" t="s">
        <v>65</v>
      </c>
      <c r="B16" s="69">
        <f>+'1'!H93</f>
        <v>0</v>
      </c>
      <c r="C16" s="5">
        <f>+'2'!H93</f>
        <v>0</v>
      </c>
      <c r="D16" s="5">
        <f>+'3'!H93</f>
        <v>0</v>
      </c>
      <c r="E16" s="5">
        <f>+'4'!H93</f>
        <v>0</v>
      </c>
      <c r="F16" s="5">
        <f>+'5'!H93</f>
        <v>0</v>
      </c>
      <c r="G16" s="5">
        <f>+'6'!H93</f>
        <v>0</v>
      </c>
      <c r="H16" s="5">
        <f>+'7'!H93</f>
        <v>0</v>
      </c>
      <c r="I16" s="5">
        <f>+'8'!H93</f>
        <v>0</v>
      </c>
      <c r="J16" s="5">
        <f>+'9'!H93</f>
        <v>0</v>
      </c>
      <c r="K16" s="5">
        <f>+'10'!H93</f>
        <v>0</v>
      </c>
      <c r="L16" s="5">
        <f>+'11'!H93</f>
        <v>0</v>
      </c>
      <c r="M16" s="5">
        <f>+'12'!H93</f>
        <v>0</v>
      </c>
      <c r="N16" s="5">
        <f>+'13'!H93</f>
        <v>0</v>
      </c>
      <c r="O16" s="5">
        <f>+'14'!H93</f>
        <v>0</v>
      </c>
      <c r="P16" s="5">
        <f>+'15'!H93</f>
        <v>0</v>
      </c>
      <c r="Q16" s="5">
        <f>+'16'!H93</f>
        <v>0</v>
      </c>
      <c r="R16" s="5">
        <f>+'17'!H93</f>
        <v>0</v>
      </c>
      <c r="S16" s="5">
        <f>+'18'!H93</f>
        <v>0</v>
      </c>
      <c r="T16" s="5">
        <f>+'19'!H93</f>
        <v>0</v>
      </c>
      <c r="U16" s="5">
        <f>+'20'!H93</f>
        <v>0</v>
      </c>
      <c r="V16" s="5">
        <f>+'21'!H93</f>
        <v>0</v>
      </c>
      <c r="W16" s="5">
        <f>+'22'!H93</f>
        <v>0</v>
      </c>
      <c r="X16" s="5">
        <f>+'23'!H93</f>
        <v>0</v>
      </c>
      <c r="Y16" s="5">
        <f>+'24'!H93</f>
        <v>0</v>
      </c>
      <c r="Z16" s="5">
        <f>+'25'!H93</f>
        <v>0</v>
      </c>
      <c r="AA16" s="5">
        <f>+'26'!H93</f>
        <v>0</v>
      </c>
      <c r="AB16" s="5">
        <f>+'27'!H93</f>
        <v>0</v>
      </c>
      <c r="AC16" s="5">
        <f>+'28'!H93</f>
        <v>0</v>
      </c>
      <c r="AD16" s="5">
        <f>+'29'!H93</f>
        <v>0</v>
      </c>
      <c r="AE16" s="5">
        <f>+'30'!H93</f>
        <v>0</v>
      </c>
      <c r="AF16" s="70">
        <f>+'31'!H93</f>
        <v>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36" t="s">
        <v>64</v>
      </c>
      <c r="B17" s="69">
        <f>+'1'!H94</f>
        <v>0</v>
      </c>
      <c r="C17" s="5">
        <f>+'2'!H94</f>
        <v>0</v>
      </c>
      <c r="D17" s="5">
        <f>+'3'!H94</f>
        <v>0</v>
      </c>
      <c r="E17" s="5">
        <f>+'4'!H94</f>
        <v>0</v>
      </c>
      <c r="F17" s="5">
        <f>+'5'!H94</f>
        <v>0</v>
      </c>
      <c r="G17" s="5">
        <f>+'6'!H94</f>
        <v>0</v>
      </c>
      <c r="H17" s="5">
        <f>+'7'!H94</f>
        <v>0</v>
      </c>
      <c r="I17" s="5">
        <f>+'8'!H94</f>
        <v>0</v>
      </c>
      <c r="J17" s="5">
        <f>+'9'!H94</f>
        <v>0</v>
      </c>
      <c r="K17" s="5">
        <f>+'10'!H94</f>
        <v>0</v>
      </c>
      <c r="L17" s="5">
        <f>+'11'!H94</f>
        <v>0</v>
      </c>
      <c r="M17" s="5">
        <f>+'12'!H94</f>
        <v>0</v>
      </c>
      <c r="N17" s="5">
        <f>+'13'!H94</f>
        <v>0</v>
      </c>
      <c r="O17" s="5">
        <f>+'14'!H94</f>
        <v>0</v>
      </c>
      <c r="P17" s="5">
        <f>+'15'!H94</f>
        <v>0</v>
      </c>
      <c r="Q17" s="5">
        <f>+'16'!H94</f>
        <v>0</v>
      </c>
      <c r="R17" s="5">
        <f>+'17'!H94</f>
        <v>0</v>
      </c>
      <c r="S17" s="5">
        <f>+'18'!H94</f>
        <v>0</v>
      </c>
      <c r="T17" s="5">
        <f>+'19'!H94</f>
        <v>0</v>
      </c>
      <c r="U17" s="5">
        <f>+'20'!H94</f>
        <v>0</v>
      </c>
      <c r="V17" s="5">
        <f>+'21'!H94</f>
        <v>0</v>
      </c>
      <c r="W17" s="5">
        <f>+'22'!H94</f>
        <v>0</v>
      </c>
      <c r="X17" s="5">
        <f>+'23'!H94</f>
        <v>0</v>
      </c>
      <c r="Y17" s="5">
        <f>+'24'!H94</f>
        <v>0</v>
      </c>
      <c r="Z17" s="5">
        <f>+'25'!H94</f>
        <v>0</v>
      </c>
      <c r="AA17" s="5">
        <f>+'26'!H94</f>
        <v>0</v>
      </c>
      <c r="AB17" s="5">
        <f>+'27'!H94</f>
        <v>0</v>
      </c>
      <c r="AC17" s="5">
        <f>+'28'!H94</f>
        <v>0</v>
      </c>
      <c r="AD17" s="5">
        <f>+'29'!H94</f>
        <v>0</v>
      </c>
      <c r="AE17" s="5">
        <f>+'30'!H94</f>
        <v>0</v>
      </c>
      <c r="AF17" s="70">
        <f>+'31'!H94</f>
        <v>0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36" t="s">
        <v>58</v>
      </c>
      <c r="B18" s="69">
        <f>+'1'!H95</f>
        <v>0</v>
      </c>
      <c r="C18" s="5">
        <f>+'2'!H95</f>
        <v>0</v>
      </c>
      <c r="D18" s="5">
        <f>+'3'!H95</f>
        <v>0</v>
      </c>
      <c r="E18" s="5">
        <f>+'4'!H95</f>
        <v>0</v>
      </c>
      <c r="F18" s="5">
        <f>+'5'!H95</f>
        <v>0</v>
      </c>
      <c r="G18" s="5">
        <f>+'6'!H95</f>
        <v>0</v>
      </c>
      <c r="H18" s="5">
        <f>+'7'!H95</f>
        <v>0</v>
      </c>
      <c r="I18" s="5">
        <f>+'8'!H95</f>
        <v>0</v>
      </c>
      <c r="J18" s="5">
        <f>+'9'!H95</f>
        <v>0</v>
      </c>
      <c r="K18" s="5">
        <f>+'10'!H95</f>
        <v>0</v>
      </c>
      <c r="L18" s="5">
        <f>+'11'!H95</f>
        <v>0</v>
      </c>
      <c r="M18" s="5">
        <f>+'12'!H95</f>
        <v>0</v>
      </c>
      <c r="N18" s="5">
        <f>+'13'!H95</f>
        <v>0</v>
      </c>
      <c r="O18" s="5">
        <f>+'14'!H95</f>
        <v>0</v>
      </c>
      <c r="P18" s="5">
        <f>+'15'!H95</f>
        <v>0</v>
      </c>
      <c r="Q18" s="5">
        <f>+'16'!H95</f>
        <v>0</v>
      </c>
      <c r="R18" s="5">
        <f>+'17'!H95</f>
        <v>0</v>
      </c>
      <c r="S18" s="5">
        <f>+'18'!H95</f>
        <v>0</v>
      </c>
      <c r="T18" s="5">
        <f>+'19'!H95</f>
        <v>0</v>
      </c>
      <c r="U18" s="5">
        <f>+'20'!H95</f>
        <v>0</v>
      </c>
      <c r="V18" s="5">
        <f>+'21'!H95</f>
        <v>0</v>
      </c>
      <c r="W18" s="5">
        <f>+'22'!H95</f>
        <v>0</v>
      </c>
      <c r="X18" s="5">
        <f>+'23'!H95</f>
        <v>0</v>
      </c>
      <c r="Y18" s="5">
        <f>+'24'!H95</f>
        <v>0</v>
      </c>
      <c r="Z18" s="5">
        <f>+'25'!H95</f>
        <v>0</v>
      </c>
      <c r="AA18" s="5">
        <f>+'26'!H95</f>
        <v>0</v>
      </c>
      <c r="AB18" s="5">
        <f>+'27'!H95</f>
        <v>0</v>
      </c>
      <c r="AC18" s="5">
        <f>+'28'!H95</f>
        <v>0</v>
      </c>
      <c r="AD18" s="5">
        <f>+'29'!H95</f>
        <v>0</v>
      </c>
      <c r="AE18" s="5">
        <f>+'30'!H95</f>
        <v>0</v>
      </c>
      <c r="AF18" s="70">
        <f>+'31'!H95</f>
        <v>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36" t="s">
        <v>60</v>
      </c>
      <c r="B19" s="69">
        <f>+'1'!H96</f>
        <v>0</v>
      </c>
      <c r="C19" s="5">
        <f>+'2'!H96</f>
        <v>0</v>
      </c>
      <c r="D19" s="5">
        <f>+'3'!H96</f>
        <v>0</v>
      </c>
      <c r="E19" s="5">
        <f>+'4'!H96</f>
        <v>0</v>
      </c>
      <c r="F19" s="5">
        <f>+'5'!H96</f>
        <v>0</v>
      </c>
      <c r="G19" s="5">
        <f>+'6'!H96</f>
        <v>0</v>
      </c>
      <c r="H19" s="5">
        <f>+'7'!H96</f>
        <v>0</v>
      </c>
      <c r="I19" s="5">
        <f>+'8'!H96</f>
        <v>0</v>
      </c>
      <c r="J19" s="5">
        <f>+'9'!H96</f>
        <v>0</v>
      </c>
      <c r="K19" s="5">
        <f>+'10'!H96</f>
        <v>0</v>
      </c>
      <c r="L19" s="5">
        <f>+'11'!H96</f>
        <v>0</v>
      </c>
      <c r="M19" s="5">
        <f>+'12'!H96</f>
        <v>0</v>
      </c>
      <c r="N19" s="5">
        <f>+'13'!H96</f>
        <v>0</v>
      </c>
      <c r="O19" s="5">
        <f>+'14'!H96</f>
        <v>0</v>
      </c>
      <c r="P19" s="5">
        <f>+'15'!H96</f>
        <v>0</v>
      </c>
      <c r="Q19" s="5">
        <f>+'16'!H96</f>
        <v>0</v>
      </c>
      <c r="R19" s="5">
        <f>+'17'!H96</f>
        <v>0</v>
      </c>
      <c r="S19" s="5">
        <f>+'18'!H96</f>
        <v>0</v>
      </c>
      <c r="T19" s="5">
        <f>+'19'!H96</f>
        <v>0</v>
      </c>
      <c r="U19" s="5">
        <f>+'20'!H96</f>
        <v>0</v>
      </c>
      <c r="V19" s="5">
        <f>+'21'!H96</f>
        <v>0</v>
      </c>
      <c r="W19" s="5">
        <f>+'22'!H96</f>
        <v>0</v>
      </c>
      <c r="X19" s="5">
        <f>+'23'!H96</f>
        <v>0</v>
      </c>
      <c r="Y19" s="5">
        <f>+'24'!H96</f>
        <v>0</v>
      </c>
      <c r="Z19" s="5">
        <f>+'25'!H96</f>
        <v>0</v>
      </c>
      <c r="AA19" s="5">
        <f>+'26'!H96</f>
        <v>0</v>
      </c>
      <c r="AB19" s="5">
        <f>+'27'!H96</f>
        <v>0</v>
      </c>
      <c r="AC19" s="5">
        <f>+'28'!H96</f>
        <v>0</v>
      </c>
      <c r="AD19" s="5">
        <f>+'29'!H96</f>
        <v>0</v>
      </c>
      <c r="AE19" s="5">
        <f>+'30'!H96</f>
        <v>0</v>
      </c>
      <c r="AF19" s="70">
        <f>+'31'!H96</f>
        <v>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36" t="s">
        <v>59</v>
      </c>
      <c r="B20" s="69">
        <f>+'1'!H97</f>
        <v>0</v>
      </c>
      <c r="C20" s="5">
        <f>+'2'!H97</f>
        <v>0</v>
      </c>
      <c r="D20" s="5">
        <f>+'3'!H97</f>
        <v>0</v>
      </c>
      <c r="E20" s="5">
        <f>+'4'!H97</f>
        <v>0</v>
      </c>
      <c r="F20" s="5">
        <f>+'5'!H97</f>
        <v>0</v>
      </c>
      <c r="G20" s="5">
        <f>+'6'!H97</f>
        <v>0</v>
      </c>
      <c r="H20" s="5">
        <f>+'7'!H97</f>
        <v>0</v>
      </c>
      <c r="I20" s="5">
        <f>+'8'!H97</f>
        <v>0</v>
      </c>
      <c r="J20" s="5">
        <f>+'9'!H97</f>
        <v>0</v>
      </c>
      <c r="K20" s="5">
        <f>+'10'!H97</f>
        <v>0</v>
      </c>
      <c r="L20" s="5">
        <f>+'11'!H97</f>
        <v>0</v>
      </c>
      <c r="M20" s="5">
        <f>+'12'!H97</f>
        <v>0</v>
      </c>
      <c r="N20" s="5">
        <f>+'13'!H97</f>
        <v>0</v>
      </c>
      <c r="O20" s="5">
        <f>+'14'!H97</f>
        <v>0</v>
      </c>
      <c r="P20" s="5">
        <f>+'15'!H97</f>
        <v>0</v>
      </c>
      <c r="Q20" s="5">
        <f>+'16'!H97</f>
        <v>0</v>
      </c>
      <c r="R20" s="5">
        <f>+'17'!H97</f>
        <v>0</v>
      </c>
      <c r="S20" s="5">
        <f>+'18'!H97</f>
        <v>0</v>
      </c>
      <c r="T20" s="5">
        <f>+'19'!H97</f>
        <v>0</v>
      </c>
      <c r="U20" s="5">
        <f>+'20'!H97</f>
        <v>0</v>
      </c>
      <c r="V20" s="5">
        <f>+'21'!H97</f>
        <v>0</v>
      </c>
      <c r="W20" s="5">
        <f>+'22'!H97</f>
        <v>0</v>
      </c>
      <c r="X20" s="5">
        <f>+'23'!H97</f>
        <v>0</v>
      </c>
      <c r="Y20" s="5">
        <f>+'24'!H97</f>
        <v>0</v>
      </c>
      <c r="Z20" s="5">
        <f>+'25'!H97</f>
        <v>0</v>
      </c>
      <c r="AA20" s="5">
        <f>+'26'!H97</f>
        <v>0</v>
      </c>
      <c r="AB20" s="5">
        <f>+'27'!H97</f>
        <v>0</v>
      </c>
      <c r="AC20" s="5">
        <f>+'28'!H97</f>
        <v>0</v>
      </c>
      <c r="AD20" s="5">
        <f>+'29'!H97</f>
        <v>0</v>
      </c>
      <c r="AE20" s="5">
        <f>+'30'!H97</f>
        <v>0</v>
      </c>
      <c r="AF20" s="70">
        <f>+'31'!H97</f>
        <v>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37" t="s">
        <v>57</v>
      </c>
      <c r="B21" s="57">
        <f>+'1'!H98</f>
        <v>0</v>
      </c>
      <c r="C21" s="58">
        <f>+'2'!H98</f>
        <v>0</v>
      </c>
      <c r="D21" s="58">
        <f>+'3'!H98</f>
        <v>0</v>
      </c>
      <c r="E21" s="58">
        <f>+'4'!H98</f>
        <v>0</v>
      </c>
      <c r="F21" s="58">
        <f>+'5'!H98</f>
        <v>0</v>
      </c>
      <c r="G21" s="58">
        <f>+'6'!H98</f>
        <v>0</v>
      </c>
      <c r="H21" s="58">
        <f>+'7'!H98</f>
        <v>0</v>
      </c>
      <c r="I21" s="58">
        <f>+'8'!H98</f>
        <v>0</v>
      </c>
      <c r="J21" s="58">
        <f>+'9'!H98</f>
        <v>0</v>
      </c>
      <c r="K21" s="58">
        <f>+'10'!H98</f>
        <v>0</v>
      </c>
      <c r="L21" s="58">
        <f>+'11'!H98</f>
        <v>0</v>
      </c>
      <c r="M21" s="58">
        <f>+'12'!H98</f>
        <v>0</v>
      </c>
      <c r="N21" s="58">
        <f>+'13'!H98</f>
        <v>0</v>
      </c>
      <c r="O21" s="58">
        <f>+'14'!H98</f>
        <v>0</v>
      </c>
      <c r="P21" s="58">
        <f>+'15'!H98</f>
        <v>0</v>
      </c>
      <c r="Q21" s="58">
        <f>+'16'!H98</f>
        <v>0</v>
      </c>
      <c r="R21" s="58">
        <f>+'17'!H98</f>
        <v>0</v>
      </c>
      <c r="S21" s="58">
        <f>+'18'!H98</f>
        <v>0</v>
      </c>
      <c r="T21" s="58">
        <f>+'19'!H98</f>
        <v>0</v>
      </c>
      <c r="U21" s="58">
        <f>+'20'!H98</f>
        <v>0</v>
      </c>
      <c r="V21" s="58">
        <f>+'21'!H98</f>
        <v>0</v>
      </c>
      <c r="W21" s="58">
        <f>+'22'!H98</f>
        <v>0</v>
      </c>
      <c r="X21" s="58">
        <f>+'23'!H98</f>
        <v>0</v>
      </c>
      <c r="Y21" s="58">
        <f>+'24'!H98</f>
        <v>0</v>
      </c>
      <c r="Z21" s="58">
        <f>+'25'!H98</f>
        <v>0</v>
      </c>
      <c r="AA21" s="58">
        <f>+'26'!H98</f>
        <v>0</v>
      </c>
      <c r="AB21" s="58">
        <f>+'27'!H98</f>
        <v>0</v>
      </c>
      <c r="AC21" s="58">
        <f>+'28'!H98</f>
        <v>0</v>
      </c>
      <c r="AD21" s="58">
        <f>+'29'!H98</f>
        <v>0</v>
      </c>
      <c r="AE21" s="58">
        <f>+'30'!H98</f>
        <v>0</v>
      </c>
      <c r="AF21" s="59">
        <f>+'31'!H98</f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89" t="s">
        <v>207</v>
      </c>
      <c r="B22" s="139">
        <f>SUM(B6:B21)</f>
        <v>0</v>
      </c>
      <c r="C22" s="195">
        <f t="shared" ref="C22:AF22" si="1">SUM(C6:C21)</f>
        <v>0</v>
      </c>
      <c r="D22" s="195">
        <f t="shared" si="1"/>
        <v>0</v>
      </c>
      <c r="E22" s="195">
        <f t="shared" si="1"/>
        <v>0</v>
      </c>
      <c r="F22" s="195">
        <f t="shared" si="1"/>
        <v>0</v>
      </c>
      <c r="G22" s="195">
        <f t="shared" si="1"/>
        <v>0</v>
      </c>
      <c r="H22" s="195">
        <f t="shared" si="1"/>
        <v>0</v>
      </c>
      <c r="I22" s="195">
        <f t="shared" si="1"/>
        <v>0</v>
      </c>
      <c r="J22" s="195">
        <f t="shared" si="1"/>
        <v>0</v>
      </c>
      <c r="K22" s="195">
        <f t="shared" si="1"/>
        <v>0</v>
      </c>
      <c r="L22" s="195">
        <f t="shared" si="1"/>
        <v>0</v>
      </c>
      <c r="M22" s="195">
        <f t="shared" si="1"/>
        <v>0</v>
      </c>
      <c r="N22" s="195">
        <f t="shared" si="1"/>
        <v>0</v>
      </c>
      <c r="O22" s="195">
        <f t="shared" si="1"/>
        <v>0</v>
      </c>
      <c r="P22" s="195">
        <f t="shared" si="1"/>
        <v>0</v>
      </c>
      <c r="Q22" s="195">
        <f t="shared" si="1"/>
        <v>0</v>
      </c>
      <c r="R22" s="195">
        <f t="shared" si="1"/>
        <v>0</v>
      </c>
      <c r="S22" s="195">
        <f t="shared" si="1"/>
        <v>0</v>
      </c>
      <c r="T22" s="195">
        <f t="shared" si="1"/>
        <v>0</v>
      </c>
      <c r="U22" s="195">
        <f t="shared" si="1"/>
        <v>0</v>
      </c>
      <c r="V22" s="195">
        <f t="shared" si="1"/>
        <v>0</v>
      </c>
      <c r="W22" s="195">
        <f t="shared" si="1"/>
        <v>0</v>
      </c>
      <c r="X22" s="195">
        <f t="shared" si="1"/>
        <v>0</v>
      </c>
      <c r="Y22" s="195">
        <f t="shared" si="1"/>
        <v>0</v>
      </c>
      <c r="Z22" s="195">
        <f t="shared" si="1"/>
        <v>0</v>
      </c>
      <c r="AA22" s="195">
        <f t="shared" si="1"/>
        <v>0</v>
      </c>
      <c r="AB22" s="195">
        <f t="shared" si="1"/>
        <v>0</v>
      </c>
      <c r="AC22" s="195">
        <f t="shared" si="1"/>
        <v>0</v>
      </c>
      <c r="AD22" s="195">
        <f t="shared" si="1"/>
        <v>0</v>
      </c>
      <c r="AE22" s="195">
        <f t="shared" si="1"/>
        <v>0</v>
      </c>
      <c r="AF22" s="196">
        <f t="shared" si="1"/>
        <v>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125" t="s">
        <v>208</v>
      </c>
      <c r="B23" s="131">
        <f>+'1'!H82</f>
        <v>0</v>
      </c>
      <c r="C23" s="132">
        <f>+'2'!H82</f>
        <v>0</v>
      </c>
      <c r="D23" s="132">
        <f>+'3'!H82</f>
        <v>0</v>
      </c>
      <c r="E23" s="132">
        <f>+'4'!H82</f>
        <v>0</v>
      </c>
      <c r="F23" s="132">
        <f>+'5'!H82</f>
        <v>0</v>
      </c>
      <c r="G23" s="132">
        <f>+'6'!H82</f>
        <v>0</v>
      </c>
      <c r="H23" s="132">
        <f>+'7'!H82</f>
        <v>0</v>
      </c>
      <c r="I23" s="132">
        <f>+'8'!H82</f>
        <v>0</v>
      </c>
      <c r="J23" s="132">
        <f>+'9'!H82</f>
        <v>0</v>
      </c>
      <c r="K23" s="132">
        <f>+'10'!H82</f>
        <v>0</v>
      </c>
      <c r="L23" s="132">
        <f>+'11'!H82</f>
        <v>0</v>
      </c>
      <c r="M23" s="132">
        <f>+'12'!H82</f>
        <v>0</v>
      </c>
      <c r="N23" s="132">
        <f>+'13'!H82</f>
        <v>0</v>
      </c>
      <c r="O23" s="132">
        <f>+'14'!H82</f>
        <v>0</v>
      </c>
      <c r="P23" s="132">
        <f>+'15'!H82</f>
        <v>0</v>
      </c>
      <c r="Q23" s="132">
        <f>+'16'!H82</f>
        <v>0</v>
      </c>
      <c r="R23" s="132">
        <f>+'17'!H82</f>
        <v>0</v>
      </c>
      <c r="S23" s="132">
        <f>+'18'!H82</f>
        <v>0</v>
      </c>
      <c r="T23" s="132">
        <f>+'19'!H82</f>
        <v>0</v>
      </c>
      <c r="U23" s="132">
        <f>+'20'!H82</f>
        <v>0</v>
      </c>
      <c r="V23" s="132">
        <f>+'21'!H82</f>
        <v>0</v>
      </c>
      <c r="W23" s="132">
        <f>+'22'!H82</f>
        <v>0</v>
      </c>
      <c r="X23" s="132">
        <f>+'23'!H82</f>
        <v>0</v>
      </c>
      <c r="Y23" s="132">
        <f>+'24'!H82</f>
        <v>0</v>
      </c>
      <c r="Z23" s="132">
        <f>+'25'!H82</f>
        <v>0</v>
      </c>
      <c r="AA23" s="132">
        <f>+'26'!H82</f>
        <v>0</v>
      </c>
      <c r="AB23" s="132">
        <f>+'27'!H82</f>
        <v>0</v>
      </c>
      <c r="AC23" s="132">
        <f>+'28'!H82</f>
        <v>0</v>
      </c>
      <c r="AD23" s="132">
        <f>+'29'!H82</f>
        <v>0</v>
      </c>
      <c r="AE23" s="132">
        <f>+'30'!H82</f>
        <v>0</v>
      </c>
      <c r="AF23" s="133">
        <f>+'31'!H82</f>
        <v>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128" t="s">
        <v>209</v>
      </c>
      <c r="B24" s="192">
        <f>+B22-B23</f>
        <v>0</v>
      </c>
      <c r="C24" s="193">
        <f t="shared" ref="C24:AF24" si="2">+C22-C23</f>
        <v>0</v>
      </c>
      <c r="D24" s="193">
        <f t="shared" si="2"/>
        <v>0</v>
      </c>
      <c r="E24" s="193">
        <f t="shared" si="2"/>
        <v>0</v>
      </c>
      <c r="F24" s="193">
        <f t="shared" si="2"/>
        <v>0</v>
      </c>
      <c r="G24" s="193">
        <f t="shared" si="2"/>
        <v>0</v>
      </c>
      <c r="H24" s="193">
        <f t="shared" si="2"/>
        <v>0</v>
      </c>
      <c r="I24" s="193">
        <f t="shared" si="2"/>
        <v>0</v>
      </c>
      <c r="J24" s="193">
        <f t="shared" si="2"/>
        <v>0</v>
      </c>
      <c r="K24" s="193">
        <f t="shared" si="2"/>
        <v>0</v>
      </c>
      <c r="L24" s="193">
        <f t="shared" si="2"/>
        <v>0</v>
      </c>
      <c r="M24" s="193">
        <f t="shared" si="2"/>
        <v>0</v>
      </c>
      <c r="N24" s="193">
        <f t="shared" si="2"/>
        <v>0</v>
      </c>
      <c r="O24" s="193">
        <f t="shared" si="2"/>
        <v>0</v>
      </c>
      <c r="P24" s="193">
        <f t="shared" si="2"/>
        <v>0</v>
      </c>
      <c r="Q24" s="193">
        <f t="shared" si="2"/>
        <v>0</v>
      </c>
      <c r="R24" s="193">
        <f t="shared" si="2"/>
        <v>0</v>
      </c>
      <c r="S24" s="193">
        <f t="shared" si="2"/>
        <v>0</v>
      </c>
      <c r="T24" s="193">
        <f t="shared" si="2"/>
        <v>0</v>
      </c>
      <c r="U24" s="193">
        <f t="shared" si="2"/>
        <v>0</v>
      </c>
      <c r="V24" s="193">
        <f t="shared" si="2"/>
        <v>0</v>
      </c>
      <c r="W24" s="193">
        <f t="shared" si="2"/>
        <v>0</v>
      </c>
      <c r="X24" s="193">
        <f t="shared" si="2"/>
        <v>0</v>
      </c>
      <c r="Y24" s="193">
        <f t="shared" si="2"/>
        <v>0</v>
      </c>
      <c r="Z24" s="193">
        <f t="shared" si="2"/>
        <v>0</v>
      </c>
      <c r="AA24" s="193">
        <f t="shared" si="2"/>
        <v>0</v>
      </c>
      <c r="AB24" s="193">
        <f t="shared" si="2"/>
        <v>0</v>
      </c>
      <c r="AC24" s="193">
        <f t="shared" si="2"/>
        <v>0</v>
      </c>
      <c r="AD24" s="193">
        <f t="shared" si="2"/>
        <v>0</v>
      </c>
      <c r="AE24" s="193">
        <f t="shared" si="2"/>
        <v>0</v>
      </c>
      <c r="AF24" s="194">
        <f t="shared" si="2"/>
        <v>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234" t="s">
        <v>111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35" t="str">
        <f>+Input!A55</f>
        <v xml:space="preserve"> - Aksia Sales</v>
      </c>
      <c r="B27" s="55">
        <f>+'1'!H102</f>
        <v>0</v>
      </c>
      <c r="C27" s="55">
        <f>+'2'!H102</f>
        <v>0</v>
      </c>
      <c r="D27" s="55">
        <f>+'3'!H102</f>
        <v>0</v>
      </c>
      <c r="E27" s="55">
        <f>+'4'!H102</f>
        <v>0</v>
      </c>
      <c r="F27" s="55">
        <f>+'5'!H102</f>
        <v>0</v>
      </c>
      <c r="G27" s="55">
        <f>+'6'!H102</f>
        <v>0</v>
      </c>
      <c r="H27" s="55">
        <f>+'7'!H102</f>
        <v>0</v>
      </c>
      <c r="I27" s="55">
        <f>+'8'!H102</f>
        <v>0</v>
      </c>
      <c r="J27" s="55">
        <f>+'9'!H102</f>
        <v>0</v>
      </c>
      <c r="K27" s="55">
        <f>+'10'!H102</f>
        <v>0</v>
      </c>
      <c r="L27" s="55">
        <f>+'11'!H102</f>
        <v>0</v>
      </c>
      <c r="M27" s="55">
        <f>+'12'!H102</f>
        <v>0</v>
      </c>
      <c r="N27" s="55">
        <f>+'13'!H102</f>
        <v>0</v>
      </c>
      <c r="O27" s="55">
        <f>+'14'!H102</f>
        <v>0</v>
      </c>
      <c r="P27" s="55">
        <f>+'15'!H102</f>
        <v>0</v>
      </c>
      <c r="Q27" s="55">
        <f>+'16'!H102</f>
        <v>0</v>
      </c>
      <c r="R27" s="55">
        <f>+'17'!H102</f>
        <v>0</v>
      </c>
      <c r="S27" s="55">
        <f>+'18'!H102</f>
        <v>0</v>
      </c>
      <c r="T27" s="55">
        <f>+'19'!H102</f>
        <v>0</v>
      </c>
      <c r="U27" s="55">
        <f>+'20'!H102</f>
        <v>0</v>
      </c>
      <c r="V27" s="55">
        <f>+'21'!H102</f>
        <v>0</v>
      </c>
      <c r="W27" s="55">
        <f>+'22'!H102</f>
        <v>0</v>
      </c>
      <c r="X27" s="55">
        <f>+'23'!H102</f>
        <v>0</v>
      </c>
      <c r="Y27" s="55">
        <f>+'24'!H102</f>
        <v>0</v>
      </c>
      <c r="Z27" s="55">
        <f>+'25'!H102</f>
        <v>0</v>
      </c>
      <c r="AA27" s="55">
        <f>+'26'!H102</f>
        <v>0</v>
      </c>
      <c r="AB27" s="55">
        <f>+'27'!H102</f>
        <v>0</v>
      </c>
      <c r="AC27" s="55">
        <f>+'28'!H102</f>
        <v>0</v>
      </c>
      <c r="AD27" s="55">
        <f>+'29'!H102</f>
        <v>0</v>
      </c>
      <c r="AE27" s="55">
        <f>+'30'!H102</f>
        <v>0</v>
      </c>
      <c r="AF27" s="56">
        <f>+'31'!H102</f>
        <v>0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36" t="str">
        <f>+Input!A56</f>
        <v xml:space="preserve"> - Albany</v>
      </c>
      <c r="B28" s="5">
        <f>+'1'!H103</f>
        <v>0</v>
      </c>
      <c r="C28" s="5">
        <f>+'2'!H103</f>
        <v>0</v>
      </c>
      <c r="D28" s="5">
        <f>+'3'!H103</f>
        <v>0</v>
      </c>
      <c r="E28" s="5">
        <f>+'4'!H103</f>
        <v>0</v>
      </c>
      <c r="F28" s="5">
        <f>+'5'!H103</f>
        <v>0</v>
      </c>
      <c r="G28" s="5">
        <f>+'6'!H103</f>
        <v>0</v>
      </c>
      <c r="H28" s="5">
        <f>+'7'!H103</f>
        <v>0</v>
      </c>
      <c r="I28" s="5">
        <f>+'8'!H103</f>
        <v>0</v>
      </c>
      <c r="J28" s="5">
        <f>+'9'!H103</f>
        <v>0</v>
      </c>
      <c r="K28" s="5">
        <f>+'10'!H103</f>
        <v>0</v>
      </c>
      <c r="L28" s="5">
        <f>+'11'!H103</f>
        <v>0</v>
      </c>
      <c r="M28" s="5">
        <f>+'12'!H103</f>
        <v>0</v>
      </c>
      <c r="N28" s="5">
        <f>+'13'!H103</f>
        <v>0</v>
      </c>
      <c r="O28" s="5">
        <f>+'14'!H103</f>
        <v>0</v>
      </c>
      <c r="P28" s="5">
        <f>+'15'!H103</f>
        <v>0</v>
      </c>
      <c r="Q28" s="5">
        <f>+'16'!H103</f>
        <v>0</v>
      </c>
      <c r="R28" s="5">
        <f>+'17'!H103</f>
        <v>0</v>
      </c>
      <c r="S28" s="5">
        <f>+'18'!H103</f>
        <v>0</v>
      </c>
      <c r="T28" s="5">
        <f>+'19'!H103</f>
        <v>0</v>
      </c>
      <c r="U28" s="5">
        <f>+'20'!H103</f>
        <v>0</v>
      </c>
      <c r="V28" s="5">
        <f>+'21'!H103</f>
        <v>0</v>
      </c>
      <c r="W28" s="5">
        <f>+'22'!H103</f>
        <v>0</v>
      </c>
      <c r="X28" s="5">
        <f>+'23'!H103</f>
        <v>0</v>
      </c>
      <c r="Y28" s="5">
        <f>+'24'!H103</f>
        <v>0</v>
      </c>
      <c r="Z28" s="5">
        <f>+'25'!H103</f>
        <v>0</v>
      </c>
      <c r="AA28" s="5">
        <f>+'26'!H103</f>
        <v>0</v>
      </c>
      <c r="AB28" s="5">
        <f>+'27'!H103</f>
        <v>0</v>
      </c>
      <c r="AC28" s="5">
        <f>+'28'!H103</f>
        <v>0</v>
      </c>
      <c r="AD28" s="5">
        <f>+'29'!H103</f>
        <v>0</v>
      </c>
      <c r="AE28" s="5">
        <f>+'30'!H103</f>
        <v>0</v>
      </c>
      <c r="AF28" s="70">
        <f>+'31'!H103</f>
        <v>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36" t="str">
        <f>+Input!A57</f>
        <v xml:space="preserve"> - Atlantic Ice</v>
      </c>
      <c r="B29" s="5">
        <f>+'1'!H104</f>
        <v>0</v>
      </c>
      <c r="C29" s="5">
        <f>+'2'!H104</f>
        <v>0</v>
      </c>
      <c r="D29" s="5">
        <f>+'3'!H104</f>
        <v>0</v>
      </c>
      <c r="E29" s="5">
        <f>+'4'!H104</f>
        <v>0</v>
      </c>
      <c r="F29" s="5">
        <f>+'5'!H104</f>
        <v>0</v>
      </c>
      <c r="G29" s="5">
        <f>+'6'!H104</f>
        <v>0</v>
      </c>
      <c r="H29" s="5">
        <f>+'7'!H104</f>
        <v>0</v>
      </c>
      <c r="I29" s="5">
        <f>+'8'!H104</f>
        <v>0</v>
      </c>
      <c r="J29" s="5">
        <f>+'9'!H104</f>
        <v>0</v>
      </c>
      <c r="K29" s="5">
        <f>+'10'!H104</f>
        <v>0</v>
      </c>
      <c r="L29" s="5">
        <f>+'11'!H104</f>
        <v>0</v>
      </c>
      <c r="M29" s="5">
        <f>+'12'!H104</f>
        <v>0</v>
      </c>
      <c r="N29" s="5">
        <f>+'13'!H104</f>
        <v>0</v>
      </c>
      <c r="O29" s="5">
        <f>+'14'!H104</f>
        <v>0</v>
      </c>
      <c r="P29" s="5">
        <f>+'15'!H104</f>
        <v>0</v>
      </c>
      <c r="Q29" s="5">
        <f>+'16'!H104</f>
        <v>0</v>
      </c>
      <c r="R29" s="5">
        <f>+'17'!H104</f>
        <v>0</v>
      </c>
      <c r="S29" s="5">
        <f>+'18'!H104</f>
        <v>0</v>
      </c>
      <c r="T29" s="5">
        <f>+'19'!H104</f>
        <v>0</v>
      </c>
      <c r="U29" s="5">
        <f>+'20'!H104</f>
        <v>0</v>
      </c>
      <c r="V29" s="5">
        <f>+'21'!H104</f>
        <v>0</v>
      </c>
      <c r="W29" s="5">
        <f>+'22'!H104</f>
        <v>0</v>
      </c>
      <c r="X29" s="5">
        <f>+'23'!H104</f>
        <v>0</v>
      </c>
      <c r="Y29" s="5">
        <f>+'24'!H104</f>
        <v>0</v>
      </c>
      <c r="Z29" s="5">
        <f>+'25'!H104</f>
        <v>0</v>
      </c>
      <c r="AA29" s="5">
        <f>+'26'!H104</f>
        <v>0</v>
      </c>
      <c r="AB29" s="5">
        <f>+'27'!H104</f>
        <v>0</v>
      </c>
      <c r="AC29" s="5">
        <f>+'28'!H104</f>
        <v>0</v>
      </c>
      <c r="AD29" s="5">
        <f>+'29'!H104</f>
        <v>0</v>
      </c>
      <c r="AE29" s="5">
        <f>+'30'!H104</f>
        <v>0</v>
      </c>
      <c r="AF29" s="70">
        <f>+'31'!H104</f>
        <v>0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36" t="str">
        <f>+Input!A58</f>
        <v xml:space="preserve"> - Bake It Easy</v>
      </c>
      <c r="B30" s="5">
        <f>+'1'!H105</f>
        <v>0</v>
      </c>
      <c r="C30" s="5">
        <f>+'2'!H105</f>
        <v>0</v>
      </c>
      <c r="D30" s="5">
        <f>+'3'!H105</f>
        <v>0</v>
      </c>
      <c r="E30" s="5">
        <f>+'4'!H105</f>
        <v>0</v>
      </c>
      <c r="F30" s="5">
        <f>+'5'!H105</f>
        <v>0</v>
      </c>
      <c r="G30" s="5">
        <f>+'6'!H105</f>
        <v>0</v>
      </c>
      <c r="H30" s="5">
        <f>+'7'!H105</f>
        <v>0</v>
      </c>
      <c r="I30" s="5">
        <f>+'8'!H105</f>
        <v>0</v>
      </c>
      <c r="J30" s="5">
        <f>+'9'!H105</f>
        <v>0</v>
      </c>
      <c r="K30" s="5">
        <f>+'10'!H105</f>
        <v>0</v>
      </c>
      <c r="L30" s="5">
        <f>+'11'!H105</f>
        <v>0</v>
      </c>
      <c r="M30" s="5">
        <f>+'12'!H105</f>
        <v>0</v>
      </c>
      <c r="N30" s="5">
        <f>+'13'!H105</f>
        <v>0</v>
      </c>
      <c r="O30" s="5">
        <f>+'14'!H105</f>
        <v>0</v>
      </c>
      <c r="P30" s="5">
        <f>+'15'!H105</f>
        <v>0</v>
      </c>
      <c r="Q30" s="5">
        <f>+'16'!H105</f>
        <v>0</v>
      </c>
      <c r="R30" s="5">
        <f>+'17'!H105</f>
        <v>0</v>
      </c>
      <c r="S30" s="5">
        <f>+'18'!H105</f>
        <v>0</v>
      </c>
      <c r="T30" s="5">
        <f>+'19'!H105</f>
        <v>0</v>
      </c>
      <c r="U30" s="5">
        <f>+'20'!H105</f>
        <v>0</v>
      </c>
      <c r="V30" s="5">
        <f>+'21'!H105</f>
        <v>0</v>
      </c>
      <c r="W30" s="5">
        <f>+'22'!H105</f>
        <v>0</v>
      </c>
      <c r="X30" s="5">
        <f>+'23'!H105</f>
        <v>0</v>
      </c>
      <c r="Y30" s="5">
        <f>+'24'!H105</f>
        <v>0</v>
      </c>
      <c r="Z30" s="5">
        <f>+'25'!H105</f>
        <v>0</v>
      </c>
      <c r="AA30" s="5">
        <f>+'26'!H105</f>
        <v>0</v>
      </c>
      <c r="AB30" s="5">
        <f>+'27'!H105</f>
        <v>0</v>
      </c>
      <c r="AC30" s="5">
        <f>+'28'!H105</f>
        <v>0</v>
      </c>
      <c r="AD30" s="5">
        <f>+'29'!H105</f>
        <v>0</v>
      </c>
      <c r="AE30" s="5">
        <f>+'30'!H105</f>
        <v>0</v>
      </c>
      <c r="AF30" s="70">
        <f>+'31'!H105</f>
        <v>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36" t="str">
        <f>+Input!A59</f>
        <v xml:space="preserve"> - Bamco Tabacco</v>
      </c>
      <c r="B31" s="5">
        <f>+'1'!H106</f>
        <v>0</v>
      </c>
      <c r="C31" s="5">
        <f>+'2'!H106</f>
        <v>0</v>
      </c>
      <c r="D31" s="5">
        <f>+'3'!H106</f>
        <v>0</v>
      </c>
      <c r="E31" s="5">
        <f>+'4'!H106</f>
        <v>0</v>
      </c>
      <c r="F31" s="5">
        <f>+'5'!H106</f>
        <v>0</v>
      </c>
      <c r="G31" s="5">
        <f>+'6'!H106</f>
        <v>0</v>
      </c>
      <c r="H31" s="5">
        <f>+'7'!H106</f>
        <v>0</v>
      </c>
      <c r="I31" s="5">
        <f>+'8'!H106</f>
        <v>0</v>
      </c>
      <c r="J31" s="5">
        <f>+'9'!H106</f>
        <v>0</v>
      </c>
      <c r="K31" s="5">
        <f>+'10'!H106</f>
        <v>0</v>
      </c>
      <c r="L31" s="5">
        <f>+'11'!H106</f>
        <v>0</v>
      </c>
      <c r="M31" s="5">
        <f>+'12'!H106</f>
        <v>0</v>
      </c>
      <c r="N31" s="5">
        <f>+'13'!H106</f>
        <v>0</v>
      </c>
      <c r="O31" s="5">
        <f>+'14'!H106</f>
        <v>0</v>
      </c>
      <c r="P31" s="5">
        <f>+'15'!H106</f>
        <v>0</v>
      </c>
      <c r="Q31" s="5">
        <f>+'16'!H106</f>
        <v>0</v>
      </c>
      <c r="R31" s="5">
        <f>+'17'!H106</f>
        <v>0</v>
      </c>
      <c r="S31" s="5">
        <f>+'18'!H106</f>
        <v>0</v>
      </c>
      <c r="T31" s="5">
        <f>+'19'!H106</f>
        <v>0</v>
      </c>
      <c r="U31" s="5">
        <f>+'20'!H106</f>
        <v>0</v>
      </c>
      <c r="V31" s="5">
        <f>+'21'!H106</f>
        <v>0</v>
      </c>
      <c r="W31" s="5">
        <f>+'22'!H106</f>
        <v>0</v>
      </c>
      <c r="X31" s="5">
        <f>+'23'!H106</f>
        <v>0</v>
      </c>
      <c r="Y31" s="5">
        <f>+'24'!H106</f>
        <v>0</v>
      </c>
      <c r="Z31" s="5">
        <f>+'25'!H106</f>
        <v>0</v>
      </c>
      <c r="AA31" s="5">
        <f>+'26'!H106</f>
        <v>0</v>
      </c>
      <c r="AB31" s="5">
        <f>+'27'!H106</f>
        <v>0</v>
      </c>
      <c r="AC31" s="5">
        <f>+'28'!H106</f>
        <v>0</v>
      </c>
      <c r="AD31" s="5">
        <f>+'29'!H106</f>
        <v>0</v>
      </c>
      <c r="AE31" s="5">
        <f>+'30'!H106</f>
        <v>0</v>
      </c>
      <c r="AF31" s="70">
        <f>+'31'!H106</f>
        <v>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36" t="str">
        <f>+Input!A60</f>
        <v xml:space="preserve"> - Blue Ribbon</v>
      </c>
      <c r="B32" s="5">
        <f>+'1'!H107</f>
        <v>0</v>
      </c>
      <c r="C32" s="5">
        <f>+'2'!H107</f>
        <v>0</v>
      </c>
      <c r="D32" s="5">
        <f>+'3'!H107</f>
        <v>0</v>
      </c>
      <c r="E32" s="5">
        <f>+'4'!H107</f>
        <v>0</v>
      </c>
      <c r="F32" s="5">
        <f>+'5'!H107</f>
        <v>0</v>
      </c>
      <c r="G32" s="5">
        <f>+'6'!H107</f>
        <v>0</v>
      </c>
      <c r="H32" s="5">
        <f>+'7'!H107</f>
        <v>0</v>
      </c>
      <c r="I32" s="5">
        <f>+'8'!H107</f>
        <v>0</v>
      </c>
      <c r="J32" s="5">
        <f>+'9'!H107</f>
        <v>0</v>
      </c>
      <c r="K32" s="5">
        <f>+'10'!H107</f>
        <v>0</v>
      </c>
      <c r="L32" s="5">
        <f>+'11'!H107</f>
        <v>0</v>
      </c>
      <c r="M32" s="5">
        <f>+'12'!H107</f>
        <v>0</v>
      </c>
      <c r="N32" s="5">
        <f>+'13'!H107</f>
        <v>0</v>
      </c>
      <c r="O32" s="5">
        <f>+'14'!H107</f>
        <v>0</v>
      </c>
      <c r="P32" s="5">
        <f>+'15'!H107</f>
        <v>0</v>
      </c>
      <c r="Q32" s="5">
        <f>+'16'!H107</f>
        <v>0</v>
      </c>
      <c r="R32" s="5">
        <f>+'17'!H107</f>
        <v>0</v>
      </c>
      <c r="S32" s="5">
        <f>+'18'!H107</f>
        <v>0</v>
      </c>
      <c r="T32" s="5">
        <f>+'19'!H107</f>
        <v>0</v>
      </c>
      <c r="U32" s="5">
        <f>+'20'!H107</f>
        <v>0</v>
      </c>
      <c r="V32" s="5">
        <f>+'21'!H107</f>
        <v>0</v>
      </c>
      <c r="W32" s="5">
        <f>+'22'!H107</f>
        <v>0</v>
      </c>
      <c r="X32" s="5">
        <f>+'23'!H107</f>
        <v>0</v>
      </c>
      <c r="Y32" s="5">
        <f>+'24'!H107</f>
        <v>0</v>
      </c>
      <c r="Z32" s="5">
        <f>+'25'!H107</f>
        <v>0</v>
      </c>
      <c r="AA32" s="5">
        <f>+'26'!H107</f>
        <v>0</v>
      </c>
      <c r="AB32" s="5">
        <f>+'27'!H107</f>
        <v>0</v>
      </c>
      <c r="AC32" s="5">
        <f>+'28'!H107</f>
        <v>0</v>
      </c>
      <c r="AD32" s="5">
        <f>+'29'!H107</f>
        <v>0</v>
      </c>
      <c r="AE32" s="5">
        <f>+'30'!H107</f>
        <v>0</v>
      </c>
      <c r="AF32" s="70">
        <f>+'31'!H107</f>
        <v>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36" t="str">
        <f>+Input!A61</f>
        <v xml:space="preserve"> - Catercorp</v>
      </c>
      <c r="B33" s="5">
        <f>+'1'!H108</f>
        <v>0</v>
      </c>
      <c r="C33" s="5">
        <f>+'2'!H108</f>
        <v>0</v>
      </c>
      <c r="D33" s="5">
        <f>+'3'!H108</f>
        <v>0</v>
      </c>
      <c r="E33" s="5">
        <f>+'4'!H108</f>
        <v>0</v>
      </c>
      <c r="F33" s="5">
        <f>+'5'!H108</f>
        <v>0</v>
      </c>
      <c r="G33" s="5">
        <f>+'6'!H108</f>
        <v>0</v>
      </c>
      <c r="H33" s="5">
        <f>+'7'!H108</f>
        <v>0</v>
      </c>
      <c r="I33" s="5">
        <f>+'8'!H108</f>
        <v>0</v>
      </c>
      <c r="J33" s="5">
        <f>+'9'!H108</f>
        <v>0</v>
      </c>
      <c r="K33" s="5">
        <f>+'10'!H108</f>
        <v>0</v>
      </c>
      <c r="L33" s="5">
        <f>+'11'!H108</f>
        <v>0</v>
      </c>
      <c r="M33" s="5">
        <f>+'12'!H108</f>
        <v>0</v>
      </c>
      <c r="N33" s="5">
        <f>+'13'!H108</f>
        <v>0</v>
      </c>
      <c r="O33" s="5">
        <f>+'14'!H108</f>
        <v>0</v>
      </c>
      <c r="P33" s="5">
        <f>+'15'!H108</f>
        <v>0</v>
      </c>
      <c r="Q33" s="5">
        <f>+'16'!H108</f>
        <v>0</v>
      </c>
      <c r="R33" s="5">
        <f>+'17'!H108</f>
        <v>0</v>
      </c>
      <c r="S33" s="5">
        <f>+'18'!H108</f>
        <v>0</v>
      </c>
      <c r="T33" s="5">
        <f>+'19'!H108</f>
        <v>0</v>
      </c>
      <c r="U33" s="5">
        <f>+'20'!H108</f>
        <v>0</v>
      </c>
      <c r="V33" s="5">
        <f>+'21'!H108</f>
        <v>0</v>
      </c>
      <c r="W33" s="5">
        <f>+'22'!H108</f>
        <v>0</v>
      </c>
      <c r="X33" s="5">
        <f>+'23'!H108</f>
        <v>0</v>
      </c>
      <c r="Y33" s="5">
        <f>+'24'!H108</f>
        <v>0</v>
      </c>
      <c r="Z33" s="5">
        <f>+'25'!H108</f>
        <v>0</v>
      </c>
      <c r="AA33" s="5">
        <f>+'26'!H108</f>
        <v>0</v>
      </c>
      <c r="AB33" s="5">
        <f>+'27'!H108</f>
        <v>0</v>
      </c>
      <c r="AC33" s="5">
        <f>+'28'!H108</f>
        <v>0</v>
      </c>
      <c r="AD33" s="5">
        <f>+'29'!H108</f>
        <v>0</v>
      </c>
      <c r="AE33" s="5">
        <f>+'30'!H108</f>
        <v>0</v>
      </c>
      <c r="AF33" s="70">
        <f>+'31'!H108</f>
        <v>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36" t="str">
        <f>+Input!A62</f>
        <v xml:space="preserve"> - Checkers</v>
      </c>
      <c r="B34" s="5">
        <f>+'1'!H109</f>
        <v>0</v>
      </c>
      <c r="C34" s="5">
        <f>+'2'!H109</f>
        <v>0</v>
      </c>
      <c r="D34" s="5">
        <f>+'3'!H109</f>
        <v>0</v>
      </c>
      <c r="E34" s="5">
        <f>+'4'!H109</f>
        <v>0</v>
      </c>
      <c r="F34" s="5">
        <f>+'5'!H109</f>
        <v>0</v>
      </c>
      <c r="G34" s="5">
        <f>+'6'!H109</f>
        <v>0</v>
      </c>
      <c r="H34" s="5">
        <f>+'7'!H109</f>
        <v>0</v>
      </c>
      <c r="I34" s="5">
        <f>+'8'!H109</f>
        <v>0</v>
      </c>
      <c r="J34" s="5">
        <f>+'9'!H109</f>
        <v>0</v>
      </c>
      <c r="K34" s="5">
        <f>+'10'!H109</f>
        <v>0</v>
      </c>
      <c r="L34" s="5">
        <f>+'11'!H109</f>
        <v>0</v>
      </c>
      <c r="M34" s="5">
        <f>+'12'!H109</f>
        <v>0</v>
      </c>
      <c r="N34" s="5">
        <f>+'13'!H109</f>
        <v>0</v>
      </c>
      <c r="O34" s="5">
        <f>+'14'!H109</f>
        <v>0</v>
      </c>
      <c r="P34" s="5">
        <f>+'15'!H109</f>
        <v>0</v>
      </c>
      <c r="Q34" s="5">
        <f>+'16'!H109</f>
        <v>0</v>
      </c>
      <c r="R34" s="5">
        <f>+'17'!H109</f>
        <v>0</v>
      </c>
      <c r="S34" s="5">
        <f>+'18'!H109</f>
        <v>0</v>
      </c>
      <c r="T34" s="5">
        <f>+'19'!H109</f>
        <v>0</v>
      </c>
      <c r="U34" s="5">
        <f>+'20'!H109</f>
        <v>0</v>
      </c>
      <c r="V34" s="5">
        <f>+'21'!H109</f>
        <v>0</v>
      </c>
      <c r="W34" s="5">
        <f>+'22'!H109</f>
        <v>0</v>
      </c>
      <c r="X34" s="5">
        <f>+'23'!H109</f>
        <v>0</v>
      </c>
      <c r="Y34" s="5">
        <f>+'24'!H109</f>
        <v>0</v>
      </c>
      <c r="Z34" s="5">
        <f>+'25'!H109</f>
        <v>0</v>
      </c>
      <c r="AA34" s="5">
        <f>+'26'!H109</f>
        <v>0</v>
      </c>
      <c r="AB34" s="5">
        <f>+'27'!H109</f>
        <v>0</v>
      </c>
      <c r="AC34" s="5">
        <f>+'28'!H109</f>
        <v>0</v>
      </c>
      <c r="AD34" s="5">
        <f>+'29'!H109</f>
        <v>0</v>
      </c>
      <c r="AE34" s="5">
        <f>+'30'!H109</f>
        <v>0</v>
      </c>
      <c r="AF34" s="70">
        <f>+'31'!H109</f>
        <v>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36" t="str">
        <f>+Input!A63</f>
        <v xml:space="preserve"> - Clover</v>
      </c>
      <c r="B35" s="5">
        <f>+'1'!H110</f>
        <v>0</v>
      </c>
      <c r="C35" s="5">
        <f>+'2'!H110</f>
        <v>0</v>
      </c>
      <c r="D35" s="5">
        <f>+'3'!H110</f>
        <v>0</v>
      </c>
      <c r="E35" s="5">
        <f>+'4'!H110</f>
        <v>0</v>
      </c>
      <c r="F35" s="5">
        <f>+'5'!H110</f>
        <v>0</v>
      </c>
      <c r="G35" s="5">
        <f>+'6'!H110</f>
        <v>0</v>
      </c>
      <c r="H35" s="5">
        <f>+'7'!H110</f>
        <v>0</v>
      </c>
      <c r="I35" s="5">
        <f>+'8'!H110</f>
        <v>0</v>
      </c>
      <c r="J35" s="5">
        <f>+'9'!H110</f>
        <v>0</v>
      </c>
      <c r="K35" s="5">
        <f>+'10'!H110</f>
        <v>0</v>
      </c>
      <c r="L35" s="5">
        <f>+'11'!H110</f>
        <v>0</v>
      </c>
      <c r="M35" s="5">
        <f>+'12'!H110</f>
        <v>0</v>
      </c>
      <c r="N35" s="5">
        <f>+'13'!H110</f>
        <v>0</v>
      </c>
      <c r="O35" s="5">
        <f>+'14'!H110</f>
        <v>0</v>
      </c>
      <c r="P35" s="5">
        <f>+'15'!H110</f>
        <v>0</v>
      </c>
      <c r="Q35" s="5">
        <f>+'16'!H110</f>
        <v>0</v>
      </c>
      <c r="R35" s="5">
        <f>+'17'!H110</f>
        <v>0</v>
      </c>
      <c r="S35" s="5">
        <f>+'18'!H110</f>
        <v>0</v>
      </c>
      <c r="T35" s="5">
        <f>+'19'!H110</f>
        <v>0</v>
      </c>
      <c r="U35" s="5">
        <f>+'20'!H110</f>
        <v>0</v>
      </c>
      <c r="V35" s="5">
        <f>+'21'!H110</f>
        <v>0</v>
      </c>
      <c r="W35" s="5">
        <f>+'22'!H110</f>
        <v>0</v>
      </c>
      <c r="X35" s="5">
        <f>+'23'!H110</f>
        <v>0</v>
      </c>
      <c r="Y35" s="5">
        <f>+'24'!H110</f>
        <v>0</v>
      </c>
      <c r="Z35" s="5">
        <f>+'25'!H110</f>
        <v>0</v>
      </c>
      <c r="AA35" s="5">
        <f>+'26'!H110</f>
        <v>0</v>
      </c>
      <c r="AB35" s="5">
        <f>+'27'!H110</f>
        <v>0</v>
      </c>
      <c r="AC35" s="5">
        <f>+'28'!H110</f>
        <v>0</v>
      </c>
      <c r="AD35" s="5">
        <f>+'29'!H110</f>
        <v>0</v>
      </c>
      <c r="AE35" s="5">
        <f>+'30'!H110</f>
        <v>0</v>
      </c>
      <c r="AF35" s="70">
        <f>+'31'!H110</f>
        <v>0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36" t="str">
        <f>+Input!A64</f>
        <v xml:space="preserve"> - Cool Runnings</v>
      </c>
      <c r="B36" s="5">
        <f>+'1'!H111</f>
        <v>0</v>
      </c>
      <c r="C36" s="5">
        <f>+'2'!H111</f>
        <v>0</v>
      </c>
      <c r="D36" s="5">
        <f>+'3'!H111</f>
        <v>0</v>
      </c>
      <c r="E36" s="5">
        <f>+'4'!H111</f>
        <v>0</v>
      </c>
      <c r="F36" s="5">
        <f>+'5'!H111</f>
        <v>0</v>
      </c>
      <c r="G36" s="5">
        <f>+'6'!H111</f>
        <v>0</v>
      </c>
      <c r="H36" s="5">
        <f>+'7'!H111</f>
        <v>0</v>
      </c>
      <c r="I36" s="5">
        <f>+'8'!H111</f>
        <v>0</v>
      </c>
      <c r="J36" s="5">
        <f>+'9'!H111</f>
        <v>0</v>
      </c>
      <c r="K36" s="5">
        <f>+'10'!H111</f>
        <v>0</v>
      </c>
      <c r="L36" s="5">
        <f>+'11'!H111</f>
        <v>0</v>
      </c>
      <c r="M36" s="5">
        <f>+'12'!H111</f>
        <v>0</v>
      </c>
      <c r="N36" s="5">
        <f>+'13'!H111</f>
        <v>0</v>
      </c>
      <c r="O36" s="5">
        <f>+'14'!H111</f>
        <v>0</v>
      </c>
      <c r="P36" s="5">
        <f>+'15'!H111</f>
        <v>0</v>
      </c>
      <c r="Q36" s="5">
        <f>+'16'!H111</f>
        <v>0</v>
      </c>
      <c r="R36" s="5">
        <f>+'17'!H111</f>
        <v>0</v>
      </c>
      <c r="S36" s="5">
        <f>+'18'!H111</f>
        <v>0</v>
      </c>
      <c r="T36" s="5">
        <f>+'19'!H111</f>
        <v>0</v>
      </c>
      <c r="U36" s="5">
        <f>+'20'!H111</f>
        <v>0</v>
      </c>
      <c r="V36" s="5">
        <f>+'21'!H111</f>
        <v>0</v>
      </c>
      <c r="W36" s="5">
        <f>+'22'!H111</f>
        <v>0</v>
      </c>
      <c r="X36" s="5">
        <f>+'23'!H111</f>
        <v>0</v>
      </c>
      <c r="Y36" s="5">
        <f>+'24'!H111</f>
        <v>0</v>
      </c>
      <c r="Z36" s="5">
        <f>+'25'!H111</f>
        <v>0</v>
      </c>
      <c r="AA36" s="5">
        <f>+'26'!H111</f>
        <v>0</v>
      </c>
      <c r="AB36" s="5">
        <f>+'27'!H111</f>
        <v>0</v>
      </c>
      <c r="AC36" s="5">
        <f>+'28'!H111</f>
        <v>0</v>
      </c>
      <c r="AD36" s="5">
        <f>+'29'!H111</f>
        <v>0</v>
      </c>
      <c r="AE36" s="5">
        <f>+'30'!H111</f>
        <v>0</v>
      </c>
      <c r="AF36" s="70">
        <f>+'31'!H111</f>
        <v>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36" t="str">
        <f>+Input!A65</f>
        <v xml:space="preserve"> - Deep Frozen</v>
      </c>
      <c r="B37" s="5">
        <f>+'1'!H112</f>
        <v>0</v>
      </c>
      <c r="C37" s="5">
        <f>+'2'!H112</f>
        <v>0</v>
      </c>
      <c r="D37" s="5">
        <f>+'3'!H112</f>
        <v>0</v>
      </c>
      <c r="E37" s="5">
        <f>+'4'!H112</f>
        <v>0</v>
      </c>
      <c r="F37" s="5">
        <f>+'5'!H112</f>
        <v>0</v>
      </c>
      <c r="G37" s="5">
        <f>+'6'!H112</f>
        <v>0</v>
      </c>
      <c r="H37" s="5">
        <f>+'7'!H112</f>
        <v>0</v>
      </c>
      <c r="I37" s="5">
        <f>+'8'!H112</f>
        <v>0</v>
      </c>
      <c r="J37" s="5">
        <f>+'9'!H112</f>
        <v>0</v>
      </c>
      <c r="K37" s="5">
        <f>+'10'!H112</f>
        <v>0</v>
      </c>
      <c r="L37" s="5">
        <f>+'11'!H112</f>
        <v>0</v>
      </c>
      <c r="M37" s="5">
        <f>+'12'!H112</f>
        <v>0</v>
      </c>
      <c r="N37" s="5">
        <f>+'13'!H112</f>
        <v>0</v>
      </c>
      <c r="O37" s="5">
        <f>+'14'!H112</f>
        <v>0</v>
      </c>
      <c r="P37" s="5">
        <f>+'15'!H112</f>
        <v>0</v>
      </c>
      <c r="Q37" s="5">
        <f>+'16'!H112</f>
        <v>0</v>
      </c>
      <c r="R37" s="5">
        <f>+'17'!H112</f>
        <v>0</v>
      </c>
      <c r="S37" s="5">
        <f>+'18'!H112</f>
        <v>0</v>
      </c>
      <c r="T37" s="5">
        <f>+'19'!H112</f>
        <v>0</v>
      </c>
      <c r="U37" s="5">
        <f>+'20'!H112</f>
        <v>0</v>
      </c>
      <c r="V37" s="5">
        <f>+'21'!H112</f>
        <v>0</v>
      </c>
      <c r="W37" s="5">
        <f>+'22'!H112</f>
        <v>0</v>
      </c>
      <c r="X37" s="5">
        <f>+'23'!H112</f>
        <v>0</v>
      </c>
      <c r="Y37" s="5">
        <f>+'24'!H112</f>
        <v>0</v>
      </c>
      <c r="Z37" s="5">
        <f>+'25'!H112</f>
        <v>0</v>
      </c>
      <c r="AA37" s="5">
        <f>+'26'!H112</f>
        <v>0</v>
      </c>
      <c r="AB37" s="5">
        <f>+'27'!H112</f>
        <v>0</v>
      </c>
      <c r="AC37" s="5">
        <f>+'28'!H112</f>
        <v>0</v>
      </c>
      <c r="AD37" s="5">
        <f>+'29'!H112</f>
        <v>0</v>
      </c>
      <c r="AE37" s="5">
        <f>+'30'!H112</f>
        <v>0</v>
      </c>
      <c r="AF37" s="70">
        <f>+'31'!H112</f>
        <v>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36" t="str">
        <f>+Input!A66</f>
        <v xml:space="preserve"> - Digistics</v>
      </c>
      <c r="B38" s="5">
        <f>+'1'!H113</f>
        <v>0</v>
      </c>
      <c r="C38" s="5">
        <f>+'2'!H113</f>
        <v>0</v>
      </c>
      <c r="D38" s="5">
        <f>+'3'!H113</f>
        <v>0</v>
      </c>
      <c r="E38" s="5">
        <f>+'4'!H113</f>
        <v>0</v>
      </c>
      <c r="F38" s="5">
        <f>+'5'!H113</f>
        <v>0</v>
      </c>
      <c r="G38" s="5">
        <f>+'6'!H113</f>
        <v>0</v>
      </c>
      <c r="H38" s="5">
        <f>+'7'!H113</f>
        <v>0</v>
      </c>
      <c r="I38" s="5">
        <f>+'8'!H113</f>
        <v>0</v>
      </c>
      <c r="J38" s="5">
        <f>+'9'!H113</f>
        <v>0</v>
      </c>
      <c r="K38" s="5">
        <f>+'10'!H113</f>
        <v>0</v>
      </c>
      <c r="L38" s="5">
        <f>+'11'!H113</f>
        <v>0</v>
      </c>
      <c r="M38" s="5">
        <f>+'12'!H113</f>
        <v>0</v>
      </c>
      <c r="N38" s="5">
        <f>+'13'!H113</f>
        <v>0</v>
      </c>
      <c r="O38" s="5">
        <f>+'14'!H113</f>
        <v>0</v>
      </c>
      <c r="P38" s="5">
        <f>+'15'!H113</f>
        <v>0</v>
      </c>
      <c r="Q38" s="5">
        <f>+'16'!H113</f>
        <v>0</v>
      </c>
      <c r="R38" s="5">
        <f>+'17'!H113</f>
        <v>0</v>
      </c>
      <c r="S38" s="5">
        <f>+'18'!H113</f>
        <v>0</v>
      </c>
      <c r="T38" s="5">
        <f>+'19'!H113</f>
        <v>0</v>
      </c>
      <c r="U38" s="5">
        <f>+'20'!H113</f>
        <v>0</v>
      </c>
      <c r="V38" s="5">
        <f>+'21'!H113</f>
        <v>0</v>
      </c>
      <c r="W38" s="5">
        <f>+'22'!H113</f>
        <v>0</v>
      </c>
      <c r="X38" s="5">
        <f>+'23'!H113</f>
        <v>0</v>
      </c>
      <c r="Y38" s="5">
        <f>+'24'!H113</f>
        <v>0</v>
      </c>
      <c r="Z38" s="5">
        <f>+'25'!H113</f>
        <v>0</v>
      </c>
      <c r="AA38" s="5">
        <f>+'26'!H113</f>
        <v>0</v>
      </c>
      <c r="AB38" s="5">
        <f>+'27'!H113</f>
        <v>0</v>
      </c>
      <c r="AC38" s="5">
        <f>+'28'!H113</f>
        <v>0</v>
      </c>
      <c r="AD38" s="5">
        <f>+'29'!H113</f>
        <v>0</v>
      </c>
      <c r="AE38" s="5">
        <f>+'30'!H113</f>
        <v>0</v>
      </c>
      <c r="AF38" s="70">
        <f>+'31'!H113</f>
        <v>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36" t="str">
        <f>+Input!A67</f>
        <v xml:space="preserve"> - Engen Fuel</v>
      </c>
      <c r="B39" s="5">
        <f>+'1'!H114</f>
        <v>0</v>
      </c>
      <c r="C39" s="5">
        <f>+'2'!H114</f>
        <v>0</v>
      </c>
      <c r="D39" s="5">
        <f>+'3'!H114</f>
        <v>0</v>
      </c>
      <c r="E39" s="5">
        <f>+'4'!H114</f>
        <v>0</v>
      </c>
      <c r="F39" s="5">
        <f>+'5'!H114</f>
        <v>0</v>
      </c>
      <c r="G39" s="5">
        <f>+'6'!H114</f>
        <v>0</v>
      </c>
      <c r="H39" s="5">
        <f>+'7'!H114</f>
        <v>0</v>
      </c>
      <c r="I39" s="5">
        <f>+'8'!H114</f>
        <v>0</v>
      </c>
      <c r="J39" s="5">
        <f>+'9'!H114</f>
        <v>0</v>
      </c>
      <c r="K39" s="5">
        <f>+'10'!H114</f>
        <v>0</v>
      </c>
      <c r="L39" s="5">
        <f>+'11'!H114</f>
        <v>0</v>
      </c>
      <c r="M39" s="5">
        <f>+'12'!H114</f>
        <v>0</v>
      </c>
      <c r="N39" s="5">
        <f>+'13'!H114</f>
        <v>0</v>
      </c>
      <c r="O39" s="5">
        <f>+'14'!H114</f>
        <v>0</v>
      </c>
      <c r="P39" s="5">
        <f>+'15'!H114</f>
        <v>0</v>
      </c>
      <c r="Q39" s="5">
        <f>+'16'!H114</f>
        <v>0</v>
      </c>
      <c r="R39" s="5">
        <f>+'17'!H114</f>
        <v>0</v>
      </c>
      <c r="S39" s="5">
        <f>+'18'!H114</f>
        <v>0</v>
      </c>
      <c r="T39" s="5">
        <f>+'19'!H114</f>
        <v>0</v>
      </c>
      <c r="U39" s="5">
        <f>+'20'!H114</f>
        <v>0</v>
      </c>
      <c r="V39" s="5">
        <f>+'21'!H114</f>
        <v>0</v>
      </c>
      <c r="W39" s="5">
        <f>+'22'!H114</f>
        <v>0</v>
      </c>
      <c r="X39" s="5">
        <f>+'23'!H114</f>
        <v>0</v>
      </c>
      <c r="Y39" s="5">
        <f>+'24'!H114</f>
        <v>0</v>
      </c>
      <c r="Z39" s="5">
        <f>+'25'!H114</f>
        <v>0</v>
      </c>
      <c r="AA39" s="5">
        <f>+'26'!H114</f>
        <v>0</v>
      </c>
      <c r="AB39" s="5">
        <f>+'27'!H114</f>
        <v>0</v>
      </c>
      <c r="AC39" s="5">
        <f>+'28'!H114</f>
        <v>0</v>
      </c>
      <c r="AD39" s="5">
        <f>+'29'!H114</f>
        <v>0</v>
      </c>
      <c r="AE39" s="5">
        <f>+'30'!H114</f>
        <v>0</v>
      </c>
      <c r="AF39" s="70">
        <f>+'31'!H114</f>
        <v>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36" t="str">
        <f>+Input!A68</f>
        <v xml:space="preserve"> - Engen Lubes</v>
      </c>
      <c r="B40" s="5">
        <f>+'1'!H115</f>
        <v>0</v>
      </c>
      <c r="C40" s="5">
        <f>+'2'!H115</f>
        <v>0</v>
      </c>
      <c r="D40" s="5">
        <f>+'3'!H115</f>
        <v>0</v>
      </c>
      <c r="E40" s="5">
        <f>+'4'!H115</f>
        <v>0</v>
      </c>
      <c r="F40" s="5">
        <f>+'5'!H115</f>
        <v>0</v>
      </c>
      <c r="G40" s="5">
        <f>+'6'!H115</f>
        <v>0</v>
      </c>
      <c r="H40" s="5">
        <f>+'7'!H115</f>
        <v>0</v>
      </c>
      <c r="I40" s="5">
        <f>+'8'!H115</f>
        <v>0</v>
      </c>
      <c r="J40" s="5">
        <f>+'9'!H115</f>
        <v>0</v>
      </c>
      <c r="K40" s="5">
        <f>+'10'!H115</f>
        <v>0</v>
      </c>
      <c r="L40" s="5">
        <f>+'11'!H115</f>
        <v>0</v>
      </c>
      <c r="M40" s="5">
        <f>+'12'!H115</f>
        <v>0</v>
      </c>
      <c r="N40" s="5">
        <f>+'13'!H115</f>
        <v>0</v>
      </c>
      <c r="O40" s="5">
        <f>+'14'!H115</f>
        <v>0</v>
      </c>
      <c r="P40" s="5">
        <f>+'15'!H115</f>
        <v>0</v>
      </c>
      <c r="Q40" s="5">
        <f>+'16'!H115</f>
        <v>0</v>
      </c>
      <c r="R40" s="5">
        <f>+'17'!H115</f>
        <v>0</v>
      </c>
      <c r="S40" s="5">
        <f>+'18'!H115</f>
        <v>0</v>
      </c>
      <c r="T40" s="5">
        <f>+'19'!H115</f>
        <v>0</v>
      </c>
      <c r="U40" s="5">
        <f>+'20'!H115</f>
        <v>0</v>
      </c>
      <c r="V40" s="5">
        <f>+'21'!H115</f>
        <v>0</v>
      </c>
      <c r="W40" s="5">
        <f>+'22'!H115</f>
        <v>0</v>
      </c>
      <c r="X40" s="5">
        <f>+'23'!H115</f>
        <v>0</v>
      </c>
      <c r="Y40" s="5">
        <f>+'24'!H115</f>
        <v>0</v>
      </c>
      <c r="Z40" s="5">
        <f>+'25'!H115</f>
        <v>0</v>
      </c>
      <c r="AA40" s="5">
        <f>+'26'!H115</f>
        <v>0</v>
      </c>
      <c r="AB40" s="5">
        <f>+'27'!H115</f>
        <v>0</v>
      </c>
      <c r="AC40" s="5">
        <f>+'28'!H115</f>
        <v>0</v>
      </c>
      <c r="AD40" s="5">
        <f>+'29'!H115</f>
        <v>0</v>
      </c>
      <c r="AE40" s="5">
        <f>+'30'!H115</f>
        <v>0</v>
      </c>
      <c r="AF40" s="70">
        <f>+'31'!H115</f>
        <v>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36" t="str">
        <f>+Input!A69</f>
        <v xml:space="preserve"> - F1 Packaging</v>
      </c>
      <c r="B41" s="5">
        <f>+'1'!H116</f>
        <v>0</v>
      </c>
      <c r="C41" s="5">
        <f>+'2'!H116</f>
        <v>0</v>
      </c>
      <c r="D41" s="5">
        <f>+'3'!H116</f>
        <v>0</v>
      </c>
      <c r="E41" s="5">
        <f>+'4'!H116</f>
        <v>0</v>
      </c>
      <c r="F41" s="5">
        <f>+'5'!H116</f>
        <v>0</v>
      </c>
      <c r="G41" s="5">
        <f>+'6'!H116</f>
        <v>0</v>
      </c>
      <c r="H41" s="5">
        <f>+'7'!H116</f>
        <v>0</v>
      </c>
      <c r="I41" s="5">
        <f>+'8'!H116</f>
        <v>0</v>
      </c>
      <c r="J41" s="5">
        <f>+'9'!H116</f>
        <v>0</v>
      </c>
      <c r="K41" s="5">
        <f>+'10'!H116</f>
        <v>0</v>
      </c>
      <c r="L41" s="5">
        <f>+'11'!H116</f>
        <v>0</v>
      </c>
      <c r="M41" s="5">
        <f>+'12'!H116</f>
        <v>0</v>
      </c>
      <c r="N41" s="5">
        <f>+'13'!H116</f>
        <v>0</v>
      </c>
      <c r="O41" s="5">
        <f>+'14'!H116</f>
        <v>0</v>
      </c>
      <c r="P41" s="5">
        <f>+'15'!H116</f>
        <v>0</v>
      </c>
      <c r="Q41" s="5">
        <f>+'16'!H116</f>
        <v>0</v>
      </c>
      <c r="R41" s="5">
        <f>+'17'!H116</f>
        <v>0</v>
      </c>
      <c r="S41" s="5">
        <f>+'18'!H116</f>
        <v>0</v>
      </c>
      <c r="T41" s="5">
        <f>+'19'!H116</f>
        <v>0</v>
      </c>
      <c r="U41" s="5">
        <f>+'20'!H116</f>
        <v>0</v>
      </c>
      <c r="V41" s="5">
        <f>+'21'!H116</f>
        <v>0</v>
      </c>
      <c r="W41" s="5">
        <f>+'22'!H116</f>
        <v>0</v>
      </c>
      <c r="X41" s="5">
        <f>+'23'!H116</f>
        <v>0</v>
      </c>
      <c r="Y41" s="5">
        <f>+'24'!H116</f>
        <v>0</v>
      </c>
      <c r="Z41" s="5">
        <f>+'25'!H116</f>
        <v>0</v>
      </c>
      <c r="AA41" s="5">
        <f>+'26'!H116</f>
        <v>0</v>
      </c>
      <c r="AB41" s="5">
        <f>+'27'!H116</f>
        <v>0</v>
      </c>
      <c r="AC41" s="5">
        <f>+'28'!H116</f>
        <v>0</v>
      </c>
      <c r="AD41" s="5">
        <f>+'29'!H116</f>
        <v>0</v>
      </c>
      <c r="AE41" s="5">
        <f>+'30'!H116</f>
        <v>0</v>
      </c>
      <c r="AF41" s="70">
        <f>+'31'!H116</f>
        <v>0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36" t="str">
        <f>+Input!A70</f>
        <v xml:space="preserve"> - Hazard</v>
      </c>
      <c r="B42" s="5">
        <f>+'1'!H117</f>
        <v>0</v>
      </c>
      <c r="C42" s="5">
        <f>+'2'!H117</f>
        <v>0</v>
      </c>
      <c r="D42" s="5">
        <f>+'3'!H117</f>
        <v>0</v>
      </c>
      <c r="E42" s="5">
        <f>+'4'!H117</f>
        <v>0</v>
      </c>
      <c r="F42" s="5">
        <f>+'5'!H117</f>
        <v>0</v>
      </c>
      <c r="G42" s="5">
        <f>+'6'!H117</f>
        <v>0</v>
      </c>
      <c r="H42" s="5">
        <f>+'7'!H117</f>
        <v>0</v>
      </c>
      <c r="I42" s="5">
        <f>+'8'!H117</f>
        <v>0</v>
      </c>
      <c r="J42" s="5">
        <f>+'9'!H117</f>
        <v>0</v>
      </c>
      <c r="K42" s="5">
        <f>+'10'!H117</f>
        <v>0</v>
      </c>
      <c r="L42" s="5">
        <f>+'11'!H117</f>
        <v>0</v>
      </c>
      <c r="M42" s="5">
        <f>+'12'!H117</f>
        <v>0</v>
      </c>
      <c r="N42" s="5">
        <f>+'13'!H117</f>
        <v>0</v>
      </c>
      <c r="O42" s="5">
        <f>+'14'!H117</f>
        <v>0</v>
      </c>
      <c r="P42" s="5">
        <f>+'15'!H117</f>
        <v>0</v>
      </c>
      <c r="Q42" s="5">
        <f>+'16'!H117</f>
        <v>0</v>
      </c>
      <c r="R42" s="5">
        <f>+'17'!H117</f>
        <v>0</v>
      </c>
      <c r="S42" s="5">
        <f>+'18'!H117</f>
        <v>0</v>
      </c>
      <c r="T42" s="5">
        <f>+'19'!H117</f>
        <v>0</v>
      </c>
      <c r="U42" s="5">
        <f>+'20'!H117</f>
        <v>0</v>
      </c>
      <c r="V42" s="5">
        <f>+'21'!H117</f>
        <v>0</v>
      </c>
      <c r="W42" s="5">
        <f>+'22'!H117</f>
        <v>0</v>
      </c>
      <c r="X42" s="5">
        <f>+'23'!H117</f>
        <v>0</v>
      </c>
      <c r="Y42" s="5">
        <f>+'24'!H117</f>
        <v>0</v>
      </c>
      <c r="Z42" s="5">
        <f>+'25'!H117</f>
        <v>0</v>
      </c>
      <c r="AA42" s="5">
        <f>+'26'!H117</f>
        <v>0</v>
      </c>
      <c r="AB42" s="5">
        <f>+'27'!H117</f>
        <v>0</v>
      </c>
      <c r="AC42" s="5">
        <f>+'28'!H117</f>
        <v>0</v>
      </c>
      <c r="AD42" s="5">
        <f>+'29'!H117</f>
        <v>0</v>
      </c>
      <c r="AE42" s="5">
        <f>+'30'!H117</f>
        <v>0</v>
      </c>
      <c r="AF42" s="70">
        <f>+'31'!H117</f>
        <v>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36" t="str">
        <f>+Input!A71</f>
        <v xml:space="preserve"> - JM Foods</v>
      </c>
      <c r="B43" s="5">
        <f>+'1'!H118</f>
        <v>0</v>
      </c>
      <c r="C43" s="5">
        <f>+'2'!H118</f>
        <v>0</v>
      </c>
      <c r="D43" s="5">
        <f>+'3'!H118</f>
        <v>0</v>
      </c>
      <c r="E43" s="5">
        <f>+'4'!H118</f>
        <v>0</v>
      </c>
      <c r="F43" s="5">
        <f>+'5'!H118</f>
        <v>0</v>
      </c>
      <c r="G43" s="5">
        <f>+'6'!H118</f>
        <v>0</v>
      </c>
      <c r="H43" s="5">
        <f>+'7'!H118</f>
        <v>0</v>
      </c>
      <c r="I43" s="5">
        <f>+'8'!H118</f>
        <v>0</v>
      </c>
      <c r="J43" s="5">
        <f>+'9'!H118</f>
        <v>0</v>
      </c>
      <c r="K43" s="5">
        <f>+'10'!H118</f>
        <v>0</v>
      </c>
      <c r="L43" s="5">
        <f>+'11'!H118</f>
        <v>0</v>
      </c>
      <c r="M43" s="5">
        <f>+'12'!H118</f>
        <v>0</v>
      </c>
      <c r="N43" s="5">
        <f>+'13'!H118</f>
        <v>0</v>
      </c>
      <c r="O43" s="5">
        <f>+'14'!H118</f>
        <v>0</v>
      </c>
      <c r="P43" s="5">
        <f>+'15'!H118</f>
        <v>0</v>
      </c>
      <c r="Q43" s="5">
        <f>+'16'!H118</f>
        <v>0</v>
      </c>
      <c r="R43" s="5">
        <f>+'17'!H118</f>
        <v>0</v>
      </c>
      <c r="S43" s="5">
        <f>+'18'!H118</f>
        <v>0</v>
      </c>
      <c r="T43" s="5">
        <f>+'19'!H118</f>
        <v>0</v>
      </c>
      <c r="U43" s="5">
        <f>+'20'!H118</f>
        <v>0</v>
      </c>
      <c r="V43" s="5">
        <f>+'21'!H118</f>
        <v>0</v>
      </c>
      <c r="W43" s="5">
        <f>+'22'!H118</f>
        <v>0</v>
      </c>
      <c r="X43" s="5">
        <f>+'23'!H118</f>
        <v>0</v>
      </c>
      <c r="Y43" s="5">
        <f>+'24'!H118</f>
        <v>0</v>
      </c>
      <c r="Z43" s="5">
        <f>+'25'!H118</f>
        <v>0</v>
      </c>
      <c r="AA43" s="5">
        <f>+'26'!H118</f>
        <v>0</v>
      </c>
      <c r="AB43" s="5">
        <f>+'27'!H118</f>
        <v>0</v>
      </c>
      <c r="AC43" s="5">
        <f>+'28'!H118</f>
        <v>0</v>
      </c>
      <c r="AD43" s="5">
        <f>+'29'!H118</f>
        <v>0</v>
      </c>
      <c r="AE43" s="5">
        <f>+'30'!H118</f>
        <v>0</v>
      </c>
      <c r="AF43" s="70">
        <f>+'31'!H118</f>
        <v>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36" t="str">
        <f>+Input!A72</f>
        <v xml:space="preserve"> - Key Distributors</v>
      </c>
      <c r="B44" s="5">
        <f>+'1'!H119</f>
        <v>0</v>
      </c>
      <c r="C44" s="5">
        <f>+'2'!H119</f>
        <v>0</v>
      </c>
      <c r="D44" s="5">
        <f>+'3'!H119</f>
        <v>0</v>
      </c>
      <c r="E44" s="5">
        <f>+'4'!H119</f>
        <v>0</v>
      </c>
      <c r="F44" s="5">
        <f>+'5'!H119</f>
        <v>0</v>
      </c>
      <c r="G44" s="5">
        <f>+'6'!H119</f>
        <v>0</v>
      </c>
      <c r="H44" s="5">
        <f>+'7'!H119</f>
        <v>0</v>
      </c>
      <c r="I44" s="5">
        <f>+'8'!H119</f>
        <v>0</v>
      </c>
      <c r="J44" s="5">
        <f>+'9'!H119</f>
        <v>0</v>
      </c>
      <c r="K44" s="5">
        <f>+'10'!H119</f>
        <v>0</v>
      </c>
      <c r="L44" s="5">
        <f>+'11'!H119</f>
        <v>0</v>
      </c>
      <c r="M44" s="5">
        <f>+'12'!H119</f>
        <v>0</v>
      </c>
      <c r="N44" s="5">
        <f>+'13'!H119</f>
        <v>0</v>
      </c>
      <c r="O44" s="5">
        <f>+'14'!H119</f>
        <v>0</v>
      </c>
      <c r="P44" s="5">
        <f>+'15'!H119</f>
        <v>0</v>
      </c>
      <c r="Q44" s="5">
        <f>+'16'!H119</f>
        <v>0</v>
      </c>
      <c r="R44" s="5">
        <f>+'17'!H119</f>
        <v>0</v>
      </c>
      <c r="S44" s="5">
        <f>+'18'!H119</f>
        <v>0</v>
      </c>
      <c r="T44" s="5">
        <f>+'19'!H119</f>
        <v>0</v>
      </c>
      <c r="U44" s="5">
        <f>+'20'!H119</f>
        <v>0</v>
      </c>
      <c r="V44" s="5">
        <f>+'21'!H119</f>
        <v>0</v>
      </c>
      <c r="W44" s="5">
        <f>+'22'!H119</f>
        <v>0</v>
      </c>
      <c r="X44" s="5">
        <f>+'23'!H119</f>
        <v>0</v>
      </c>
      <c r="Y44" s="5">
        <f>+'24'!H119</f>
        <v>0</v>
      </c>
      <c r="Z44" s="5">
        <f>+'25'!H119</f>
        <v>0</v>
      </c>
      <c r="AA44" s="5">
        <f>+'26'!H119</f>
        <v>0</v>
      </c>
      <c r="AB44" s="5">
        <f>+'27'!H119</f>
        <v>0</v>
      </c>
      <c r="AC44" s="5">
        <f>+'28'!H119</f>
        <v>0</v>
      </c>
      <c r="AD44" s="5">
        <f>+'29'!H119</f>
        <v>0</v>
      </c>
      <c r="AE44" s="5">
        <f>+'30'!H119</f>
        <v>0</v>
      </c>
      <c r="AF44" s="70">
        <f>+'31'!H119</f>
        <v>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36" t="str">
        <f>+Input!A73</f>
        <v xml:space="preserve"> - La Concord</v>
      </c>
      <c r="B45" s="5">
        <f>+'1'!H120</f>
        <v>0</v>
      </c>
      <c r="C45" s="5">
        <f>+'2'!H120</f>
        <v>0</v>
      </c>
      <c r="D45" s="5">
        <f>+'3'!H120</f>
        <v>0</v>
      </c>
      <c r="E45" s="5">
        <f>+'4'!H120</f>
        <v>0</v>
      </c>
      <c r="F45" s="5">
        <f>+'5'!H120</f>
        <v>0</v>
      </c>
      <c r="G45" s="5">
        <f>+'6'!H120</f>
        <v>0</v>
      </c>
      <c r="H45" s="5">
        <f>+'7'!H120</f>
        <v>0</v>
      </c>
      <c r="I45" s="5">
        <f>+'8'!H120</f>
        <v>0</v>
      </c>
      <c r="J45" s="5">
        <f>+'9'!H120</f>
        <v>0</v>
      </c>
      <c r="K45" s="5">
        <f>+'10'!H120</f>
        <v>0</v>
      </c>
      <c r="L45" s="5">
        <f>+'11'!H120</f>
        <v>0</v>
      </c>
      <c r="M45" s="5">
        <f>+'12'!H120</f>
        <v>0</v>
      </c>
      <c r="N45" s="5">
        <f>+'13'!H120</f>
        <v>0</v>
      </c>
      <c r="O45" s="5">
        <f>+'14'!H120</f>
        <v>0</v>
      </c>
      <c r="P45" s="5">
        <f>+'15'!H120</f>
        <v>0</v>
      </c>
      <c r="Q45" s="5">
        <f>+'16'!H120</f>
        <v>0</v>
      </c>
      <c r="R45" s="5">
        <f>+'17'!H120</f>
        <v>0</v>
      </c>
      <c r="S45" s="5">
        <f>+'18'!H120</f>
        <v>0</v>
      </c>
      <c r="T45" s="5">
        <f>+'19'!H120</f>
        <v>0</v>
      </c>
      <c r="U45" s="5">
        <f>+'20'!H120</f>
        <v>0</v>
      </c>
      <c r="V45" s="5">
        <f>+'21'!H120</f>
        <v>0</v>
      </c>
      <c r="W45" s="5">
        <f>+'22'!H120</f>
        <v>0</v>
      </c>
      <c r="X45" s="5">
        <f>+'23'!H120</f>
        <v>0</v>
      </c>
      <c r="Y45" s="5">
        <f>+'24'!H120</f>
        <v>0</v>
      </c>
      <c r="Z45" s="5">
        <f>+'25'!H120</f>
        <v>0</v>
      </c>
      <c r="AA45" s="5">
        <f>+'26'!H120</f>
        <v>0</v>
      </c>
      <c r="AB45" s="5">
        <f>+'27'!H120</f>
        <v>0</v>
      </c>
      <c r="AC45" s="5">
        <f>+'28'!H120</f>
        <v>0</v>
      </c>
      <c r="AD45" s="5">
        <f>+'29'!H120</f>
        <v>0</v>
      </c>
      <c r="AE45" s="5">
        <f>+'30'!H120</f>
        <v>0</v>
      </c>
      <c r="AF45" s="70">
        <f>+'31'!H120</f>
        <v>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36" t="str">
        <f>+Input!A74</f>
        <v xml:space="preserve"> - Lasaffre</v>
      </c>
      <c r="B46" s="5">
        <f>+'1'!H121</f>
        <v>0</v>
      </c>
      <c r="C46" s="5">
        <f>+'2'!H121</f>
        <v>0</v>
      </c>
      <c r="D46" s="5">
        <f>+'3'!H121</f>
        <v>0</v>
      </c>
      <c r="E46" s="5">
        <f>+'4'!H121</f>
        <v>0</v>
      </c>
      <c r="F46" s="5">
        <f>+'5'!H121</f>
        <v>0</v>
      </c>
      <c r="G46" s="5">
        <f>+'6'!H121</f>
        <v>0</v>
      </c>
      <c r="H46" s="5">
        <f>+'7'!H121</f>
        <v>0</v>
      </c>
      <c r="I46" s="5">
        <f>+'8'!H121</f>
        <v>0</v>
      </c>
      <c r="J46" s="5">
        <f>+'9'!H121</f>
        <v>0</v>
      </c>
      <c r="K46" s="5">
        <f>+'10'!H121</f>
        <v>0</v>
      </c>
      <c r="L46" s="5">
        <f>+'11'!H121</f>
        <v>0</v>
      </c>
      <c r="M46" s="5">
        <f>+'12'!H121</f>
        <v>0</v>
      </c>
      <c r="N46" s="5">
        <f>+'13'!H121</f>
        <v>0</v>
      </c>
      <c r="O46" s="5">
        <f>+'14'!H121</f>
        <v>0</v>
      </c>
      <c r="P46" s="5">
        <f>+'15'!H121</f>
        <v>0</v>
      </c>
      <c r="Q46" s="5">
        <f>+'16'!H121</f>
        <v>0</v>
      </c>
      <c r="R46" s="5">
        <f>+'17'!H121</f>
        <v>0</v>
      </c>
      <c r="S46" s="5">
        <f>+'18'!H121</f>
        <v>0</v>
      </c>
      <c r="T46" s="5">
        <f>+'19'!H121</f>
        <v>0</v>
      </c>
      <c r="U46" s="5">
        <f>+'20'!H121</f>
        <v>0</v>
      </c>
      <c r="V46" s="5">
        <f>+'21'!H121</f>
        <v>0</v>
      </c>
      <c r="W46" s="5">
        <f>+'22'!H121</f>
        <v>0</v>
      </c>
      <c r="X46" s="5">
        <f>+'23'!H121</f>
        <v>0</v>
      </c>
      <c r="Y46" s="5">
        <f>+'24'!H121</f>
        <v>0</v>
      </c>
      <c r="Z46" s="5">
        <f>+'25'!H121</f>
        <v>0</v>
      </c>
      <c r="AA46" s="5">
        <f>+'26'!H121</f>
        <v>0</v>
      </c>
      <c r="AB46" s="5">
        <f>+'27'!H121</f>
        <v>0</v>
      </c>
      <c r="AC46" s="5">
        <f>+'28'!H121</f>
        <v>0</v>
      </c>
      <c r="AD46" s="5">
        <f>+'29'!H121</f>
        <v>0</v>
      </c>
      <c r="AE46" s="5">
        <f>+'30'!H121</f>
        <v>0</v>
      </c>
      <c r="AF46" s="70">
        <f>+'31'!H121</f>
        <v>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36" t="str">
        <f>+Input!A75</f>
        <v xml:space="preserve"> - Lettuse Eat</v>
      </c>
      <c r="B47" s="5">
        <f>+'1'!H122</f>
        <v>0</v>
      </c>
      <c r="C47" s="5">
        <f>+'2'!H122</f>
        <v>0</v>
      </c>
      <c r="D47" s="5">
        <f>+'3'!H122</f>
        <v>0</v>
      </c>
      <c r="E47" s="5">
        <f>+'4'!H122</f>
        <v>0</v>
      </c>
      <c r="F47" s="5">
        <f>+'5'!H122</f>
        <v>0</v>
      </c>
      <c r="G47" s="5">
        <f>+'6'!H122</f>
        <v>0</v>
      </c>
      <c r="H47" s="5">
        <f>+'7'!H122</f>
        <v>0</v>
      </c>
      <c r="I47" s="5">
        <f>+'8'!H122</f>
        <v>0</v>
      </c>
      <c r="J47" s="5">
        <f>+'9'!H122</f>
        <v>0</v>
      </c>
      <c r="K47" s="5">
        <f>+'10'!H122</f>
        <v>0</v>
      </c>
      <c r="L47" s="5">
        <f>+'11'!H122</f>
        <v>0</v>
      </c>
      <c r="M47" s="5">
        <f>+'12'!H122</f>
        <v>0</v>
      </c>
      <c r="N47" s="5">
        <f>+'13'!H122</f>
        <v>0</v>
      </c>
      <c r="O47" s="5">
        <f>+'14'!H122</f>
        <v>0</v>
      </c>
      <c r="P47" s="5">
        <f>+'15'!H122</f>
        <v>0</v>
      </c>
      <c r="Q47" s="5">
        <f>+'16'!H122</f>
        <v>0</v>
      </c>
      <c r="R47" s="5">
        <f>+'17'!H122</f>
        <v>0</v>
      </c>
      <c r="S47" s="5">
        <f>+'18'!H122</f>
        <v>0</v>
      </c>
      <c r="T47" s="5">
        <f>+'19'!H122</f>
        <v>0</v>
      </c>
      <c r="U47" s="5">
        <f>+'20'!H122</f>
        <v>0</v>
      </c>
      <c r="V47" s="5">
        <f>+'21'!H122</f>
        <v>0</v>
      </c>
      <c r="W47" s="5">
        <f>+'22'!H122</f>
        <v>0</v>
      </c>
      <c r="X47" s="5">
        <f>+'23'!H122</f>
        <v>0</v>
      </c>
      <c r="Y47" s="5">
        <f>+'24'!H122</f>
        <v>0</v>
      </c>
      <c r="Z47" s="5">
        <f>+'25'!H122</f>
        <v>0</v>
      </c>
      <c r="AA47" s="5">
        <f>+'26'!H122</f>
        <v>0</v>
      </c>
      <c r="AB47" s="5">
        <f>+'27'!H122</f>
        <v>0</v>
      </c>
      <c r="AC47" s="5">
        <f>+'28'!H122</f>
        <v>0</v>
      </c>
      <c r="AD47" s="5">
        <f>+'29'!H122</f>
        <v>0</v>
      </c>
      <c r="AE47" s="5">
        <f>+'30'!H122</f>
        <v>0</v>
      </c>
      <c r="AF47" s="70">
        <f>+'31'!H122</f>
        <v>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36" t="str">
        <f>+Input!A76</f>
        <v xml:space="preserve"> - Makro</v>
      </c>
      <c r="B48" s="5">
        <f>+'1'!H123</f>
        <v>0</v>
      </c>
      <c r="C48" s="5">
        <f>+'2'!H123</f>
        <v>0</v>
      </c>
      <c r="D48" s="5">
        <f>+'3'!H123</f>
        <v>0</v>
      </c>
      <c r="E48" s="5">
        <f>+'4'!H123</f>
        <v>0</v>
      </c>
      <c r="F48" s="5">
        <f>+'5'!H123</f>
        <v>0</v>
      </c>
      <c r="G48" s="5">
        <f>+'6'!H123</f>
        <v>0</v>
      </c>
      <c r="H48" s="5">
        <f>+'7'!H123</f>
        <v>0</v>
      </c>
      <c r="I48" s="5">
        <f>+'8'!H123</f>
        <v>0</v>
      </c>
      <c r="J48" s="5">
        <f>+'9'!H123</f>
        <v>0</v>
      </c>
      <c r="K48" s="5">
        <f>+'10'!H123</f>
        <v>0</v>
      </c>
      <c r="L48" s="5">
        <f>+'11'!H123</f>
        <v>0</v>
      </c>
      <c r="M48" s="5">
        <f>+'12'!H123</f>
        <v>0</v>
      </c>
      <c r="N48" s="5">
        <f>+'13'!H123</f>
        <v>0</v>
      </c>
      <c r="O48" s="5">
        <f>+'14'!H123</f>
        <v>0</v>
      </c>
      <c r="P48" s="5">
        <f>+'15'!H123</f>
        <v>0</v>
      </c>
      <c r="Q48" s="5">
        <f>+'16'!H123</f>
        <v>0</v>
      </c>
      <c r="R48" s="5">
        <f>+'17'!H123</f>
        <v>0</v>
      </c>
      <c r="S48" s="5">
        <f>+'18'!H123</f>
        <v>0</v>
      </c>
      <c r="T48" s="5">
        <f>+'19'!H123</f>
        <v>0</v>
      </c>
      <c r="U48" s="5">
        <f>+'20'!H123</f>
        <v>0</v>
      </c>
      <c r="V48" s="5">
        <f>+'21'!H123</f>
        <v>0</v>
      </c>
      <c r="W48" s="5">
        <f>+'22'!H123</f>
        <v>0</v>
      </c>
      <c r="X48" s="5">
        <f>+'23'!H123</f>
        <v>0</v>
      </c>
      <c r="Y48" s="5">
        <f>+'24'!H123</f>
        <v>0</v>
      </c>
      <c r="Z48" s="5">
        <f>+'25'!H123</f>
        <v>0</v>
      </c>
      <c r="AA48" s="5">
        <f>+'26'!H123</f>
        <v>0</v>
      </c>
      <c r="AB48" s="5">
        <f>+'27'!H123</f>
        <v>0</v>
      </c>
      <c r="AC48" s="5">
        <f>+'28'!H123</f>
        <v>0</v>
      </c>
      <c r="AD48" s="5">
        <f>+'29'!H123</f>
        <v>0</v>
      </c>
      <c r="AE48" s="5">
        <f>+'30'!H123</f>
        <v>0</v>
      </c>
      <c r="AF48" s="70">
        <f>+'31'!H123</f>
        <v>0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36" t="str">
        <f>+Input!A77</f>
        <v xml:space="preserve"> - Ola</v>
      </c>
      <c r="B49" s="5">
        <f>+'1'!H124</f>
        <v>0</v>
      </c>
      <c r="C49" s="5">
        <f>+'2'!H124</f>
        <v>0</v>
      </c>
      <c r="D49" s="5">
        <f>+'3'!H124</f>
        <v>0</v>
      </c>
      <c r="E49" s="5">
        <f>+'4'!H124</f>
        <v>0</v>
      </c>
      <c r="F49" s="5">
        <f>+'5'!H124</f>
        <v>0</v>
      </c>
      <c r="G49" s="5">
        <f>+'6'!H124</f>
        <v>0</v>
      </c>
      <c r="H49" s="5">
        <f>+'7'!H124</f>
        <v>0</v>
      </c>
      <c r="I49" s="5">
        <f>+'8'!H124</f>
        <v>0</v>
      </c>
      <c r="J49" s="5">
        <f>+'9'!H124</f>
        <v>0</v>
      </c>
      <c r="K49" s="5">
        <f>+'10'!H124</f>
        <v>0</v>
      </c>
      <c r="L49" s="5">
        <f>+'11'!H124</f>
        <v>0</v>
      </c>
      <c r="M49" s="5">
        <f>+'12'!H124</f>
        <v>0</v>
      </c>
      <c r="N49" s="5">
        <f>+'13'!H124</f>
        <v>0</v>
      </c>
      <c r="O49" s="5">
        <f>+'14'!H124</f>
        <v>0</v>
      </c>
      <c r="P49" s="5">
        <f>+'15'!H124</f>
        <v>0</v>
      </c>
      <c r="Q49" s="5">
        <f>+'16'!H124</f>
        <v>0</v>
      </c>
      <c r="R49" s="5">
        <f>+'17'!H124</f>
        <v>0</v>
      </c>
      <c r="S49" s="5">
        <f>+'18'!H124</f>
        <v>0</v>
      </c>
      <c r="T49" s="5">
        <f>+'19'!H124</f>
        <v>0</v>
      </c>
      <c r="U49" s="5">
        <f>+'20'!H124</f>
        <v>0</v>
      </c>
      <c r="V49" s="5">
        <f>+'21'!H124</f>
        <v>0</v>
      </c>
      <c r="W49" s="5">
        <f>+'22'!H124</f>
        <v>0</v>
      </c>
      <c r="X49" s="5">
        <f>+'23'!H124</f>
        <v>0</v>
      </c>
      <c r="Y49" s="5">
        <f>+'24'!H124</f>
        <v>0</v>
      </c>
      <c r="Z49" s="5">
        <f>+'25'!H124</f>
        <v>0</v>
      </c>
      <c r="AA49" s="5">
        <f>+'26'!H124</f>
        <v>0</v>
      </c>
      <c r="AB49" s="5">
        <f>+'27'!H124</f>
        <v>0</v>
      </c>
      <c r="AC49" s="5">
        <f>+'28'!H124</f>
        <v>0</v>
      </c>
      <c r="AD49" s="5">
        <f>+'29'!H124</f>
        <v>0</v>
      </c>
      <c r="AE49" s="5">
        <f>+'30'!H124</f>
        <v>0</v>
      </c>
      <c r="AF49" s="70">
        <f>+'31'!H124</f>
        <v>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36" t="str">
        <f>+Input!A78</f>
        <v xml:space="preserve"> - RFP Distributors</v>
      </c>
      <c r="B50" s="5">
        <f>+'1'!H125</f>
        <v>0</v>
      </c>
      <c r="C50" s="5">
        <f>+'2'!H125</f>
        <v>0</v>
      </c>
      <c r="D50" s="5">
        <f>+'3'!H125</f>
        <v>0</v>
      </c>
      <c r="E50" s="5">
        <f>+'4'!H125</f>
        <v>0</v>
      </c>
      <c r="F50" s="5">
        <f>+'5'!H125</f>
        <v>0</v>
      </c>
      <c r="G50" s="5">
        <f>+'6'!H125</f>
        <v>0</v>
      </c>
      <c r="H50" s="5">
        <f>+'7'!H125</f>
        <v>0</v>
      </c>
      <c r="I50" s="5">
        <f>+'8'!H125</f>
        <v>0</v>
      </c>
      <c r="J50" s="5">
        <f>+'9'!H125</f>
        <v>0</v>
      </c>
      <c r="K50" s="5">
        <f>+'10'!H125</f>
        <v>0</v>
      </c>
      <c r="L50" s="5">
        <f>+'11'!H125</f>
        <v>0</v>
      </c>
      <c r="M50" s="5">
        <f>+'12'!H125</f>
        <v>0</v>
      </c>
      <c r="N50" s="5">
        <f>+'13'!H125</f>
        <v>0</v>
      </c>
      <c r="O50" s="5">
        <f>+'14'!H125</f>
        <v>0</v>
      </c>
      <c r="P50" s="5">
        <f>+'15'!H125</f>
        <v>0</v>
      </c>
      <c r="Q50" s="5">
        <f>+'16'!H125</f>
        <v>0</v>
      </c>
      <c r="R50" s="5">
        <f>+'17'!H125</f>
        <v>0</v>
      </c>
      <c r="S50" s="5">
        <f>+'18'!H125</f>
        <v>0</v>
      </c>
      <c r="T50" s="5">
        <f>+'19'!H125</f>
        <v>0</v>
      </c>
      <c r="U50" s="5">
        <f>+'20'!H125</f>
        <v>0</v>
      </c>
      <c r="V50" s="5">
        <f>+'21'!H125</f>
        <v>0</v>
      </c>
      <c r="W50" s="5">
        <f>+'22'!H125</f>
        <v>0</v>
      </c>
      <c r="X50" s="5">
        <f>+'23'!H125</f>
        <v>0</v>
      </c>
      <c r="Y50" s="5">
        <f>+'24'!H125</f>
        <v>0</v>
      </c>
      <c r="Z50" s="5">
        <f>+'25'!H125</f>
        <v>0</v>
      </c>
      <c r="AA50" s="5">
        <f>+'26'!H125</f>
        <v>0</v>
      </c>
      <c r="AB50" s="5">
        <f>+'27'!H125</f>
        <v>0</v>
      </c>
      <c r="AC50" s="5">
        <f>+'28'!H125</f>
        <v>0</v>
      </c>
      <c r="AD50" s="5">
        <f>+'29'!H125</f>
        <v>0</v>
      </c>
      <c r="AE50" s="5">
        <f>+'30'!H125</f>
        <v>0</v>
      </c>
      <c r="AF50" s="70">
        <f>+'31'!H125</f>
        <v>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36" t="str">
        <f>+Input!A79</f>
        <v xml:space="preserve"> - Rulerite</v>
      </c>
      <c r="B51" s="5">
        <f>+'1'!H126</f>
        <v>0</v>
      </c>
      <c r="C51" s="5">
        <f>+'2'!H126</f>
        <v>0</v>
      </c>
      <c r="D51" s="5">
        <f>+'3'!H126</f>
        <v>0</v>
      </c>
      <c r="E51" s="5">
        <f>+'4'!H126</f>
        <v>0</v>
      </c>
      <c r="F51" s="5">
        <f>+'5'!H126</f>
        <v>0</v>
      </c>
      <c r="G51" s="5">
        <f>+'6'!H126</f>
        <v>0</v>
      </c>
      <c r="H51" s="5">
        <f>+'7'!H126</f>
        <v>0</v>
      </c>
      <c r="I51" s="5">
        <f>+'8'!H126</f>
        <v>0</v>
      </c>
      <c r="J51" s="5">
        <f>+'9'!H126</f>
        <v>0</v>
      </c>
      <c r="K51" s="5">
        <f>+'10'!H126</f>
        <v>0</v>
      </c>
      <c r="L51" s="5">
        <f>+'11'!H126</f>
        <v>0</v>
      </c>
      <c r="M51" s="5">
        <f>+'12'!H126</f>
        <v>0</v>
      </c>
      <c r="N51" s="5">
        <f>+'13'!H126</f>
        <v>0</v>
      </c>
      <c r="O51" s="5">
        <f>+'14'!H126</f>
        <v>0</v>
      </c>
      <c r="P51" s="5">
        <f>+'15'!H126</f>
        <v>0</v>
      </c>
      <c r="Q51" s="5">
        <f>+'16'!H126</f>
        <v>0</v>
      </c>
      <c r="R51" s="5">
        <f>+'17'!H126</f>
        <v>0</v>
      </c>
      <c r="S51" s="5">
        <f>+'18'!H126</f>
        <v>0</v>
      </c>
      <c r="T51" s="5">
        <f>+'19'!H126</f>
        <v>0</v>
      </c>
      <c r="U51" s="5">
        <f>+'20'!H126</f>
        <v>0</v>
      </c>
      <c r="V51" s="5">
        <f>+'21'!H126</f>
        <v>0</v>
      </c>
      <c r="W51" s="5">
        <f>+'22'!H126</f>
        <v>0</v>
      </c>
      <c r="X51" s="5">
        <f>+'23'!H126</f>
        <v>0</v>
      </c>
      <c r="Y51" s="5">
        <f>+'24'!H126</f>
        <v>0</v>
      </c>
      <c r="Z51" s="5">
        <f>+'25'!H126</f>
        <v>0</v>
      </c>
      <c r="AA51" s="5">
        <f>+'26'!H126</f>
        <v>0</v>
      </c>
      <c r="AB51" s="5">
        <f>+'27'!H126</f>
        <v>0</v>
      </c>
      <c r="AC51" s="5">
        <f>+'28'!H126</f>
        <v>0</v>
      </c>
      <c r="AD51" s="5">
        <f>+'29'!H126</f>
        <v>0</v>
      </c>
      <c r="AE51" s="5">
        <f>+'30'!H126</f>
        <v>0</v>
      </c>
      <c r="AF51" s="70">
        <f>+'31'!H126</f>
        <v>0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36" t="str">
        <f>+Input!A80</f>
        <v xml:space="preserve"> - Sasko</v>
      </c>
      <c r="B52" s="5">
        <f>+'1'!H127</f>
        <v>0</v>
      </c>
      <c r="C52" s="5">
        <f>+'2'!H127</f>
        <v>0</v>
      </c>
      <c r="D52" s="5">
        <f>+'3'!H127</f>
        <v>0</v>
      </c>
      <c r="E52" s="5">
        <f>+'4'!H127</f>
        <v>0</v>
      </c>
      <c r="F52" s="5">
        <f>+'5'!H127</f>
        <v>0</v>
      </c>
      <c r="G52" s="5">
        <f>+'6'!H127</f>
        <v>0</v>
      </c>
      <c r="H52" s="5">
        <f>+'7'!H127</f>
        <v>0</v>
      </c>
      <c r="I52" s="5">
        <f>+'8'!H127</f>
        <v>0</v>
      </c>
      <c r="J52" s="5">
        <f>+'9'!H127</f>
        <v>0</v>
      </c>
      <c r="K52" s="5">
        <f>+'10'!H127</f>
        <v>0</v>
      </c>
      <c r="L52" s="5">
        <f>+'11'!H127</f>
        <v>0</v>
      </c>
      <c r="M52" s="5">
        <f>+'12'!H127</f>
        <v>0</v>
      </c>
      <c r="N52" s="5">
        <f>+'13'!H127</f>
        <v>0</v>
      </c>
      <c r="O52" s="5">
        <f>+'14'!H127</f>
        <v>0</v>
      </c>
      <c r="P52" s="5">
        <f>+'15'!H127</f>
        <v>0</v>
      </c>
      <c r="Q52" s="5">
        <f>+'16'!H127</f>
        <v>0</v>
      </c>
      <c r="R52" s="5">
        <f>+'17'!H127</f>
        <v>0</v>
      </c>
      <c r="S52" s="5">
        <f>+'18'!H127</f>
        <v>0</v>
      </c>
      <c r="T52" s="5">
        <f>+'19'!H127</f>
        <v>0</v>
      </c>
      <c r="U52" s="5">
        <f>+'20'!H127</f>
        <v>0</v>
      </c>
      <c r="V52" s="5">
        <f>+'21'!H127</f>
        <v>0</v>
      </c>
      <c r="W52" s="5">
        <f>+'22'!H127</f>
        <v>0</v>
      </c>
      <c r="X52" s="5">
        <f>+'23'!H127</f>
        <v>0</v>
      </c>
      <c r="Y52" s="5">
        <f>+'24'!H127</f>
        <v>0</v>
      </c>
      <c r="Z52" s="5">
        <f>+'25'!H127</f>
        <v>0</v>
      </c>
      <c r="AA52" s="5">
        <f>+'26'!H127</f>
        <v>0</v>
      </c>
      <c r="AB52" s="5">
        <f>+'27'!H127</f>
        <v>0</v>
      </c>
      <c r="AC52" s="5">
        <f>+'28'!H127</f>
        <v>0</v>
      </c>
      <c r="AD52" s="5">
        <f>+'29'!H127</f>
        <v>0</v>
      </c>
      <c r="AE52" s="5">
        <f>+'30'!H127</f>
        <v>0</v>
      </c>
      <c r="AF52" s="70">
        <f>+'31'!H127</f>
        <v>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36" t="str">
        <f>+Input!A81</f>
        <v xml:space="preserve"> - Sondela Eggs</v>
      </c>
      <c r="B53" s="5">
        <f>+'1'!H128</f>
        <v>0</v>
      </c>
      <c r="C53" s="5">
        <f>+'2'!H128</f>
        <v>0</v>
      </c>
      <c r="D53" s="5">
        <f>+'3'!H128</f>
        <v>0</v>
      </c>
      <c r="E53" s="5">
        <f>+'4'!H128</f>
        <v>0</v>
      </c>
      <c r="F53" s="5">
        <f>+'5'!H128</f>
        <v>0</v>
      </c>
      <c r="G53" s="5">
        <f>+'6'!H128</f>
        <v>0</v>
      </c>
      <c r="H53" s="5">
        <f>+'7'!H128</f>
        <v>0</v>
      </c>
      <c r="I53" s="5">
        <f>+'8'!H128</f>
        <v>0</v>
      </c>
      <c r="J53" s="5">
        <f>+'9'!H128</f>
        <v>0</v>
      </c>
      <c r="K53" s="5">
        <f>+'10'!H128</f>
        <v>0</v>
      </c>
      <c r="L53" s="5">
        <f>+'11'!H128</f>
        <v>0</v>
      </c>
      <c r="M53" s="5">
        <f>+'12'!H128</f>
        <v>0</v>
      </c>
      <c r="N53" s="5">
        <f>+'13'!H128</f>
        <v>0</v>
      </c>
      <c r="O53" s="5">
        <f>+'14'!H128</f>
        <v>0</v>
      </c>
      <c r="P53" s="5">
        <f>+'15'!H128</f>
        <v>0</v>
      </c>
      <c r="Q53" s="5">
        <f>+'16'!H128</f>
        <v>0</v>
      </c>
      <c r="R53" s="5">
        <f>+'17'!H128</f>
        <v>0</v>
      </c>
      <c r="S53" s="5">
        <f>+'18'!H128</f>
        <v>0</v>
      </c>
      <c r="T53" s="5">
        <f>+'19'!H128</f>
        <v>0</v>
      </c>
      <c r="U53" s="5">
        <f>+'20'!H128</f>
        <v>0</v>
      </c>
      <c r="V53" s="5">
        <f>+'21'!H128</f>
        <v>0</v>
      </c>
      <c r="W53" s="5">
        <f>+'22'!H128</f>
        <v>0</v>
      </c>
      <c r="X53" s="5">
        <f>+'23'!H128</f>
        <v>0</v>
      </c>
      <c r="Y53" s="5">
        <f>+'24'!H128</f>
        <v>0</v>
      </c>
      <c r="Z53" s="5">
        <f>+'25'!H128</f>
        <v>0</v>
      </c>
      <c r="AA53" s="5">
        <f>+'26'!H128</f>
        <v>0</v>
      </c>
      <c r="AB53" s="5">
        <f>+'27'!H128</f>
        <v>0</v>
      </c>
      <c r="AC53" s="5">
        <f>+'28'!H128</f>
        <v>0</v>
      </c>
      <c r="AD53" s="5">
        <f>+'29'!H128</f>
        <v>0</v>
      </c>
      <c r="AE53" s="5">
        <f>+'30'!H128</f>
        <v>0</v>
      </c>
      <c r="AF53" s="70">
        <f>+'31'!H128</f>
        <v>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36" t="str">
        <f>+Input!A82</f>
        <v xml:space="preserve"> - Spar</v>
      </c>
      <c r="B54" s="5">
        <f>+'1'!H129</f>
        <v>0</v>
      </c>
      <c r="C54" s="5">
        <f>+'2'!H129</f>
        <v>0</v>
      </c>
      <c r="D54" s="5">
        <f>+'3'!H129</f>
        <v>0</v>
      </c>
      <c r="E54" s="5">
        <f>+'4'!H129</f>
        <v>0</v>
      </c>
      <c r="F54" s="5">
        <f>+'5'!H129</f>
        <v>0</v>
      </c>
      <c r="G54" s="5">
        <f>+'6'!H129</f>
        <v>0</v>
      </c>
      <c r="H54" s="5">
        <f>+'7'!H129</f>
        <v>0</v>
      </c>
      <c r="I54" s="5">
        <f>+'8'!H129</f>
        <v>0</v>
      </c>
      <c r="J54" s="5">
        <f>+'9'!H129</f>
        <v>0</v>
      </c>
      <c r="K54" s="5">
        <f>+'10'!H129</f>
        <v>0</v>
      </c>
      <c r="L54" s="5">
        <f>+'11'!H129</f>
        <v>0</v>
      </c>
      <c r="M54" s="5">
        <f>+'12'!H129</f>
        <v>0</v>
      </c>
      <c r="N54" s="5">
        <f>+'13'!H129</f>
        <v>0</v>
      </c>
      <c r="O54" s="5">
        <f>+'14'!H129</f>
        <v>0</v>
      </c>
      <c r="P54" s="5">
        <f>+'15'!H129</f>
        <v>0</v>
      </c>
      <c r="Q54" s="5">
        <f>+'16'!H129</f>
        <v>0</v>
      </c>
      <c r="R54" s="5">
        <f>+'17'!H129</f>
        <v>0</v>
      </c>
      <c r="S54" s="5">
        <f>+'18'!H129</f>
        <v>0</v>
      </c>
      <c r="T54" s="5">
        <f>+'19'!H129</f>
        <v>0</v>
      </c>
      <c r="U54" s="5">
        <f>+'20'!H129</f>
        <v>0</v>
      </c>
      <c r="V54" s="5">
        <f>+'21'!H129</f>
        <v>0</v>
      </c>
      <c r="W54" s="5">
        <f>+'22'!H129</f>
        <v>0</v>
      </c>
      <c r="X54" s="5">
        <f>+'23'!H129</f>
        <v>0</v>
      </c>
      <c r="Y54" s="5">
        <f>+'24'!H129</f>
        <v>0</v>
      </c>
      <c r="Z54" s="5">
        <f>+'25'!H129</f>
        <v>0</v>
      </c>
      <c r="AA54" s="5">
        <f>+'26'!H129</f>
        <v>0</v>
      </c>
      <c r="AB54" s="5">
        <f>+'27'!H129</f>
        <v>0</v>
      </c>
      <c r="AC54" s="5">
        <f>+'28'!H129</f>
        <v>0</v>
      </c>
      <c r="AD54" s="5">
        <f>+'29'!H129</f>
        <v>0</v>
      </c>
      <c r="AE54" s="5">
        <f>+'30'!H129</f>
        <v>0</v>
      </c>
      <c r="AF54" s="70">
        <f>+'31'!H129</f>
        <v>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36" t="str">
        <f>+Input!A83</f>
        <v xml:space="preserve"> - Sunbake</v>
      </c>
      <c r="B55" s="5">
        <f>+'1'!H130</f>
        <v>0</v>
      </c>
      <c r="C55" s="5">
        <f>+'2'!H130</f>
        <v>0</v>
      </c>
      <c r="D55" s="5">
        <f>+'3'!H130</f>
        <v>0</v>
      </c>
      <c r="E55" s="5">
        <f>+'4'!H130</f>
        <v>0</v>
      </c>
      <c r="F55" s="5">
        <f>+'5'!H130</f>
        <v>0</v>
      </c>
      <c r="G55" s="5">
        <f>+'6'!H130</f>
        <v>0</v>
      </c>
      <c r="H55" s="5">
        <f>+'7'!H130</f>
        <v>0</v>
      </c>
      <c r="I55" s="5">
        <f>+'8'!H130</f>
        <v>0</v>
      </c>
      <c r="J55" s="5">
        <f>+'9'!H130</f>
        <v>0</v>
      </c>
      <c r="K55" s="5">
        <f>+'10'!H130</f>
        <v>0</v>
      </c>
      <c r="L55" s="5">
        <f>+'11'!H130</f>
        <v>0</v>
      </c>
      <c r="M55" s="5">
        <f>+'12'!H130</f>
        <v>0</v>
      </c>
      <c r="N55" s="5">
        <f>+'13'!H130</f>
        <v>0</v>
      </c>
      <c r="O55" s="5">
        <f>+'14'!H130</f>
        <v>0</v>
      </c>
      <c r="P55" s="5">
        <f>+'15'!H130</f>
        <v>0</v>
      </c>
      <c r="Q55" s="5">
        <f>+'16'!H130</f>
        <v>0</v>
      </c>
      <c r="R55" s="5">
        <f>+'17'!H130</f>
        <v>0</v>
      </c>
      <c r="S55" s="5">
        <f>+'18'!H130</f>
        <v>0</v>
      </c>
      <c r="T55" s="5">
        <f>+'19'!H130</f>
        <v>0</v>
      </c>
      <c r="U55" s="5">
        <f>+'20'!H130</f>
        <v>0</v>
      </c>
      <c r="V55" s="5">
        <f>+'21'!H130</f>
        <v>0</v>
      </c>
      <c r="W55" s="5">
        <f>+'22'!H130</f>
        <v>0</v>
      </c>
      <c r="X55" s="5">
        <f>+'23'!H130</f>
        <v>0</v>
      </c>
      <c r="Y55" s="5">
        <f>+'24'!H130</f>
        <v>0</v>
      </c>
      <c r="Z55" s="5">
        <f>+'25'!H130</f>
        <v>0</v>
      </c>
      <c r="AA55" s="5">
        <f>+'26'!H130</f>
        <v>0</v>
      </c>
      <c r="AB55" s="5">
        <f>+'27'!H130</f>
        <v>0</v>
      </c>
      <c r="AC55" s="5">
        <f>+'28'!H130</f>
        <v>0</v>
      </c>
      <c r="AD55" s="5">
        <f>+'29'!H130</f>
        <v>0</v>
      </c>
      <c r="AE55" s="5">
        <f>+'30'!H130</f>
        <v>0</v>
      </c>
      <c r="AF55" s="70">
        <f>+'31'!H130</f>
        <v>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36" t="str">
        <f>+Input!A84</f>
        <v xml:space="preserve"> - Super Group (SG)</v>
      </c>
      <c r="B56" s="5">
        <f>+'1'!H131</f>
        <v>0</v>
      </c>
      <c r="C56" s="5">
        <f>+'2'!H131</f>
        <v>0</v>
      </c>
      <c r="D56" s="5">
        <f>+'3'!H131</f>
        <v>0</v>
      </c>
      <c r="E56" s="5">
        <f>+'4'!H131</f>
        <v>0</v>
      </c>
      <c r="F56" s="5">
        <f>+'5'!H131</f>
        <v>0</v>
      </c>
      <c r="G56" s="5">
        <f>+'6'!H131</f>
        <v>0</v>
      </c>
      <c r="H56" s="5">
        <f>+'7'!H131</f>
        <v>0</v>
      </c>
      <c r="I56" s="5">
        <f>+'8'!H131</f>
        <v>0</v>
      </c>
      <c r="J56" s="5">
        <f>+'9'!H131</f>
        <v>0</v>
      </c>
      <c r="K56" s="5">
        <f>+'10'!H131</f>
        <v>0</v>
      </c>
      <c r="L56" s="5">
        <f>+'11'!H131</f>
        <v>0</v>
      </c>
      <c r="M56" s="5">
        <f>+'12'!H131</f>
        <v>0</v>
      </c>
      <c r="N56" s="5">
        <f>+'13'!H131</f>
        <v>0</v>
      </c>
      <c r="O56" s="5">
        <f>+'14'!H131</f>
        <v>0</v>
      </c>
      <c r="P56" s="5">
        <f>+'15'!H131</f>
        <v>0</v>
      </c>
      <c r="Q56" s="5">
        <f>+'16'!H131</f>
        <v>0</v>
      </c>
      <c r="R56" s="5">
        <f>+'17'!H131</f>
        <v>0</v>
      </c>
      <c r="S56" s="5">
        <f>+'18'!H131</f>
        <v>0</v>
      </c>
      <c r="T56" s="5">
        <f>+'19'!H131</f>
        <v>0</v>
      </c>
      <c r="U56" s="5">
        <f>+'20'!H131</f>
        <v>0</v>
      </c>
      <c r="V56" s="5">
        <f>+'21'!H131</f>
        <v>0</v>
      </c>
      <c r="W56" s="5">
        <f>+'22'!H131</f>
        <v>0</v>
      </c>
      <c r="X56" s="5">
        <f>+'23'!H131</f>
        <v>0</v>
      </c>
      <c r="Y56" s="5">
        <f>+'24'!H131</f>
        <v>0</v>
      </c>
      <c r="Z56" s="5">
        <f>+'25'!H131</f>
        <v>0</v>
      </c>
      <c r="AA56" s="5">
        <f>+'26'!H131</f>
        <v>0</v>
      </c>
      <c r="AB56" s="5">
        <f>+'27'!H131</f>
        <v>0</v>
      </c>
      <c r="AC56" s="5">
        <f>+'28'!H131</f>
        <v>0</v>
      </c>
      <c r="AD56" s="5">
        <f>+'29'!H131</f>
        <v>0</v>
      </c>
      <c r="AE56" s="5">
        <f>+'30'!H131</f>
        <v>0</v>
      </c>
      <c r="AF56" s="70">
        <f>+'31'!H131</f>
        <v>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37" t="str">
        <f>+Input!A85</f>
        <v xml:space="preserve"> - W Convenience</v>
      </c>
      <c r="B57" s="58">
        <f>+'1'!H132</f>
        <v>0</v>
      </c>
      <c r="C57" s="58">
        <f>+'2'!H132</f>
        <v>0</v>
      </c>
      <c r="D57" s="58">
        <f>+'3'!H132</f>
        <v>0</v>
      </c>
      <c r="E57" s="58">
        <f>+'4'!H132</f>
        <v>0</v>
      </c>
      <c r="F57" s="58">
        <f>+'5'!H132</f>
        <v>0</v>
      </c>
      <c r="G57" s="58">
        <f>+'6'!H132</f>
        <v>0</v>
      </c>
      <c r="H57" s="58">
        <f>+'7'!H132</f>
        <v>0</v>
      </c>
      <c r="I57" s="58">
        <f>+'8'!H132</f>
        <v>0</v>
      </c>
      <c r="J57" s="58">
        <f>+'9'!H132</f>
        <v>0</v>
      </c>
      <c r="K57" s="58">
        <f>+'10'!H132</f>
        <v>0</v>
      </c>
      <c r="L57" s="58">
        <f>+'11'!H132</f>
        <v>0</v>
      </c>
      <c r="M57" s="58">
        <f>+'12'!H132</f>
        <v>0</v>
      </c>
      <c r="N57" s="58">
        <f>+'13'!H132</f>
        <v>0</v>
      </c>
      <c r="O57" s="58">
        <f>+'14'!H132</f>
        <v>0</v>
      </c>
      <c r="P57" s="58">
        <f>+'15'!H132</f>
        <v>0</v>
      </c>
      <c r="Q57" s="58">
        <f>+'16'!H132</f>
        <v>0</v>
      </c>
      <c r="R57" s="58">
        <f>+'17'!H132</f>
        <v>0</v>
      </c>
      <c r="S57" s="58">
        <f>+'18'!H132</f>
        <v>0</v>
      </c>
      <c r="T57" s="58">
        <f>+'19'!H132</f>
        <v>0</v>
      </c>
      <c r="U57" s="58">
        <f>+'20'!H132</f>
        <v>0</v>
      </c>
      <c r="V57" s="58">
        <f>+'21'!H132</f>
        <v>0</v>
      </c>
      <c r="W57" s="58">
        <f>+'22'!H132</f>
        <v>0</v>
      </c>
      <c r="X57" s="58">
        <f>+'23'!H132</f>
        <v>0</v>
      </c>
      <c r="Y57" s="58">
        <f>+'24'!H132</f>
        <v>0</v>
      </c>
      <c r="Z57" s="58">
        <f>+'25'!H132</f>
        <v>0</v>
      </c>
      <c r="AA57" s="58">
        <f>+'26'!H132</f>
        <v>0</v>
      </c>
      <c r="AB57" s="58">
        <f>+'27'!H132</f>
        <v>0</v>
      </c>
      <c r="AC57" s="58">
        <f>+'28'!H132</f>
        <v>0</v>
      </c>
      <c r="AD57" s="58">
        <f>+'29'!H132</f>
        <v>0</v>
      </c>
      <c r="AE57" s="58">
        <f>+'30'!H132</f>
        <v>0</v>
      </c>
      <c r="AF57" s="59">
        <f>+'31'!H132</f>
        <v>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235" t="s">
        <v>207</v>
      </c>
      <c r="B58" s="139">
        <f>SUM(B27:B57)</f>
        <v>0</v>
      </c>
      <c r="C58" s="195">
        <f t="shared" ref="C58:AF58" si="3">SUM(C27:C57)</f>
        <v>0</v>
      </c>
      <c r="D58" s="195">
        <f t="shared" si="3"/>
        <v>0</v>
      </c>
      <c r="E58" s="195">
        <f t="shared" si="3"/>
        <v>0</v>
      </c>
      <c r="F58" s="195">
        <f t="shared" si="3"/>
        <v>0</v>
      </c>
      <c r="G58" s="195">
        <f t="shared" si="3"/>
        <v>0</v>
      </c>
      <c r="H58" s="195">
        <f t="shared" si="3"/>
        <v>0</v>
      </c>
      <c r="I58" s="195">
        <f t="shared" si="3"/>
        <v>0</v>
      </c>
      <c r="J58" s="195">
        <f t="shared" si="3"/>
        <v>0</v>
      </c>
      <c r="K58" s="195">
        <f t="shared" si="3"/>
        <v>0</v>
      </c>
      <c r="L58" s="195">
        <f t="shared" si="3"/>
        <v>0</v>
      </c>
      <c r="M58" s="195">
        <f t="shared" si="3"/>
        <v>0</v>
      </c>
      <c r="N58" s="195">
        <f t="shared" si="3"/>
        <v>0</v>
      </c>
      <c r="O58" s="195">
        <f t="shared" si="3"/>
        <v>0</v>
      </c>
      <c r="P58" s="195">
        <f t="shared" si="3"/>
        <v>0</v>
      </c>
      <c r="Q58" s="195">
        <f t="shared" si="3"/>
        <v>0</v>
      </c>
      <c r="R58" s="195">
        <f t="shared" si="3"/>
        <v>0</v>
      </c>
      <c r="S58" s="195">
        <f t="shared" si="3"/>
        <v>0</v>
      </c>
      <c r="T58" s="195">
        <f t="shared" si="3"/>
        <v>0</v>
      </c>
      <c r="U58" s="195">
        <f t="shared" si="3"/>
        <v>0</v>
      </c>
      <c r="V58" s="195">
        <f t="shared" si="3"/>
        <v>0</v>
      </c>
      <c r="W58" s="195">
        <f t="shared" si="3"/>
        <v>0</v>
      </c>
      <c r="X58" s="195">
        <f t="shared" si="3"/>
        <v>0</v>
      </c>
      <c r="Y58" s="195">
        <f t="shared" si="3"/>
        <v>0</v>
      </c>
      <c r="Z58" s="195">
        <f t="shared" si="3"/>
        <v>0</v>
      </c>
      <c r="AA58" s="195">
        <f t="shared" si="3"/>
        <v>0</v>
      </c>
      <c r="AB58" s="195">
        <f t="shared" si="3"/>
        <v>0</v>
      </c>
      <c r="AC58" s="195">
        <f t="shared" si="3"/>
        <v>0</v>
      </c>
      <c r="AD58" s="195">
        <f t="shared" si="3"/>
        <v>0</v>
      </c>
      <c r="AE58" s="195">
        <f t="shared" si="3"/>
        <v>0</v>
      </c>
      <c r="AF58" s="196">
        <f t="shared" si="3"/>
        <v>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125" t="s">
        <v>208</v>
      </c>
      <c r="B59" s="131">
        <f>+'1'!H101</f>
        <v>0</v>
      </c>
      <c r="C59" s="132">
        <f>+'2'!H101</f>
        <v>0</v>
      </c>
      <c r="D59" s="132">
        <f>+'3'!H101</f>
        <v>0</v>
      </c>
      <c r="E59" s="132">
        <f>+'4'!H101</f>
        <v>0</v>
      </c>
      <c r="F59" s="132">
        <f>+'5'!H101</f>
        <v>0</v>
      </c>
      <c r="G59" s="132">
        <f>+'6'!H101</f>
        <v>0</v>
      </c>
      <c r="H59" s="132">
        <f>+'7'!H101</f>
        <v>0</v>
      </c>
      <c r="I59" s="132">
        <f>+'8'!H101</f>
        <v>0</v>
      </c>
      <c r="J59" s="132">
        <f>+'9'!H101</f>
        <v>0</v>
      </c>
      <c r="K59" s="132">
        <f>+'10'!H101</f>
        <v>0</v>
      </c>
      <c r="L59" s="132">
        <f>+'11'!H101</f>
        <v>0</v>
      </c>
      <c r="M59" s="132">
        <f>+'12'!H101</f>
        <v>0</v>
      </c>
      <c r="N59" s="132">
        <f>+'13'!H101</f>
        <v>0</v>
      </c>
      <c r="O59" s="132">
        <f>+'14'!H101</f>
        <v>0</v>
      </c>
      <c r="P59" s="132">
        <f>+'15'!H101</f>
        <v>0</v>
      </c>
      <c r="Q59" s="132">
        <f>+'16'!H101</f>
        <v>0</v>
      </c>
      <c r="R59" s="132">
        <f>+'17'!H101</f>
        <v>0</v>
      </c>
      <c r="S59" s="132">
        <f>+'18'!H101</f>
        <v>0</v>
      </c>
      <c r="T59" s="132">
        <f>+'19'!H101</f>
        <v>0</v>
      </c>
      <c r="U59" s="132">
        <f>+'20'!H101</f>
        <v>0</v>
      </c>
      <c r="V59" s="132">
        <f>+'21'!H101</f>
        <v>0</v>
      </c>
      <c r="W59" s="132">
        <f>+'22'!H101</f>
        <v>0</v>
      </c>
      <c r="X59" s="132">
        <f>+'23'!H101</f>
        <v>0</v>
      </c>
      <c r="Y59" s="132">
        <f>+'24'!H101</f>
        <v>0</v>
      </c>
      <c r="Z59" s="132">
        <f>+'25'!H101</f>
        <v>0</v>
      </c>
      <c r="AA59" s="132">
        <f>+'26'!H101</f>
        <v>0</v>
      </c>
      <c r="AB59" s="132">
        <f>+'27'!H101</f>
        <v>0</v>
      </c>
      <c r="AC59" s="132">
        <f>+'28'!H101</f>
        <v>0</v>
      </c>
      <c r="AD59" s="132">
        <f>+'29'!H101</f>
        <v>0</v>
      </c>
      <c r="AE59" s="132">
        <f>+'30'!H101</f>
        <v>0</v>
      </c>
      <c r="AF59" s="133">
        <f>+'31'!H101</f>
        <v>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128" t="s">
        <v>209</v>
      </c>
      <c r="B60" s="192">
        <f>+B58-B59</f>
        <v>0</v>
      </c>
      <c r="C60" s="193">
        <f t="shared" ref="C60:AF60" si="4">+C58-C59</f>
        <v>0</v>
      </c>
      <c r="D60" s="193">
        <f t="shared" si="4"/>
        <v>0</v>
      </c>
      <c r="E60" s="193">
        <f t="shared" si="4"/>
        <v>0</v>
      </c>
      <c r="F60" s="193">
        <f t="shared" si="4"/>
        <v>0</v>
      </c>
      <c r="G60" s="193">
        <f t="shared" si="4"/>
        <v>0</v>
      </c>
      <c r="H60" s="193">
        <f t="shared" si="4"/>
        <v>0</v>
      </c>
      <c r="I60" s="193">
        <f t="shared" si="4"/>
        <v>0</v>
      </c>
      <c r="J60" s="193">
        <f t="shared" si="4"/>
        <v>0</v>
      </c>
      <c r="K60" s="193">
        <f t="shared" si="4"/>
        <v>0</v>
      </c>
      <c r="L60" s="193">
        <f t="shared" si="4"/>
        <v>0</v>
      </c>
      <c r="M60" s="193">
        <f t="shared" si="4"/>
        <v>0</v>
      </c>
      <c r="N60" s="193">
        <f t="shared" si="4"/>
        <v>0</v>
      </c>
      <c r="O60" s="193">
        <f t="shared" si="4"/>
        <v>0</v>
      </c>
      <c r="P60" s="193">
        <f t="shared" si="4"/>
        <v>0</v>
      </c>
      <c r="Q60" s="193">
        <f t="shared" si="4"/>
        <v>0</v>
      </c>
      <c r="R60" s="193">
        <f t="shared" si="4"/>
        <v>0</v>
      </c>
      <c r="S60" s="193">
        <f t="shared" si="4"/>
        <v>0</v>
      </c>
      <c r="T60" s="193">
        <f t="shared" si="4"/>
        <v>0</v>
      </c>
      <c r="U60" s="193">
        <f t="shared" si="4"/>
        <v>0</v>
      </c>
      <c r="V60" s="193">
        <f t="shared" si="4"/>
        <v>0</v>
      </c>
      <c r="W60" s="193">
        <f t="shared" si="4"/>
        <v>0</v>
      </c>
      <c r="X60" s="193">
        <f t="shared" si="4"/>
        <v>0</v>
      </c>
      <c r="Y60" s="193">
        <f t="shared" si="4"/>
        <v>0</v>
      </c>
      <c r="Z60" s="193">
        <f t="shared" si="4"/>
        <v>0</v>
      </c>
      <c r="AA60" s="193">
        <f t="shared" si="4"/>
        <v>0</v>
      </c>
      <c r="AB60" s="193">
        <f t="shared" si="4"/>
        <v>0</v>
      </c>
      <c r="AC60" s="193">
        <f t="shared" si="4"/>
        <v>0</v>
      </c>
      <c r="AD60" s="193">
        <f t="shared" si="4"/>
        <v>0</v>
      </c>
      <c r="AE60" s="193">
        <f t="shared" si="4"/>
        <v>0</v>
      </c>
      <c r="AF60" s="194">
        <f t="shared" si="4"/>
        <v>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97" t="s">
        <v>184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35" t="str">
        <f>+Input!A88</f>
        <v xml:space="preserve"> - Other 1</v>
      </c>
      <c r="B63" s="68">
        <f>+'1'!H136</f>
        <v>0</v>
      </c>
      <c r="C63" s="55">
        <f>+'2'!H136</f>
        <v>0</v>
      </c>
      <c r="D63" s="55">
        <f>+'3'!H136</f>
        <v>0</v>
      </c>
      <c r="E63" s="55">
        <f>+'4'!H136</f>
        <v>0</v>
      </c>
      <c r="F63" s="55">
        <f>+'5'!H136</f>
        <v>0</v>
      </c>
      <c r="G63" s="55">
        <f>+'6'!H136</f>
        <v>0</v>
      </c>
      <c r="H63" s="55">
        <f>+'7'!H136</f>
        <v>0</v>
      </c>
      <c r="I63" s="55">
        <f>+'8'!H136</f>
        <v>0</v>
      </c>
      <c r="J63" s="55">
        <f>+'9'!H136</f>
        <v>0</v>
      </c>
      <c r="K63" s="55">
        <f>+'10'!H136</f>
        <v>0</v>
      </c>
      <c r="L63" s="55">
        <f>+'11'!H136</f>
        <v>0</v>
      </c>
      <c r="M63" s="55">
        <f>+'12'!H136</f>
        <v>0</v>
      </c>
      <c r="N63" s="55">
        <f>+'13'!H136</f>
        <v>0</v>
      </c>
      <c r="O63" s="55">
        <f>+'14'!H136</f>
        <v>0</v>
      </c>
      <c r="P63" s="55">
        <f>+'15'!H136</f>
        <v>0</v>
      </c>
      <c r="Q63" s="55">
        <f>+'16'!H136</f>
        <v>0</v>
      </c>
      <c r="R63" s="55">
        <f>+'17'!H136</f>
        <v>0</v>
      </c>
      <c r="S63" s="55">
        <f>+'18'!H136</f>
        <v>0</v>
      </c>
      <c r="T63" s="55">
        <f>+'19'!H136</f>
        <v>0</v>
      </c>
      <c r="U63" s="55">
        <f>+'20'!H136</f>
        <v>0</v>
      </c>
      <c r="V63" s="55">
        <f>+'21'!H136</f>
        <v>0</v>
      </c>
      <c r="W63" s="55">
        <f>+'22'!H136</f>
        <v>0</v>
      </c>
      <c r="X63" s="55">
        <f>+'23'!H136</f>
        <v>0</v>
      </c>
      <c r="Y63" s="55">
        <f>+'24'!H136</f>
        <v>0</v>
      </c>
      <c r="Z63" s="55">
        <f>+'25'!H136</f>
        <v>0</v>
      </c>
      <c r="AA63" s="55">
        <f>+'26'!H136</f>
        <v>0</v>
      </c>
      <c r="AB63" s="55">
        <f>+'27'!H136</f>
        <v>0</v>
      </c>
      <c r="AC63" s="55">
        <f>+'28'!H136</f>
        <v>0</v>
      </c>
      <c r="AD63" s="55">
        <f>+'29'!H136</f>
        <v>0</v>
      </c>
      <c r="AE63" s="55">
        <f>+'30'!H136</f>
        <v>0</v>
      </c>
      <c r="AF63" s="56">
        <f>+'31'!H136</f>
        <v>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36" t="str">
        <f>+Input!A89</f>
        <v xml:space="preserve"> - Other 2</v>
      </c>
      <c r="B64" s="69">
        <f>+'1'!H137</f>
        <v>0</v>
      </c>
      <c r="C64" s="5">
        <f>+'2'!H137</f>
        <v>0</v>
      </c>
      <c r="D64" s="5">
        <f>+'3'!H137</f>
        <v>0</v>
      </c>
      <c r="E64" s="5">
        <f>+'4'!H137</f>
        <v>0</v>
      </c>
      <c r="F64" s="5">
        <f>+'5'!H137</f>
        <v>0</v>
      </c>
      <c r="G64" s="5">
        <f>+'6'!H137</f>
        <v>0</v>
      </c>
      <c r="H64" s="5">
        <f>+'7'!H137</f>
        <v>0</v>
      </c>
      <c r="I64" s="5">
        <f>+'8'!H137</f>
        <v>0</v>
      </c>
      <c r="J64" s="5">
        <f>+'9'!H137</f>
        <v>0</v>
      </c>
      <c r="K64" s="5">
        <f>+'10'!H137</f>
        <v>0</v>
      </c>
      <c r="L64" s="5">
        <f>+'11'!H137</f>
        <v>0</v>
      </c>
      <c r="M64" s="5">
        <f>+'12'!H137</f>
        <v>0</v>
      </c>
      <c r="N64" s="5">
        <f>+'13'!H137</f>
        <v>0</v>
      </c>
      <c r="O64" s="5">
        <f>+'14'!H137</f>
        <v>0</v>
      </c>
      <c r="P64" s="5">
        <f>+'15'!H137</f>
        <v>0</v>
      </c>
      <c r="Q64" s="5">
        <f>+'16'!H137</f>
        <v>0</v>
      </c>
      <c r="R64" s="5">
        <f>+'17'!H137</f>
        <v>0</v>
      </c>
      <c r="S64" s="5">
        <f>+'18'!H137</f>
        <v>0</v>
      </c>
      <c r="T64" s="5">
        <f>+'19'!H137</f>
        <v>0</v>
      </c>
      <c r="U64" s="5">
        <f>+'20'!H137</f>
        <v>0</v>
      </c>
      <c r="V64" s="5">
        <f>+'21'!H137</f>
        <v>0</v>
      </c>
      <c r="W64" s="5">
        <f>+'22'!H137</f>
        <v>0</v>
      </c>
      <c r="X64" s="5">
        <f>+'23'!H137</f>
        <v>0</v>
      </c>
      <c r="Y64" s="5">
        <f>+'24'!H137</f>
        <v>0</v>
      </c>
      <c r="Z64" s="5">
        <f>+'25'!H137</f>
        <v>0</v>
      </c>
      <c r="AA64" s="5">
        <f>+'26'!H137</f>
        <v>0</v>
      </c>
      <c r="AB64" s="5">
        <f>+'27'!H137</f>
        <v>0</v>
      </c>
      <c r="AC64" s="5">
        <f>+'28'!H137</f>
        <v>0</v>
      </c>
      <c r="AD64" s="5">
        <f>+'29'!H137</f>
        <v>0</v>
      </c>
      <c r="AE64" s="5">
        <f>+'30'!H137</f>
        <v>0</v>
      </c>
      <c r="AF64" s="70">
        <f>+'31'!H137</f>
        <v>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36" t="str">
        <f>+Input!A90</f>
        <v xml:space="preserve"> - Other 3</v>
      </c>
      <c r="B65" s="69">
        <f>+'1'!H138</f>
        <v>0</v>
      </c>
      <c r="C65" s="5">
        <f>+'2'!H138</f>
        <v>0</v>
      </c>
      <c r="D65" s="5">
        <f>+'3'!H138</f>
        <v>0</v>
      </c>
      <c r="E65" s="5">
        <f>+'4'!H138</f>
        <v>0</v>
      </c>
      <c r="F65" s="5">
        <f>+'5'!H138</f>
        <v>0</v>
      </c>
      <c r="G65" s="5">
        <f>+'6'!H138</f>
        <v>0</v>
      </c>
      <c r="H65" s="5">
        <f>+'7'!H138</f>
        <v>0</v>
      </c>
      <c r="I65" s="5">
        <f>+'8'!H138</f>
        <v>0</v>
      </c>
      <c r="J65" s="5">
        <f>+'9'!H138</f>
        <v>0</v>
      </c>
      <c r="K65" s="5">
        <f>+'10'!H138</f>
        <v>0</v>
      </c>
      <c r="L65" s="5">
        <f>+'11'!H138</f>
        <v>0</v>
      </c>
      <c r="M65" s="5">
        <f>+'12'!H138</f>
        <v>0</v>
      </c>
      <c r="N65" s="5">
        <f>+'13'!H138</f>
        <v>0</v>
      </c>
      <c r="O65" s="5">
        <f>+'14'!H138</f>
        <v>0</v>
      </c>
      <c r="P65" s="5">
        <f>+'15'!H138</f>
        <v>0</v>
      </c>
      <c r="Q65" s="5">
        <f>+'16'!H138</f>
        <v>0</v>
      </c>
      <c r="R65" s="5">
        <f>+'17'!H138</f>
        <v>0</v>
      </c>
      <c r="S65" s="5">
        <f>+'18'!H138</f>
        <v>0</v>
      </c>
      <c r="T65" s="5">
        <f>+'19'!H138</f>
        <v>0</v>
      </c>
      <c r="U65" s="5">
        <f>+'20'!H138</f>
        <v>0</v>
      </c>
      <c r="V65" s="5">
        <f>+'21'!H138</f>
        <v>0</v>
      </c>
      <c r="W65" s="5">
        <f>+'22'!H138</f>
        <v>0</v>
      </c>
      <c r="X65" s="5">
        <f>+'23'!H138</f>
        <v>0</v>
      </c>
      <c r="Y65" s="5">
        <f>+'24'!H138</f>
        <v>0</v>
      </c>
      <c r="Z65" s="5">
        <f>+'25'!H138</f>
        <v>0</v>
      </c>
      <c r="AA65" s="5">
        <f>+'26'!H138</f>
        <v>0</v>
      </c>
      <c r="AB65" s="5">
        <f>+'27'!H138</f>
        <v>0</v>
      </c>
      <c r="AC65" s="5">
        <f>+'28'!H138</f>
        <v>0</v>
      </c>
      <c r="AD65" s="5">
        <f>+'29'!H138</f>
        <v>0</v>
      </c>
      <c r="AE65" s="5">
        <f>+'30'!H138</f>
        <v>0</v>
      </c>
      <c r="AF65" s="70">
        <f>+'31'!H138</f>
        <v>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36" t="str">
        <f>+Input!A91</f>
        <v xml:space="preserve"> - Other 4</v>
      </c>
      <c r="B66" s="69">
        <f>+'1'!H139</f>
        <v>0</v>
      </c>
      <c r="C66" s="5">
        <f>+'2'!H139</f>
        <v>0</v>
      </c>
      <c r="D66" s="5">
        <f>+'3'!H139</f>
        <v>0</v>
      </c>
      <c r="E66" s="5">
        <f>+'4'!H139</f>
        <v>0</v>
      </c>
      <c r="F66" s="5">
        <f>+'5'!H139</f>
        <v>0</v>
      </c>
      <c r="G66" s="5">
        <f>+'6'!H139</f>
        <v>0</v>
      </c>
      <c r="H66" s="5">
        <f>+'7'!H139</f>
        <v>0</v>
      </c>
      <c r="I66" s="5">
        <f>+'8'!H139</f>
        <v>0</v>
      </c>
      <c r="J66" s="5">
        <f>+'9'!H139</f>
        <v>0</v>
      </c>
      <c r="K66" s="5">
        <f>+'10'!H139</f>
        <v>0</v>
      </c>
      <c r="L66" s="5">
        <f>+'11'!H139</f>
        <v>0</v>
      </c>
      <c r="M66" s="5">
        <f>+'12'!H139</f>
        <v>0</v>
      </c>
      <c r="N66" s="5">
        <f>+'13'!H139</f>
        <v>0</v>
      </c>
      <c r="O66" s="5">
        <f>+'14'!H139</f>
        <v>0</v>
      </c>
      <c r="P66" s="5">
        <f>+'15'!H139</f>
        <v>0</v>
      </c>
      <c r="Q66" s="5">
        <f>+'16'!H139</f>
        <v>0</v>
      </c>
      <c r="R66" s="5">
        <f>+'17'!H139</f>
        <v>0</v>
      </c>
      <c r="S66" s="5">
        <f>+'18'!H139</f>
        <v>0</v>
      </c>
      <c r="T66" s="5">
        <f>+'19'!H139</f>
        <v>0</v>
      </c>
      <c r="U66" s="5">
        <f>+'20'!H139</f>
        <v>0</v>
      </c>
      <c r="V66" s="5">
        <f>+'21'!H139</f>
        <v>0</v>
      </c>
      <c r="W66" s="5">
        <f>+'22'!H139</f>
        <v>0</v>
      </c>
      <c r="X66" s="5">
        <f>+'23'!H139</f>
        <v>0</v>
      </c>
      <c r="Y66" s="5">
        <f>+'24'!H139</f>
        <v>0</v>
      </c>
      <c r="Z66" s="5">
        <f>+'25'!H139</f>
        <v>0</v>
      </c>
      <c r="AA66" s="5">
        <f>+'26'!H139</f>
        <v>0</v>
      </c>
      <c r="AB66" s="5">
        <f>+'27'!H139</f>
        <v>0</v>
      </c>
      <c r="AC66" s="5">
        <f>+'28'!H139</f>
        <v>0</v>
      </c>
      <c r="AD66" s="5">
        <f>+'29'!H139</f>
        <v>0</v>
      </c>
      <c r="AE66" s="5">
        <f>+'30'!H139</f>
        <v>0</v>
      </c>
      <c r="AF66" s="70">
        <f>+'31'!H139</f>
        <v>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36" t="str">
        <f>+Input!A92</f>
        <v xml:space="preserve"> - Other 5</v>
      </c>
      <c r="B67" s="69">
        <f>+'1'!H140</f>
        <v>0</v>
      </c>
      <c r="C67" s="5">
        <f>+'2'!H140</f>
        <v>0</v>
      </c>
      <c r="D67" s="5">
        <f>+'3'!H140</f>
        <v>0</v>
      </c>
      <c r="E67" s="5">
        <f>+'4'!H140</f>
        <v>0</v>
      </c>
      <c r="F67" s="5">
        <f>+'5'!H140</f>
        <v>0</v>
      </c>
      <c r="G67" s="5">
        <f>+'6'!H140</f>
        <v>0</v>
      </c>
      <c r="H67" s="5">
        <f>+'7'!H140</f>
        <v>0</v>
      </c>
      <c r="I67" s="5">
        <f>+'8'!H140</f>
        <v>0</v>
      </c>
      <c r="J67" s="5">
        <f>+'9'!H140</f>
        <v>0</v>
      </c>
      <c r="K67" s="5">
        <f>+'10'!H140</f>
        <v>0</v>
      </c>
      <c r="L67" s="5">
        <f>+'11'!H140</f>
        <v>0</v>
      </c>
      <c r="M67" s="5">
        <f>+'12'!H140</f>
        <v>0</v>
      </c>
      <c r="N67" s="5">
        <f>+'13'!H140</f>
        <v>0</v>
      </c>
      <c r="O67" s="5">
        <f>+'14'!H140</f>
        <v>0</v>
      </c>
      <c r="P67" s="5">
        <f>+'15'!H140</f>
        <v>0</v>
      </c>
      <c r="Q67" s="5">
        <f>+'16'!H140</f>
        <v>0</v>
      </c>
      <c r="R67" s="5">
        <f>+'17'!H140</f>
        <v>0</v>
      </c>
      <c r="S67" s="5">
        <f>+'18'!H140</f>
        <v>0</v>
      </c>
      <c r="T67" s="5">
        <f>+'19'!H140</f>
        <v>0</v>
      </c>
      <c r="U67" s="5">
        <f>+'20'!H140</f>
        <v>0</v>
      </c>
      <c r="V67" s="5">
        <f>+'21'!H140</f>
        <v>0</v>
      </c>
      <c r="W67" s="5">
        <f>+'22'!H140</f>
        <v>0</v>
      </c>
      <c r="X67" s="5">
        <f>+'23'!H140</f>
        <v>0</v>
      </c>
      <c r="Y67" s="5">
        <f>+'24'!H140</f>
        <v>0</v>
      </c>
      <c r="Z67" s="5">
        <f>+'25'!H140</f>
        <v>0</v>
      </c>
      <c r="AA67" s="5">
        <f>+'26'!H140</f>
        <v>0</v>
      </c>
      <c r="AB67" s="5">
        <f>+'27'!H140</f>
        <v>0</v>
      </c>
      <c r="AC67" s="5">
        <f>+'28'!H140</f>
        <v>0</v>
      </c>
      <c r="AD67" s="5">
        <f>+'29'!H140</f>
        <v>0</v>
      </c>
      <c r="AE67" s="5">
        <f>+'30'!H140</f>
        <v>0</v>
      </c>
      <c r="AF67" s="70">
        <f>+'31'!H140</f>
        <v>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36" t="str">
        <f>+Input!A93</f>
        <v xml:space="preserve"> - Other 6</v>
      </c>
      <c r="B68" s="69">
        <f>+'1'!H141</f>
        <v>0</v>
      </c>
      <c r="C68" s="5">
        <f>+'2'!H141</f>
        <v>0</v>
      </c>
      <c r="D68" s="5">
        <f>+'3'!H141</f>
        <v>0</v>
      </c>
      <c r="E68" s="5">
        <f>+'4'!H141</f>
        <v>0</v>
      </c>
      <c r="F68" s="5">
        <f>+'5'!H141</f>
        <v>0</v>
      </c>
      <c r="G68" s="5">
        <f>+'6'!H141</f>
        <v>0</v>
      </c>
      <c r="H68" s="5">
        <f>+'7'!H141</f>
        <v>0</v>
      </c>
      <c r="I68" s="5">
        <f>+'8'!H141</f>
        <v>0</v>
      </c>
      <c r="J68" s="5">
        <f>+'9'!H141</f>
        <v>0</v>
      </c>
      <c r="K68" s="5">
        <f>+'10'!H141</f>
        <v>0</v>
      </c>
      <c r="L68" s="5">
        <f>+'11'!H141</f>
        <v>0</v>
      </c>
      <c r="M68" s="5">
        <f>+'12'!H141</f>
        <v>0</v>
      </c>
      <c r="N68" s="5">
        <f>+'13'!H141</f>
        <v>0</v>
      </c>
      <c r="O68" s="5">
        <f>+'14'!H141</f>
        <v>0</v>
      </c>
      <c r="P68" s="5">
        <f>+'15'!H141</f>
        <v>0</v>
      </c>
      <c r="Q68" s="5">
        <f>+'16'!H141</f>
        <v>0</v>
      </c>
      <c r="R68" s="5">
        <f>+'17'!H141</f>
        <v>0</v>
      </c>
      <c r="S68" s="5">
        <f>+'18'!H141</f>
        <v>0</v>
      </c>
      <c r="T68" s="5">
        <f>+'19'!H141</f>
        <v>0</v>
      </c>
      <c r="U68" s="5">
        <f>+'20'!H141</f>
        <v>0</v>
      </c>
      <c r="V68" s="5">
        <f>+'21'!H141</f>
        <v>0</v>
      </c>
      <c r="W68" s="5">
        <f>+'22'!H141</f>
        <v>0</v>
      </c>
      <c r="X68" s="5">
        <f>+'23'!H141</f>
        <v>0</v>
      </c>
      <c r="Y68" s="5">
        <f>+'24'!H141</f>
        <v>0</v>
      </c>
      <c r="Z68" s="5">
        <f>+'25'!H141</f>
        <v>0</v>
      </c>
      <c r="AA68" s="5">
        <f>+'26'!H141</f>
        <v>0</v>
      </c>
      <c r="AB68" s="5">
        <f>+'27'!H141</f>
        <v>0</v>
      </c>
      <c r="AC68" s="5">
        <f>+'28'!H141</f>
        <v>0</v>
      </c>
      <c r="AD68" s="5">
        <f>+'29'!H141</f>
        <v>0</v>
      </c>
      <c r="AE68" s="5">
        <f>+'30'!H141</f>
        <v>0</v>
      </c>
      <c r="AF68" s="70">
        <f>+'31'!H141</f>
        <v>0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36" t="str">
        <f>+Input!A94</f>
        <v xml:space="preserve"> - Other 7</v>
      </c>
      <c r="B69" s="69">
        <f>+'1'!H142</f>
        <v>0</v>
      </c>
      <c r="C69" s="5">
        <f>+'2'!H142</f>
        <v>0</v>
      </c>
      <c r="D69" s="5">
        <f>+'3'!H142</f>
        <v>0</v>
      </c>
      <c r="E69" s="5">
        <f>+'4'!H142</f>
        <v>0</v>
      </c>
      <c r="F69" s="5">
        <f>+'5'!H142</f>
        <v>0</v>
      </c>
      <c r="G69" s="5">
        <f>+'6'!H142</f>
        <v>0</v>
      </c>
      <c r="H69" s="5">
        <f>+'7'!H142</f>
        <v>0</v>
      </c>
      <c r="I69" s="5">
        <f>+'8'!H142</f>
        <v>0</v>
      </c>
      <c r="J69" s="5">
        <f>+'9'!H142</f>
        <v>0</v>
      </c>
      <c r="K69" s="5">
        <f>+'10'!H142</f>
        <v>0</v>
      </c>
      <c r="L69" s="5">
        <f>+'11'!H142</f>
        <v>0</v>
      </c>
      <c r="M69" s="5">
        <f>+'12'!H142</f>
        <v>0</v>
      </c>
      <c r="N69" s="5">
        <f>+'13'!H142</f>
        <v>0</v>
      </c>
      <c r="O69" s="5">
        <f>+'14'!H142</f>
        <v>0</v>
      </c>
      <c r="P69" s="5">
        <f>+'15'!H142</f>
        <v>0</v>
      </c>
      <c r="Q69" s="5">
        <f>+'16'!H142</f>
        <v>0</v>
      </c>
      <c r="R69" s="5">
        <f>+'17'!H142</f>
        <v>0</v>
      </c>
      <c r="S69" s="5">
        <f>+'18'!H142</f>
        <v>0</v>
      </c>
      <c r="T69" s="5">
        <f>+'19'!H142</f>
        <v>0</v>
      </c>
      <c r="U69" s="5">
        <f>+'20'!H142</f>
        <v>0</v>
      </c>
      <c r="V69" s="5">
        <f>+'21'!H142</f>
        <v>0</v>
      </c>
      <c r="W69" s="5">
        <f>+'22'!H142</f>
        <v>0</v>
      </c>
      <c r="X69" s="5">
        <f>+'23'!H142</f>
        <v>0</v>
      </c>
      <c r="Y69" s="5">
        <f>+'24'!H142</f>
        <v>0</v>
      </c>
      <c r="Z69" s="5">
        <f>+'25'!H142</f>
        <v>0</v>
      </c>
      <c r="AA69" s="5">
        <f>+'26'!H142</f>
        <v>0</v>
      </c>
      <c r="AB69" s="5">
        <f>+'27'!H142</f>
        <v>0</v>
      </c>
      <c r="AC69" s="5">
        <f>+'28'!H142</f>
        <v>0</v>
      </c>
      <c r="AD69" s="5">
        <f>+'29'!H142</f>
        <v>0</v>
      </c>
      <c r="AE69" s="5">
        <f>+'30'!H142</f>
        <v>0</v>
      </c>
      <c r="AF69" s="70">
        <f>+'31'!H142</f>
        <v>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36" t="str">
        <f>+Input!A95</f>
        <v xml:space="preserve"> - Other 8</v>
      </c>
      <c r="B70" s="69">
        <f>+'1'!H143</f>
        <v>0</v>
      </c>
      <c r="C70" s="5">
        <f>+'2'!H143</f>
        <v>0</v>
      </c>
      <c r="D70" s="5">
        <f>+'3'!H143</f>
        <v>0</v>
      </c>
      <c r="E70" s="5">
        <f>+'4'!H143</f>
        <v>0</v>
      </c>
      <c r="F70" s="5">
        <f>+'5'!H143</f>
        <v>0</v>
      </c>
      <c r="G70" s="5">
        <f>+'6'!H143</f>
        <v>0</v>
      </c>
      <c r="H70" s="5">
        <f>+'7'!H143</f>
        <v>0</v>
      </c>
      <c r="I70" s="5">
        <f>+'8'!H143</f>
        <v>0</v>
      </c>
      <c r="J70" s="5">
        <f>+'9'!H143</f>
        <v>0</v>
      </c>
      <c r="K70" s="5">
        <f>+'10'!H143</f>
        <v>0</v>
      </c>
      <c r="L70" s="5">
        <f>+'11'!H143</f>
        <v>0</v>
      </c>
      <c r="M70" s="5">
        <f>+'12'!H143</f>
        <v>0</v>
      </c>
      <c r="N70" s="5">
        <f>+'13'!H143</f>
        <v>0</v>
      </c>
      <c r="O70" s="5">
        <f>+'14'!H143</f>
        <v>0</v>
      </c>
      <c r="P70" s="5">
        <f>+'15'!H143</f>
        <v>0</v>
      </c>
      <c r="Q70" s="5">
        <f>+'16'!H143</f>
        <v>0</v>
      </c>
      <c r="R70" s="5">
        <f>+'17'!H143</f>
        <v>0</v>
      </c>
      <c r="S70" s="5">
        <f>+'18'!H143</f>
        <v>0</v>
      </c>
      <c r="T70" s="5">
        <f>+'19'!H143</f>
        <v>0</v>
      </c>
      <c r="U70" s="5">
        <f>+'20'!H143</f>
        <v>0</v>
      </c>
      <c r="V70" s="5">
        <f>+'21'!H143</f>
        <v>0</v>
      </c>
      <c r="W70" s="5">
        <f>+'22'!H143</f>
        <v>0</v>
      </c>
      <c r="X70" s="5">
        <f>+'23'!H143</f>
        <v>0</v>
      </c>
      <c r="Y70" s="5">
        <f>+'24'!H143</f>
        <v>0</v>
      </c>
      <c r="Z70" s="5">
        <f>+'25'!H143</f>
        <v>0</v>
      </c>
      <c r="AA70" s="5">
        <f>+'26'!H143</f>
        <v>0</v>
      </c>
      <c r="AB70" s="5">
        <f>+'27'!H143</f>
        <v>0</v>
      </c>
      <c r="AC70" s="5">
        <f>+'28'!H143</f>
        <v>0</v>
      </c>
      <c r="AD70" s="5">
        <f>+'29'!H143</f>
        <v>0</v>
      </c>
      <c r="AE70" s="5">
        <f>+'30'!H143</f>
        <v>0</v>
      </c>
      <c r="AF70" s="70">
        <f>+'31'!H143</f>
        <v>0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36" t="str">
        <f>+Input!A96</f>
        <v xml:space="preserve"> - Other 9</v>
      </c>
      <c r="B71" s="69">
        <f>+'1'!H144</f>
        <v>0</v>
      </c>
      <c r="C71" s="5">
        <f>+'2'!H144</f>
        <v>0</v>
      </c>
      <c r="D71" s="5">
        <f>+'3'!H144</f>
        <v>0</v>
      </c>
      <c r="E71" s="5">
        <f>+'4'!H144</f>
        <v>0</v>
      </c>
      <c r="F71" s="5">
        <f>+'5'!H144</f>
        <v>0</v>
      </c>
      <c r="G71" s="5">
        <f>+'6'!H144</f>
        <v>0</v>
      </c>
      <c r="H71" s="5">
        <f>+'7'!H144</f>
        <v>0</v>
      </c>
      <c r="I71" s="5">
        <f>+'8'!H144</f>
        <v>0</v>
      </c>
      <c r="J71" s="5">
        <f>+'9'!H144</f>
        <v>0</v>
      </c>
      <c r="K71" s="5">
        <f>+'10'!H144</f>
        <v>0</v>
      </c>
      <c r="L71" s="5">
        <f>+'11'!H144</f>
        <v>0</v>
      </c>
      <c r="M71" s="5">
        <f>+'12'!H144</f>
        <v>0</v>
      </c>
      <c r="N71" s="5">
        <f>+'13'!H144</f>
        <v>0</v>
      </c>
      <c r="O71" s="5">
        <f>+'14'!H144</f>
        <v>0</v>
      </c>
      <c r="P71" s="5">
        <f>+'15'!H144</f>
        <v>0</v>
      </c>
      <c r="Q71" s="5">
        <f>+'16'!H144</f>
        <v>0</v>
      </c>
      <c r="R71" s="5">
        <f>+'17'!H144</f>
        <v>0</v>
      </c>
      <c r="S71" s="5">
        <f>+'18'!H144</f>
        <v>0</v>
      </c>
      <c r="T71" s="5">
        <f>+'19'!H144</f>
        <v>0</v>
      </c>
      <c r="U71" s="5">
        <f>+'20'!H144</f>
        <v>0</v>
      </c>
      <c r="V71" s="5">
        <f>+'21'!H144</f>
        <v>0</v>
      </c>
      <c r="W71" s="5">
        <f>+'22'!H144</f>
        <v>0</v>
      </c>
      <c r="X71" s="5">
        <f>+'23'!H144</f>
        <v>0</v>
      </c>
      <c r="Y71" s="5">
        <f>+'24'!H144</f>
        <v>0</v>
      </c>
      <c r="Z71" s="5">
        <f>+'25'!H144</f>
        <v>0</v>
      </c>
      <c r="AA71" s="5">
        <f>+'26'!H144</f>
        <v>0</v>
      </c>
      <c r="AB71" s="5">
        <f>+'27'!H144</f>
        <v>0</v>
      </c>
      <c r="AC71" s="5">
        <f>+'28'!H144</f>
        <v>0</v>
      </c>
      <c r="AD71" s="5">
        <f>+'29'!H144</f>
        <v>0</v>
      </c>
      <c r="AE71" s="5">
        <f>+'30'!H144</f>
        <v>0</v>
      </c>
      <c r="AF71" s="70">
        <f>+'31'!H144</f>
        <v>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37" t="str">
        <f>+Input!A97</f>
        <v xml:space="preserve"> - Other 10</v>
      </c>
      <c r="B72" s="57">
        <f>+'1'!H145</f>
        <v>0</v>
      </c>
      <c r="C72" s="58">
        <f>+'2'!H145</f>
        <v>0</v>
      </c>
      <c r="D72" s="58">
        <f>+'3'!H145</f>
        <v>0</v>
      </c>
      <c r="E72" s="58">
        <f>+'4'!H145</f>
        <v>0</v>
      </c>
      <c r="F72" s="58">
        <f>+'5'!H145</f>
        <v>0</v>
      </c>
      <c r="G72" s="58">
        <f>+'6'!H145</f>
        <v>0</v>
      </c>
      <c r="H72" s="58">
        <f>+'7'!H145</f>
        <v>0</v>
      </c>
      <c r="I72" s="58">
        <f>+'8'!H145</f>
        <v>0</v>
      </c>
      <c r="J72" s="58">
        <f>+'9'!H145</f>
        <v>0</v>
      </c>
      <c r="K72" s="58">
        <f>+'10'!H145</f>
        <v>0</v>
      </c>
      <c r="L72" s="58">
        <f>+'11'!H145</f>
        <v>0</v>
      </c>
      <c r="M72" s="58">
        <f>+'12'!H145</f>
        <v>0</v>
      </c>
      <c r="N72" s="58">
        <f>+'13'!H145</f>
        <v>0</v>
      </c>
      <c r="O72" s="58">
        <f>+'14'!H145</f>
        <v>0</v>
      </c>
      <c r="P72" s="58">
        <f>+'15'!H145</f>
        <v>0</v>
      </c>
      <c r="Q72" s="58">
        <f>+'16'!H145</f>
        <v>0</v>
      </c>
      <c r="R72" s="58">
        <f>+'17'!H145</f>
        <v>0</v>
      </c>
      <c r="S72" s="58">
        <f>+'18'!H145</f>
        <v>0</v>
      </c>
      <c r="T72" s="58">
        <f>+'19'!H145</f>
        <v>0</v>
      </c>
      <c r="U72" s="58">
        <f>+'20'!H145</f>
        <v>0</v>
      </c>
      <c r="V72" s="58">
        <f>+'21'!H145</f>
        <v>0</v>
      </c>
      <c r="W72" s="58">
        <f>+'22'!H145</f>
        <v>0</v>
      </c>
      <c r="X72" s="58">
        <f>+'23'!H145</f>
        <v>0</v>
      </c>
      <c r="Y72" s="58">
        <f>+'24'!H145</f>
        <v>0</v>
      </c>
      <c r="Z72" s="58">
        <f>+'25'!H145</f>
        <v>0</v>
      </c>
      <c r="AA72" s="58">
        <f>+'26'!H145</f>
        <v>0</v>
      </c>
      <c r="AB72" s="58">
        <f>+'27'!H145</f>
        <v>0</v>
      </c>
      <c r="AC72" s="58">
        <f>+'28'!H145</f>
        <v>0</v>
      </c>
      <c r="AD72" s="58">
        <f>+'29'!H145</f>
        <v>0</v>
      </c>
      <c r="AE72" s="58">
        <f>+'30'!H145</f>
        <v>0</v>
      </c>
      <c r="AF72" s="59">
        <f>+'31'!H145</f>
        <v>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89" t="s">
        <v>207</v>
      </c>
      <c r="B73" s="139">
        <f>SUM(B63:B72)</f>
        <v>0</v>
      </c>
      <c r="C73" s="195">
        <f t="shared" ref="C73:AF73" si="5">SUM(C63:C72)</f>
        <v>0</v>
      </c>
      <c r="D73" s="195">
        <f t="shared" si="5"/>
        <v>0</v>
      </c>
      <c r="E73" s="195">
        <f t="shared" si="5"/>
        <v>0</v>
      </c>
      <c r="F73" s="195">
        <f t="shared" si="5"/>
        <v>0</v>
      </c>
      <c r="G73" s="195">
        <f t="shared" si="5"/>
        <v>0</v>
      </c>
      <c r="H73" s="195">
        <f t="shared" si="5"/>
        <v>0</v>
      </c>
      <c r="I73" s="195">
        <f t="shared" si="5"/>
        <v>0</v>
      </c>
      <c r="J73" s="195">
        <f t="shared" si="5"/>
        <v>0</v>
      </c>
      <c r="K73" s="195">
        <f t="shared" si="5"/>
        <v>0</v>
      </c>
      <c r="L73" s="195">
        <f t="shared" si="5"/>
        <v>0</v>
      </c>
      <c r="M73" s="195">
        <f t="shared" si="5"/>
        <v>0</v>
      </c>
      <c r="N73" s="195">
        <f t="shared" si="5"/>
        <v>0</v>
      </c>
      <c r="O73" s="195">
        <f t="shared" si="5"/>
        <v>0</v>
      </c>
      <c r="P73" s="195">
        <f t="shared" si="5"/>
        <v>0</v>
      </c>
      <c r="Q73" s="195">
        <f t="shared" si="5"/>
        <v>0</v>
      </c>
      <c r="R73" s="195">
        <f t="shared" si="5"/>
        <v>0</v>
      </c>
      <c r="S73" s="195">
        <f t="shared" si="5"/>
        <v>0</v>
      </c>
      <c r="T73" s="195">
        <f t="shared" si="5"/>
        <v>0</v>
      </c>
      <c r="U73" s="195">
        <f t="shared" si="5"/>
        <v>0</v>
      </c>
      <c r="V73" s="195">
        <f t="shared" si="5"/>
        <v>0</v>
      </c>
      <c r="W73" s="195">
        <f t="shared" si="5"/>
        <v>0</v>
      </c>
      <c r="X73" s="195">
        <f t="shared" si="5"/>
        <v>0</v>
      </c>
      <c r="Y73" s="195">
        <f t="shared" si="5"/>
        <v>0</v>
      </c>
      <c r="Z73" s="195">
        <f t="shared" si="5"/>
        <v>0</v>
      </c>
      <c r="AA73" s="195">
        <f t="shared" si="5"/>
        <v>0</v>
      </c>
      <c r="AB73" s="195">
        <f t="shared" si="5"/>
        <v>0</v>
      </c>
      <c r="AC73" s="195">
        <f t="shared" si="5"/>
        <v>0</v>
      </c>
      <c r="AD73" s="195">
        <f t="shared" si="5"/>
        <v>0</v>
      </c>
      <c r="AE73" s="195">
        <f t="shared" si="5"/>
        <v>0</v>
      </c>
      <c r="AF73" s="196">
        <f t="shared" si="5"/>
        <v>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125" t="s">
        <v>208</v>
      </c>
      <c r="B74" s="131">
        <f>+'1'!H135</f>
        <v>0</v>
      </c>
      <c r="C74" s="132">
        <f>+'2'!H135</f>
        <v>0</v>
      </c>
      <c r="D74" s="132">
        <f>+'3'!H135</f>
        <v>0</v>
      </c>
      <c r="E74" s="132">
        <f>+'4'!H135</f>
        <v>0</v>
      </c>
      <c r="F74" s="132">
        <f>+'5'!H135</f>
        <v>0</v>
      </c>
      <c r="G74" s="132">
        <f>+'6'!H135</f>
        <v>0</v>
      </c>
      <c r="H74" s="132">
        <f>+'7'!H135</f>
        <v>0</v>
      </c>
      <c r="I74" s="132">
        <f>+'8'!H135</f>
        <v>0</v>
      </c>
      <c r="J74" s="132">
        <f>+'9'!H135</f>
        <v>0</v>
      </c>
      <c r="K74" s="132">
        <f>+'10'!H135</f>
        <v>0</v>
      </c>
      <c r="L74" s="132">
        <f>+'11'!H135</f>
        <v>0</v>
      </c>
      <c r="M74" s="132">
        <f>+'12'!H135</f>
        <v>0</v>
      </c>
      <c r="N74" s="132">
        <f>+'13'!H135</f>
        <v>0</v>
      </c>
      <c r="O74" s="132">
        <f>+'14'!H135</f>
        <v>0</v>
      </c>
      <c r="P74" s="132">
        <f>+'15'!H135</f>
        <v>0</v>
      </c>
      <c r="Q74" s="132">
        <f>+'16'!H135</f>
        <v>0</v>
      </c>
      <c r="R74" s="132">
        <f>+'17'!H135</f>
        <v>0</v>
      </c>
      <c r="S74" s="132">
        <f>+'18'!H135</f>
        <v>0</v>
      </c>
      <c r="T74" s="132">
        <f>+'19'!H135</f>
        <v>0</v>
      </c>
      <c r="U74" s="132">
        <f>+'20'!H135</f>
        <v>0</v>
      </c>
      <c r="V74" s="132">
        <f>+'21'!H135</f>
        <v>0</v>
      </c>
      <c r="W74" s="132">
        <f>+'22'!H135</f>
        <v>0</v>
      </c>
      <c r="X74" s="132">
        <f>+'23'!H135</f>
        <v>0</v>
      </c>
      <c r="Y74" s="132">
        <f>+'24'!H135</f>
        <v>0</v>
      </c>
      <c r="Z74" s="132">
        <f>+'25'!H135</f>
        <v>0</v>
      </c>
      <c r="AA74" s="132">
        <f>+'26'!H135</f>
        <v>0</v>
      </c>
      <c r="AB74" s="132">
        <f>+'27'!H135</f>
        <v>0</v>
      </c>
      <c r="AC74" s="132">
        <f>+'28'!H135</f>
        <v>0</v>
      </c>
      <c r="AD74" s="132">
        <f>+'29'!H135</f>
        <v>0</v>
      </c>
      <c r="AE74" s="132">
        <f>+'30'!H135</f>
        <v>0</v>
      </c>
      <c r="AF74" s="133">
        <f>+'31'!H135</f>
        <v>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128" t="s">
        <v>209</v>
      </c>
      <c r="B75" s="192">
        <f>+B73-B74</f>
        <v>0</v>
      </c>
      <c r="C75" s="193">
        <f t="shared" ref="C75:AF75" si="6">+C73-C74</f>
        <v>0</v>
      </c>
      <c r="D75" s="193">
        <f t="shared" si="6"/>
        <v>0</v>
      </c>
      <c r="E75" s="193">
        <f t="shared" si="6"/>
        <v>0</v>
      </c>
      <c r="F75" s="193">
        <f t="shared" si="6"/>
        <v>0</v>
      </c>
      <c r="G75" s="193">
        <f t="shared" si="6"/>
        <v>0</v>
      </c>
      <c r="H75" s="193">
        <f t="shared" si="6"/>
        <v>0</v>
      </c>
      <c r="I75" s="193">
        <f t="shared" si="6"/>
        <v>0</v>
      </c>
      <c r="J75" s="193">
        <f t="shared" si="6"/>
        <v>0</v>
      </c>
      <c r="K75" s="193">
        <f t="shared" si="6"/>
        <v>0</v>
      </c>
      <c r="L75" s="193">
        <f t="shared" si="6"/>
        <v>0</v>
      </c>
      <c r="M75" s="193">
        <f t="shared" si="6"/>
        <v>0</v>
      </c>
      <c r="N75" s="193">
        <f t="shared" si="6"/>
        <v>0</v>
      </c>
      <c r="O75" s="193">
        <f t="shared" si="6"/>
        <v>0</v>
      </c>
      <c r="P75" s="193">
        <f t="shared" si="6"/>
        <v>0</v>
      </c>
      <c r="Q75" s="193">
        <f t="shared" si="6"/>
        <v>0</v>
      </c>
      <c r="R75" s="193">
        <f t="shared" si="6"/>
        <v>0</v>
      </c>
      <c r="S75" s="193">
        <f t="shared" si="6"/>
        <v>0</v>
      </c>
      <c r="T75" s="193">
        <f t="shared" si="6"/>
        <v>0</v>
      </c>
      <c r="U75" s="193">
        <f t="shared" si="6"/>
        <v>0</v>
      </c>
      <c r="V75" s="193">
        <f t="shared" si="6"/>
        <v>0</v>
      </c>
      <c r="W75" s="193">
        <f t="shared" si="6"/>
        <v>0</v>
      </c>
      <c r="X75" s="193">
        <f t="shared" si="6"/>
        <v>0</v>
      </c>
      <c r="Y75" s="193">
        <f t="shared" si="6"/>
        <v>0</v>
      </c>
      <c r="Z75" s="193">
        <f t="shared" si="6"/>
        <v>0</v>
      </c>
      <c r="AA75" s="193">
        <f t="shared" si="6"/>
        <v>0</v>
      </c>
      <c r="AB75" s="193">
        <f t="shared" si="6"/>
        <v>0</v>
      </c>
      <c r="AC75" s="193">
        <f t="shared" si="6"/>
        <v>0</v>
      </c>
      <c r="AD75" s="193">
        <f t="shared" si="6"/>
        <v>0</v>
      </c>
      <c r="AE75" s="193">
        <f t="shared" si="6"/>
        <v>0</v>
      </c>
      <c r="AF75" s="194">
        <f t="shared" si="6"/>
        <v>0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27:52" x14ac:dyDescent="0.25"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27:52" x14ac:dyDescent="0.25"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27:52" x14ac:dyDescent="0.25"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27:52" x14ac:dyDescent="0.25"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27:52" x14ac:dyDescent="0.25"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27:52" x14ac:dyDescent="0.25"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27:52" x14ac:dyDescent="0.25"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27:52" x14ac:dyDescent="0.25"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27:52" x14ac:dyDescent="0.25"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27:52" x14ac:dyDescent="0.25"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27:52" x14ac:dyDescent="0.25"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27:52" x14ac:dyDescent="0.25"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27:52" x14ac:dyDescent="0.25"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27:52" x14ac:dyDescent="0.25"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27:52" x14ac:dyDescent="0.25"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27:52" x14ac:dyDescent="0.25"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27:52" x14ac:dyDescent="0.25"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27:52" x14ac:dyDescent="0.25"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27:52" x14ac:dyDescent="0.25"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27:52" x14ac:dyDescent="0.25"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</sheetData>
  <mergeCells count="1">
    <mergeCell ref="B3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EA17-259A-479D-A347-7209B8AB78A8}">
  <dimension ref="A1:AH357"/>
  <sheetViews>
    <sheetView workbookViewId="0">
      <selection activeCell="C7" sqref="C7"/>
    </sheetView>
  </sheetViews>
  <sheetFormatPr defaultRowHeight="15" x14ac:dyDescent="0.25"/>
  <cols>
    <col min="1" max="1" width="31.42578125" customWidth="1"/>
    <col min="2" max="36" width="11.7109375" customWidth="1"/>
  </cols>
  <sheetData>
    <row r="1" spans="1:33" ht="26.25" x14ac:dyDescent="0.4">
      <c r="A1" s="9" t="str">
        <f>+Input!B2</f>
        <v>ENGEN JETPARK</v>
      </c>
    </row>
    <row r="3" spans="1:33" ht="24.75" thickBot="1" x14ac:dyDescent="0.45">
      <c r="A3" s="10" t="s">
        <v>115</v>
      </c>
      <c r="B3" s="236">
        <f>+Input!B6</f>
        <v>46143</v>
      </c>
      <c r="C3" s="25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6" spans="1:33" x14ac:dyDescent="0.25">
      <c r="A6" s="40" t="s">
        <v>120</v>
      </c>
      <c r="B6" s="147">
        <v>1</v>
      </c>
      <c r="C6" s="147">
        <f>+B6+1</f>
        <v>2</v>
      </c>
      <c r="D6" s="147">
        <f t="shared" ref="D6:AF6" si="0">+C6+1</f>
        <v>3</v>
      </c>
      <c r="E6" s="147">
        <f t="shared" si="0"/>
        <v>4</v>
      </c>
      <c r="F6" s="147">
        <f t="shared" si="0"/>
        <v>5</v>
      </c>
      <c r="G6" s="147">
        <f t="shared" si="0"/>
        <v>6</v>
      </c>
      <c r="H6" s="147">
        <f t="shared" si="0"/>
        <v>7</v>
      </c>
      <c r="I6" s="147">
        <f t="shared" si="0"/>
        <v>8</v>
      </c>
      <c r="J6" s="147">
        <f t="shared" si="0"/>
        <v>9</v>
      </c>
      <c r="K6" s="147">
        <f t="shared" si="0"/>
        <v>10</v>
      </c>
      <c r="L6" s="147">
        <f t="shared" si="0"/>
        <v>11</v>
      </c>
      <c r="M6" s="147">
        <f t="shared" si="0"/>
        <v>12</v>
      </c>
      <c r="N6" s="147">
        <f t="shared" si="0"/>
        <v>13</v>
      </c>
      <c r="O6" s="147">
        <f t="shared" si="0"/>
        <v>14</v>
      </c>
      <c r="P6" s="147">
        <f t="shared" si="0"/>
        <v>15</v>
      </c>
      <c r="Q6" s="147">
        <f t="shared" si="0"/>
        <v>16</v>
      </c>
      <c r="R6" s="147">
        <f t="shared" si="0"/>
        <v>17</v>
      </c>
      <c r="S6" s="147">
        <f t="shared" si="0"/>
        <v>18</v>
      </c>
      <c r="T6" s="147">
        <f t="shared" si="0"/>
        <v>19</v>
      </c>
      <c r="U6" s="147">
        <f t="shared" si="0"/>
        <v>20</v>
      </c>
      <c r="V6" s="147">
        <f t="shared" si="0"/>
        <v>21</v>
      </c>
      <c r="W6" s="147">
        <f t="shared" si="0"/>
        <v>22</v>
      </c>
      <c r="X6" s="147">
        <f t="shared" si="0"/>
        <v>23</v>
      </c>
      <c r="Y6" s="147">
        <f t="shared" si="0"/>
        <v>24</v>
      </c>
      <c r="Z6" s="147">
        <f t="shared" si="0"/>
        <v>25</v>
      </c>
      <c r="AA6" s="147">
        <f t="shared" si="0"/>
        <v>26</v>
      </c>
      <c r="AB6" s="147">
        <f t="shared" si="0"/>
        <v>27</v>
      </c>
      <c r="AC6" s="147">
        <f t="shared" si="0"/>
        <v>28</v>
      </c>
      <c r="AD6" s="147">
        <f t="shared" si="0"/>
        <v>29</v>
      </c>
      <c r="AE6" s="147">
        <f t="shared" si="0"/>
        <v>30</v>
      </c>
      <c r="AF6" s="147">
        <f t="shared" si="0"/>
        <v>31</v>
      </c>
      <c r="AG6" s="201" t="s">
        <v>68</v>
      </c>
    </row>
    <row r="7" spans="1:33" x14ac:dyDescent="0.25">
      <c r="A7" s="42" t="s">
        <v>125</v>
      </c>
      <c r="B7" s="162"/>
      <c r="C7" s="163">
        <f>+B12</f>
        <v>11.5</v>
      </c>
      <c r="D7" s="163">
        <f t="shared" ref="D7:AF7" si="1">+C12</f>
        <v>11.5</v>
      </c>
      <c r="E7" s="163">
        <f t="shared" si="1"/>
        <v>11.5</v>
      </c>
      <c r="F7" s="163">
        <f t="shared" si="1"/>
        <v>11.5</v>
      </c>
      <c r="G7" s="163">
        <f t="shared" si="1"/>
        <v>11.5</v>
      </c>
      <c r="H7" s="163">
        <f t="shared" si="1"/>
        <v>11.5</v>
      </c>
      <c r="I7" s="163">
        <f t="shared" si="1"/>
        <v>11.5</v>
      </c>
      <c r="J7" s="163">
        <f t="shared" si="1"/>
        <v>11.5</v>
      </c>
      <c r="K7" s="163">
        <f t="shared" si="1"/>
        <v>11.5</v>
      </c>
      <c r="L7" s="163">
        <f t="shared" si="1"/>
        <v>11.5</v>
      </c>
      <c r="M7" s="163">
        <f t="shared" si="1"/>
        <v>11.5</v>
      </c>
      <c r="N7" s="163">
        <f t="shared" si="1"/>
        <v>11.5</v>
      </c>
      <c r="O7" s="163">
        <f t="shared" si="1"/>
        <v>11.5</v>
      </c>
      <c r="P7" s="163">
        <f t="shared" si="1"/>
        <v>11.5</v>
      </c>
      <c r="Q7" s="163">
        <f t="shared" si="1"/>
        <v>11.5</v>
      </c>
      <c r="R7" s="163">
        <f t="shared" si="1"/>
        <v>11.5</v>
      </c>
      <c r="S7" s="163">
        <f t="shared" si="1"/>
        <v>11.5</v>
      </c>
      <c r="T7" s="163">
        <f t="shared" si="1"/>
        <v>11.5</v>
      </c>
      <c r="U7" s="163">
        <f t="shared" si="1"/>
        <v>11.5</v>
      </c>
      <c r="V7" s="163">
        <f t="shared" si="1"/>
        <v>11.5</v>
      </c>
      <c r="W7" s="163">
        <f t="shared" si="1"/>
        <v>11.5</v>
      </c>
      <c r="X7" s="163">
        <f t="shared" si="1"/>
        <v>11.5</v>
      </c>
      <c r="Y7" s="163">
        <f t="shared" si="1"/>
        <v>11.5</v>
      </c>
      <c r="Z7" s="163">
        <f t="shared" si="1"/>
        <v>11.5</v>
      </c>
      <c r="AA7" s="163">
        <f t="shared" si="1"/>
        <v>11.5</v>
      </c>
      <c r="AB7" s="163">
        <f t="shared" si="1"/>
        <v>11.5</v>
      </c>
      <c r="AC7" s="163">
        <f t="shared" si="1"/>
        <v>11.5</v>
      </c>
      <c r="AD7" s="163">
        <f t="shared" si="1"/>
        <v>11.5</v>
      </c>
      <c r="AE7" s="163">
        <f t="shared" si="1"/>
        <v>11.5</v>
      </c>
      <c r="AF7" s="164">
        <f t="shared" si="1"/>
        <v>11.5</v>
      </c>
      <c r="AG7" s="66">
        <f>+B7</f>
        <v>0</v>
      </c>
    </row>
    <row r="8" spans="1:33" x14ac:dyDescent="0.25">
      <c r="A8" s="36" t="s">
        <v>117</v>
      </c>
      <c r="B8" s="69">
        <f>+'1'!H57</f>
        <v>11.5</v>
      </c>
      <c r="C8" s="5">
        <f>+'2'!H57</f>
        <v>0</v>
      </c>
      <c r="D8" s="5">
        <f>+'3'!H57</f>
        <v>0</v>
      </c>
      <c r="E8" s="5">
        <f>+'4'!H57</f>
        <v>0</v>
      </c>
      <c r="F8" s="5">
        <f>+'5'!H57</f>
        <v>0</v>
      </c>
      <c r="G8" s="5">
        <f>+'6'!H57</f>
        <v>0</v>
      </c>
      <c r="H8" s="5">
        <f>+'7'!H57</f>
        <v>0</v>
      </c>
      <c r="I8" s="5">
        <f>+'8'!H57</f>
        <v>0</v>
      </c>
      <c r="J8" s="5">
        <f>+'9'!H57</f>
        <v>0</v>
      </c>
      <c r="K8" s="5">
        <f>+'10'!H57</f>
        <v>0</v>
      </c>
      <c r="L8" s="5">
        <f>+'11'!H57</f>
        <v>0</v>
      </c>
      <c r="M8" s="5">
        <f>+'12'!H57</f>
        <v>0</v>
      </c>
      <c r="N8" s="5">
        <f>+'13'!H57</f>
        <v>0</v>
      </c>
      <c r="O8" s="5">
        <f>+'14'!H57</f>
        <v>0</v>
      </c>
      <c r="P8" s="5">
        <f>+'15'!H57</f>
        <v>0</v>
      </c>
      <c r="Q8" s="5">
        <f>+'16'!H57</f>
        <v>0</v>
      </c>
      <c r="R8" s="5">
        <f>+'17'!H57</f>
        <v>0</v>
      </c>
      <c r="S8" s="5">
        <f>+'18'!H57</f>
        <v>0</v>
      </c>
      <c r="T8" s="5">
        <f>+'19'!H57</f>
        <v>0</v>
      </c>
      <c r="U8" s="5">
        <f>+'20'!H57</f>
        <v>0</v>
      </c>
      <c r="V8" s="5">
        <f>+'21'!H57</f>
        <v>0</v>
      </c>
      <c r="W8" s="5">
        <f>+'22'!H57</f>
        <v>0</v>
      </c>
      <c r="X8" s="5">
        <f>+'23'!H57</f>
        <v>0</v>
      </c>
      <c r="Y8" s="5">
        <f>+'24'!H57</f>
        <v>0</v>
      </c>
      <c r="Z8" s="5">
        <f>+'25'!H57</f>
        <v>0</v>
      </c>
      <c r="AA8" s="5">
        <f>+'26'!H57</f>
        <v>0</v>
      </c>
      <c r="AB8" s="5">
        <f>+'27'!H57</f>
        <v>0</v>
      </c>
      <c r="AC8" s="5">
        <f>+'28'!H57</f>
        <v>0</v>
      </c>
      <c r="AD8" s="5">
        <f>+'29'!H57</f>
        <v>0</v>
      </c>
      <c r="AE8" s="5">
        <f>+'30'!H57</f>
        <v>0</v>
      </c>
      <c r="AF8" s="70">
        <f>+'31'!H57</f>
        <v>0</v>
      </c>
      <c r="AG8" s="81">
        <f>SUM(B8:AF8)</f>
        <v>11.5</v>
      </c>
    </row>
    <row r="9" spans="1:33" x14ac:dyDescent="0.25">
      <c r="A9" s="36" t="s">
        <v>116</v>
      </c>
      <c r="B9" s="69">
        <f>+'1'!H58</f>
        <v>0</v>
      </c>
      <c r="C9" s="5">
        <f>+'2'!H58</f>
        <v>0</v>
      </c>
      <c r="D9" s="5">
        <f>+'3'!H58</f>
        <v>0</v>
      </c>
      <c r="E9" s="5">
        <f>+'4'!H58</f>
        <v>0</v>
      </c>
      <c r="F9" s="5">
        <f>+'5'!H58</f>
        <v>0</v>
      </c>
      <c r="G9" s="5">
        <f>+'6'!H58</f>
        <v>0</v>
      </c>
      <c r="H9" s="5">
        <f>+'7'!H58</f>
        <v>0</v>
      </c>
      <c r="I9" s="5">
        <f>+'8'!H58</f>
        <v>0</v>
      </c>
      <c r="J9" s="5">
        <f>+'9'!H58</f>
        <v>0</v>
      </c>
      <c r="K9" s="5">
        <f>+'10'!H58</f>
        <v>0</v>
      </c>
      <c r="L9" s="5">
        <f>+'11'!H58</f>
        <v>0</v>
      </c>
      <c r="M9" s="5">
        <f>+'12'!H58</f>
        <v>0</v>
      </c>
      <c r="N9" s="5">
        <f>+'13'!H58</f>
        <v>0</v>
      </c>
      <c r="O9" s="5">
        <f>+'14'!H58</f>
        <v>0</v>
      </c>
      <c r="P9" s="5">
        <f>+'15'!H58</f>
        <v>0</v>
      </c>
      <c r="Q9" s="5">
        <f>+'16'!H58</f>
        <v>0</v>
      </c>
      <c r="R9" s="5">
        <f>+'17'!H58</f>
        <v>0</v>
      </c>
      <c r="S9" s="5">
        <f>+'18'!H58</f>
        <v>0</v>
      </c>
      <c r="T9" s="5">
        <f>+'19'!H58</f>
        <v>0</v>
      </c>
      <c r="U9" s="5">
        <f>+'20'!H58</f>
        <v>0</v>
      </c>
      <c r="V9" s="5">
        <f>+'21'!H58</f>
        <v>0</v>
      </c>
      <c r="W9" s="5">
        <f>+'22'!H58</f>
        <v>0</v>
      </c>
      <c r="X9" s="5">
        <f>+'23'!H58</f>
        <v>0</v>
      </c>
      <c r="Y9" s="5">
        <f>+'24'!H58</f>
        <v>0</v>
      </c>
      <c r="Z9" s="5">
        <f>+'25'!H58</f>
        <v>0</v>
      </c>
      <c r="AA9" s="5">
        <f>+'26'!H58</f>
        <v>0</v>
      </c>
      <c r="AB9" s="5">
        <f>+'27'!H58</f>
        <v>0</v>
      </c>
      <c r="AC9" s="5">
        <f>+'28'!H58</f>
        <v>0</v>
      </c>
      <c r="AD9" s="5">
        <f>+'29'!H58</f>
        <v>0</v>
      </c>
      <c r="AE9" s="5">
        <f>+'30'!H58</f>
        <v>0</v>
      </c>
      <c r="AF9" s="70">
        <f>+'31'!H58</f>
        <v>0</v>
      </c>
      <c r="AG9" s="81">
        <f>SUM(B9:AF9)</f>
        <v>0</v>
      </c>
    </row>
    <row r="10" spans="1:33" x14ac:dyDescent="0.25">
      <c r="A10" s="161" t="s">
        <v>29</v>
      </c>
      <c r="B10" s="165">
        <f>SUM(B7:B9)</f>
        <v>11.5</v>
      </c>
      <c r="C10" s="144">
        <f t="shared" ref="C10:AG10" si="2">SUM(C7:C9)</f>
        <v>11.5</v>
      </c>
      <c r="D10" s="144">
        <f t="shared" si="2"/>
        <v>11.5</v>
      </c>
      <c r="E10" s="144">
        <f t="shared" si="2"/>
        <v>11.5</v>
      </c>
      <c r="F10" s="144">
        <f t="shared" si="2"/>
        <v>11.5</v>
      </c>
      <c r="G10" s="144">
        <f t="shared" si="2"/>
        <v>11.5</v>
      </c>
      <c r="H10" s="144">
        <f t="shared" si="2"/>
        <v>11.5</v>
      </c>
      <c r="I10" s="144">
        <f t="shared" si="2"/>
        <v>11.5</v>
      </c>
      <c r="J10" s="144">
        <f t="shared" si="2"/>
        <v>11.5</v>
      </c>
      <c r="K10" s="144">
        <f t="shared" si="2"/>
        <v>11.5</v>
      </c>
      <c r="L10" s="144">
        <f t="shared" si="2"/>
        <v>11.5</v>
      </c>
      <c r="M10" s="144">
        <f t="shared" si="2"/>
        <v>11.5</v>
      </c>
      <c r="N10" s="144">
        <f t="shared" si="2"/>
        <v>11.5</v>
      </c>
      <c r="O10" s="144">
        <f t="shared" si="2"/>
        <v>11.5</v>
      </c>
      <c r="P10" s="144">
        <f t="shared" si="2"/>
        <v>11.5</v>
      </c>
      <c r="Q10" s="144">
        <f t="shared" si="2"/>
        <v>11.5</v>
      </c>
      <c r="R10" s="144">
        <f t="shared" si="2"/>
        <v>11.5</v>
      </c>
      <c r="S10" s="144">
        <f t="shared" si="2"/>
        <v>11.5</v>
      </c>
      <c r="T10" s="144">
        <f t="shared" si="2"/>
        <v>11.5</v>
      </c>
      <c r="U10" s="144">
        <f t="shared" si="2"/>
        <v>11.5</v>
      </c>
      <c r="V10" s="144">
        <f t="shared" si="2"/>
        <v>11.5</v>
      </c>
      <c r="W10" s="144">
        <f t="shared" si="2"/>
        <v>11.5</v>
      </c>
      <c r="X10" s="144">
        <f t="shared" si="2"/>
        <v>11.5</v>
      </c>
      <c r="Y10" s="144">
        <f t="shared" si="2"/>
        <v>11.5</v>
      </c>
      <c r="Z10" s="144">
        <f t="shared" si="2"/>
        <v>11.5</v>
      </c>
      <c r="AA10" s="144">
        <f t="shared" si="2"/>
        <v>11.5</v>
      </c>
      <c r="AB10" s="144">
        <f t="shared" si="2"/>
        <v>11.5</v>
      </c>
      <c r="AC10" s="144">
        <f t="shared" si="2"/>
        <v>11.5</v>
      </c>
      <c r="AD10" s="144">
        <f t="shared" si="2"/>
        <v>11.5</v>
      </c>
      <c r="AE10" s="144">
        <f t="shared" si="2"/>
        <v>11.5</v>
      </c>
      <c r="AF10" s="166">
        <f t="shared" si="2"/>
        <v>11.5</v>
      </c>
      <c r="AG10" s="114">
        <f t="shared" si="2"/>
        <v>11.5</v>
      </c>
    </row>
    <row r="11" spans="1:33" x14ac:dyDescent="0.25">
      <c r="A11" s="177" t="s">
        <v>118</v>
      </c>
      <c r="B11" s="179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1"/>
      <c r="AG11" s="81">
        <f>SUM(B11:AF11)</f>
        <v>0</v>
      </c>
    </row>
    <row r="12" spans="1:33" x14ac:dyDescent="0.25">
      <c r="A12" s="122" t="s">
        <v>119</v>
      </c>
      <c r="B12" s="167">
        <f>+B10-B11</f>
        <v>11.5</v>
      </c>
      <c r="C12" s="168">
        <f t="shared" ref="C12:AG12" si="3">+C10-C11</f>
        <v>11.5</v>
      </c>
      <c r="D12" s="168">
        <f t="shared" si="3"/>
        <v>11.5</v>
      </c>
      <c r="E12" s="168">
        <f t="shared" si="3"/>
        <v>11.5</v>
      </c>
      <c r="F12" s="168">
        <f t="shared" si="3"/>
        <v>11.5</v>
      </c>
      <c r="G12" s="168">
        <f t="shared" si="3"/>
        <v>11.5</v>
      </c>
      <c r="H12" s="168">
        <f t="shared" si="3"/>
        <v>11.5</v>
      </c>
      <c r="I12" s="168">
        <f t="shared" si="3"/>
        <v>11.5</v>
      </c>
      <c r="J12" s="168">
        <f t="shared" si="3"/>
        <v>11.5</v>
      </c>
      <c r="K12" s="168">
        <f t="shared" si="3"/>
        <v>11.5</v>
      </c>
      <c r="L12" s="168">
        <f t="shared" si="3"/>
        <v>11.5</v>
      </c>
      <c r="M12" s="168">
        <f t="shared" si="3"/>
        <v>11.5</v>
      </c>
      <c r="N12" s="168">
        <f t="shared" si="3"/>
        <v>11.5</v>
      </c>
      <c r="O12" s="168">
        <f t="shared" si="3"/>
        <v>11.5</v>
      </c>
      <c r="P12" s="168">
        <f t="shared" si="3"/>
        <v>11.5</v>
      </c>
      <c r="Q12" s="168">
        <f t="shared" si="3"/>
        <v>11.5</v>
      </c>
      <c r="R12" s="168">
        <f t="shared" si="3"/>
        <v>11.5</v>
      </c>
      <c r="S12" s="168">
        <f t="shared" si="3"/>
        <v>11.5</v>
      </c>
      <c r="T12" s="168">
        <f t="shared" si="3"/>
        <v>11.5</v>
      </c>
      <c r="U12" s="168">
        <f t="shared" si="3"/>
        <v>11.5</v>
      </c>
      <c r="V12" s="168">
        <f t="shared" si="3"/>
        <v>11.5</v>
      </c>
      <c r="W12" s="168">
        <f t="shared" si="3"/>
        <v>11.5</v>
      </c>
      <c r="X12" s="168">
        <f t="shared" si="3"/>
        <v>11.5</v>
      </c>
      <c r="Y12" s="168">
        <f t="shared" si="3"/>
        <v>11.5</v>
      </c>
      <c r="Z12" s="168">
        <f t="shared" si="3"/>
        <v>11.5</v>
      </c>
      <c r="AA12" s="168">
        <f t="shared" si="3"/>
        <v>11.5</v>
      </c>
      <c r="AB12" s="168">
        <f t="shared" si="3"/>
        <v>11.5</v>
      </c>
      <c r="AC12" s="168">
        <f t="shared" si="3"/>
        <v>11.5</v>
      </c>
      <c r="AD12" s="168">
        <f t="shared" si="3"/>
        <v>11.5</v>
      </c>
      <c r="AE12" s="168">
        <f t="shared" si="3"/>
        <v>11.5</v>
      </c>
      <c r="AF12" s="169">
        <f t="shared" si="3"/>
        <v>11.5</v>
      </c>
      <c r="AG12" s="119">
        <f t="shared" si="3"/>
        <v>11.5</v>
      </c>
    </row>
    <row r="13" spans="1:33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3" x14ac:dyDescent="0.25">
      <c r="A14" s="170" t="s">
        <v>206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3" x14ac:dyDescent="0.25">
      <c r="A15" s="42" t="s">
        <v>125</v>
      </c>
      <c r="B15" s="162"/>
      <c r="C15" s="163">
        <f>+B20</f>
        <v>0</v>
      </c>
      <c r="D15" s="163">
        <f t="shared" ref="D15:AF15" si="4">+C20</f>
        <v>0</v>
      </c>
      <c r="E15" s="163">
        <f t="shared" si="4"/>
        <v>0</v>
      </c>
      <c r="F15" s="163">
        <f t="shared" si="4"/>
        <v>0</v>
      </c>
      <c r="G15" s="163">
        <f t="shared" si="4"/>
        <v>0</v>
      </c>
      <c r="H15" s="163">
        <f t="shared" si="4"/>
        <v>0</v>
      </c>
      <c r="I15" s="163">
        <f t="shared" si="4"/>
        <v>0</v>
      </c>
      <c r="J15" s="163">
        <f t="shared" si="4"/>
        <v>0</v>
      </c>
      <c r="K15" s="163">
        <f t="shared" si="4"/>
        <v>0</v>
      </c>
      <c r="L15" s="163">
        <f t="shared" si="4"/>
        <v>0</v>
      </c>
      <c r="M15" s="163">
        <f t="shared" si="4"/>
        <v>0</v>
      </c>
      <c r="N15" s="163">
        <f t="shared" si="4"/>
        <v>0</v>
      </c>
      <c r="O15" s="163">
        <f t="shared" si="4"/>
        <v>0</v>
      </c>
      <c r="P15" s="163">
        <f t="shared" si="4"/>
        <v>0</v>
      </c>
      <c r="Q15" s="163">
        <f t="shared" si="4"/>
        <v>0</v>
      </c>
      <c r="R15" s="163">
        <f t="shared" si="4"/>
        <v>0</v>
      </c>
      <c r="S15" s="163">
        <f t="shared" si="4"/>
        <v>0</v>
      </c>
      <c r="T15" s="163">
        <f t="shared" si="4"/>
        <v>0</v>
      </c>
      <c r="U15" s="163">
        <f t="shared" si="4"/>
        <v>0</v>
      </c>
      <c r="V15" s="163">
        <f t="shared" si="4"/>
        <v>0</v>
      </c>
      <c r="W15" s="163">
        <f t="shared" si="4"/>
        <v>0</v>
      </c>
      <c r="X15" s="163">
        <f t="shared" si="4"/>
        <v>0</v>
      </c>
      <c r="Y15" s="163">
        <f t="shared" si="4"/>
        <v>0</v>
      </c>
      <c r="Z15" s="163">
        <f t="shared" si="4"/>
        <v>0</v>
      </c>
      <c r="AA15" s="163">
        <f t="shared" si="4"/>
        <v>0</v>
      </c>
      <c r="AB15" s="163">
        <f t="shared" si="4"/>
        <v>0</v>
      </c>
      <c r="AC15" s="163">
        <f t="shared" si="4"/>
        <v>0</v>
      </c>
      <c r="AD15" s="163">
        <f t="shared" si="4"/>
        <v>0</v>
      </c>
      <c r="AE15" s="163">
        <f t="shared" si="4"/>
        <v>0</v>
      </c>
      <c r="AF15" s="163">
        <f t="shared" si="4"/>
        <v>0</v>
      </c>
      <c r="AG15" s="66">
        <f>+B15</f>
        <v>0</v>
      </c>
    </row>
    <row r="16" spans="1:33" x14ac:dyDescent="0.25">
      <c r="A16" s="36" t="s">
        <v>121</v>
      </c>
      <c r="B16" s="69">
        <f>+'1'!H60</f>
        <v>0</v>
      </c>
      <c r="C16" s="5">
        <f>+'2'!H60</f>
        <v>0</v>
      </c>
      <c r="D16" s="5">
        <f>+'3'!H60</f>
        <v>0</v>
      </c>
      <c r="E16" s="5">
        <f>+'4'!H60</f>
        <v>0</v>
      </c>
      <c r="F16" s="5">
        <f>+'5'!H60</f>
        <v>0</v>
      </c>
      <c r="G16" s="5">
        <f>+'6'!H60</f>
        <v>0</v>
      </c>
      <c r="H16" s="5">
        <f>+'7'!H60</f>
        <v>0</v>
      </c>
      <c r="I16" s="5">
        <f>+'8'!H60</f>
        <v>0</v>
      </c>
      <c r="J16" s="5">
        <f>+'9'!H60</f>
        <v>0</v>
      </c>
      <c r="K16" s="5">
        <f>+'10'!H60</f>
        <v>0</v>
      </c>
      <c r="L16" s="5">
        <f>+'11'!H60</f>
        <v>0</v>
      </c>
      <c r="M16" s="5">
        <f>+'12'!H60</f>
        <v>0</v>
      </c>
      <c r="N16" s="5">
        <f>+'13'!H60</f>
        <v>0</v>
      </c>
      <c r="O16" s="5">
        <f>+'14'!H60</f>
        <v>0</v>
      </c>
      <c r="P16" s="5">
        <f>+'15'!H60</f>
        <v>0</v>
      </c>
      <c r="Q16" s="5">
        <f>+'16'!H60</f>
        <v>0</v>
      </c>
      <c r="R16" s="5">
        <f>+'17'!H60</f>
        <v>0</v>
      </c>
      <c r="S16" s="5">
        <f>+'18'!H60</f>
        <v>0</v>
      </c>
      <c r="T16" s="5">
        <f>+'19'!H60</f>
        <v>0</v>
      </c>
      <c r="U16" s="5">
        <f>+'20'!H60</f>
        <v>0</v>
      </c>
      <c r="V16" s="5">
        <f>+'21'!H60</f>
        <v>0</v>
      </c>
      <c r="W16" s="5">
        <f>+'22'!H60</f>
        <v>0</v>
      </c>
      <c r="X16" s="5">
        <f>+'23'!H60</f>
        <v>0</v>
      </c>
      <c r="Y16" s="5">
        <f>+'24'!H60</f>
        <v>0</v>
      </c>
      <c r="Z16" s="5">
        <f>+'25'!H60</f>
        <v>0</v>
      </c>
      <c r="AA16" s="5">
        <f>+'26'!H60</f>
        <v>0</v>
      </c>
      <c r="AB16" s="5">
        <f>+'27'!H60</f>
        <v>0</v>
      </c>
      <c r="AC16" s="5">
        <f>+'28'!H60</f>
        <v>0</v>
      </c>
      <c r="AD16" s="5">
        <f>+'29'!H60</f>
        <v>0</v>
      </c>
      <c r="AE16" s="5">
        <f>+'30'!H60</f>
        <v>0</v>
      </c>
      <c r="AF16" s="5">
        <f>+'31'!H60</f>
        <v>0</v>
      </c>
      <c r="AG16" s="81">
        <f>SUM(B16:AF16)</f>
        <v>0</v>
      </c>
    </row>
    <row r="17" spans="1:33" x14ac:dyDescent="0.25">
      <c r="A17" s="122" t="s">
        <v>29</v>
      </c>
      <c r="B17" s="167">
        <f>SUM(B15:B16)</f>
        <v>0</v>
      </c>
      <c r="C17" s="168">
        <f t="shared" ref="C17:AG17" si="5">SUM(C15:C16)</f>
        <v>0</v>
      </c>
      <c r="D17" s="168">
        <f t="shared" si="5"/>
        <v>0</v>
      </c>
      <c r="E17" s="168">
        <f t="shared" si="5"/>
        <v>0</v>
      </c>
      <c r="F17" s="168">
        <f t="shared" si="5"/>
        <v>0</v>
      </c>
      <c r="G17" s="168">
        <f t="shared" si="5"/>
        <v>0</v>
      </c>
      <c r="H17" s="168">
        <f t="shared" si="5"/>
        <v>0</v>
      </c>
      <c r="I17" s="168">
        <f t="shared" si="5"/>
        <v>0</v>
      </c>
      <c r="J17" s="168">
        <f t="shared" si="5"/>
        <v>0</v>
      </c>
      <c r="K17" s="168">
        <f t="shared" si="5"/>
        <v>0</v>
      </c>
      <c r="L17" s="168">
        <f t="shared" si="5"/>
        <v>0</v>
      </c>
      <c r="M17" s="168">
        <f t="shared" si="5"/>
        <v>0</v>
      </c>
      <c r="N17" s="168">
        <f t="shared" si="5"/>
        <v>0</v>
      </c>
      <c r="O17" s="168">
        <f t="shared" si="5"/>
        <v>0</v>
      </c>
      <c r="P17" s="168">
        <f t="shared" si="5"/>
        <v>0</v>
      </c>
      <c r="Q17" s="168">
        <f t="shared" si="5"/>
        <v>0</v>
      </c>
      <c r="R17" s="168">
        <f t="shared" si="5"/>
        <v>0</v>
      </c>
      <c r="S17" s="168">
        <f t="shared" si="5"/>
        <v>0</v>
      </c>
      <c r="T17" s="168">
        <f t="shared" si="5"/>
        <v>0</v>
      </c>
      <c r="U17" s="168">
        <f t="shared" si="5"/>
        <v>0</v>
      </c>
      <c r="V17" s="168">
        <f t="shared" si="5"/>
        <v>0</v>
      </c>
      <c r="W17" s="168">
        <f t="shared" si="5"/>
        <v>0</v>
      </c>
      <c r="X17" s="168">
        <f t="shared" si="5"/>
        <v>0</v>
      </c>
      <c r="Y17" s="168">
        <f t="shared" si="5"/>
        <v>0</v>
      </c>
      <c r="Z17" s="168">
        <f t="shared" si="5"/>
        <v>0</v>
      </c>
      <c r="AA17" s="168">
        <f t="shared" si="5"/>
        <v>0</v>
      </c>
      <c r="AB17" s="168">
        <f t="shared" si="5"/>
        <v>0</v>
      </c>
      <c r="AC17" s="168">
        <f t="shared" si="5"/>
        <v>0</v>
      </c>
      <c r="AD17" s="168">
        <f t="shared" si="5"/>
        <v>0</v>
      </c>
      <c r="AE17" s="168">
        <f t="shared" si="5"/>
        <v>0</v>
      </c>
      <c r="AF17" s="168">
        <f t="shared" si="5"/>
        <v>0</v>
      </c>
      <c r="AG17" s="81">
        <f t="shared" si="5"/>
        <v>0</v>
      </c>
    </row>
    <row r="18" spans="1:33" x14ac:dyDescent="0.25">
      <c r="A18" s="176" t="s">
        <v>122</v>
      </c>
      <c r="B18" s="182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66">
        <f>SUM(B18:AF18)</f>
        <v>0</v>
      </c>
    </row>
    <row r="19" spans="1:33" x14ac:dyDescent="0.25">
      <c r="A19" s="37" t="s">
        <v>123</v>
      </c>
      <c r="B19" s="184" t="s">
        <v>205</v>
      </c>
      <c r="C19" s="185" t="s">
        <v>205</v>
      </c>
      <c r="D19" s="185" t="s">
        <v>205</v>
      </c>
      <c r="E19" s="185" t="s">
        <v>205</v>
      </c>
      <c r="F19" s="185" t="s">
        <v>205</v>
      </c>
      <c r="G19" s="185" t="s">
        <v>205</v>
      </c>
      <c r="H19" s="185" t="s">
        <v>205</v>
      </c>
      <c r="I19" s="185" t="s">
        <v>205</v>
      </c>
      <c r="J19" s="185" t="s">
        <v>205</v>
      </c>
      <c r="K19" s="185" t="s">
        <v>205</v>
      </c>
      <c r="L19" s="185" t="s">
        <v>205</v>
      </c>
      <c r="M19" s="185" t="s">
        <v>205</v>
      </c>
      <c r="N19" s="185" t="s">
        <v>205</v>
      </c>
      <c r="O19" s="185" t="s">
        <v>205</v>
      </c>
      <c r="P19" s="185" t="s">
        <v>205</v>
      </c>
      <c r="Q19" s="185" t="s">
        <v>205</v>
      </c>
      <c r="R19" s="185" t="s">
        <v>205</v>
      </c>
      <c r="S19" s="185" t="s">
        <v>205</v>
      </c>
      <c r="T19" s="185" t="s">
        <v>205</v>
      </c>
      <c r="U19" s="185" t="s">
        <v>205</v>
      </c>
      <c r="V19" s="185" t="s">
        <v>205</v>
      </c>
      <c r="W19" s="185" t="s">
        <v>205</v>
      </c>
      <c r="X19" s="185" t="s">
        <v>205</v>
      </c>
      <c r="Y19" s="185" t="s">
        <v>205</v>
      </c>
      <c r="Z19" s="185" t="s">
        <v>205</v>
      </c>
      <c r="AA19" s="185" t="s">
        <v>205</v>
      </c>
      <c r="AB19" s="185" t="s">
        <v>205</v>
      </c>
      <c r="AC19" s="185" t="s">
        <v>205</v>
      </c>
      <c r="AD19" s="185" t="s">
        <v>205</v>
      </c>
      <c r="AE19" s="185" t="s">
        <v>205</v>
      </c>
      <c r="AF19" s="185" t="s">
        <v>205</v>
      </c>
      <c r="AG19" s="202"/>
    </row>
    <row r="20" spans="1:33" x14ac:dyDescent="0.25">
      <c r="A20" s="39" t="s">
        <v>119</v>
      </c>
      <c r="B20" s="60">
        <f>+B17-B18</f>
        <v>0</v>
      </c>
      <c r="C20" s="61">
        <f t="shared" ref="C20:AG20" si="6">+C17-C18</f>
        <v>0</v>
      </c>
      <c r="D20" s="61">
        <f t="shared" si="6"/>
        <v>0</v>
      </c>
      <c r="E20" s="61">
        <f t="shared" si="6"/>
        <v>0</v>
      </c>
      <c r="F20" s="61">
        <f t="shared" si="6"/>
        <v>0</v>
      </c>
      <c r="G20" s="61">
        <f t="shared" si="6"/>
        <v>0</v>
      </c>
      <c r="H20" s="61">
        <f t="shared" si="6"/>
        <v>0</v>
      </c>
      <c r="I20" s="61">
        <f t="shared" si="6"/>
        <v>0</v>
      </c>
      <c r="J20" s="61">
        <f t="shared" si="6"/>
        <v>0</v>
      </c>
      <c r="K20" s="61">
        <f t="shared" si="6"/>
        <v>0</v>
      </c>
      <c r="L20" s="61">
        <f t="shared" si="6"/>
        <v>0</v>
      </c>
      <c r="M20" s="61">
        <f t="shared" si="6"/>
        <v>0</v>
      </c>
      <c r="N20" s="61">
        <f t="shared" si="6"/>
        <v>0</v>
      </c>
      <c r="O20" s="61">
        <f t="shared" si="6"/>
        <v>0</v>
      </c>
      <c r="P20" s="61">
        <f t="shared" si="6"/>
        <v>0</v>
      </c>
      <c r="Q20" s="61">
        <f t="shared" si="6"/>
        <v>0</v>
      </c>
      <c r="R20" s="61">
        <f t="shared" si="6"/>
        <v>0</v>
      </c>
      <c r="S20" s="61">
        <f t="shared" si="6"/>
        <v>0</v>
      </c>
      <c r="T20" s="61">
        <f t="shared" si="6"/>
        <v>0</v>
      </c>
      <c r="U20" s="61">
        <f t="shared" si="6"/>
        <v>0</v>
      </c>
      <c r="V20" s="61">
        <f t="shared" si="6"/>
        <v>0</v>
      </c>
      <c r="W20" s="61">
        <f t="shared" si="6"/>
        <v>0</v>
      </c>
      <c r="X20" s="61">
        <f t="shared" si="6"/>
        <v>0</v>
      </c>
      <c r="Y20" s="61">
        <f t="shared" si="6"/>
        <v>0</v>
      </c>
      <c r="Z20" s="61">
        <f t="shared" si="6"/>
        <v>0</v>
      </c>
      <c r="AA20" s="61">
        <f t="shared" si="6"/>
        <v>0</v>
      </c>
      <c r="AB20" s="61">
        <f t="shared" si="6"/>
        <v>0</v>
      </c>
      <c r="AC20" s="61">
        <f t="shared" si="6"/>
        <v>0</v>
      </c>
      <c r="AD20" s="61">
        <f t="shared" si="6"/>
        <v>0</v>
      </c>
      <c r="AE20" s="61">
        <f t="shared" si="6"/>
        <v>0</v>
      </c>
      <c r="AF20" s="61">
        <f t="shared" si="6"/>
        <v>0</v>
      </c>
      <c r="AG20" s="44">
        <f t="shared" si="6"/>
        <v>0</v>
      </c>
    </row>
    <row r="22" spans="1:33" x14ac:dyDescent="0.25">
      <c r="A22" s="40" t="s">
        <v>124</v>
      </c>
    </row>
    <row r="23" spans="1:33" x14ac:dyDescent="0.25">
      <c r="A23" s="42" t="s">
        <v>125</v>
      </c>
      <c r="B23" s="162"/>
      <c r="C23" s="163">
        <f>+B39</f>
        <v>19855.45</v>
      </c>
      <c r="D23" s="163">
        <f t="shared" ref="D23:AF23" si="7">+C39</f>
        <v>19855.45</v>
      </c>
      <c r="E23" s="163">
        <f t="shared" si="7"/>
        <v>19855.45</v>
      </c>
      <c r="F23" s="163">
        <f t="shared" si="7"/>
        <v>19855.45</v>
      </c>
      <c r="G23" s="163">
        <f t="shared" si="7"/>
        <v>19855.45</v>
      </c>
      <c r="H23" s="163">
        <f t="shared" si="7"/>
        <v>19855.45</v>
      </c>
      <c r="I23" s="163">
        <f t="shared" si="7"/>
        <v>19855.45</v>
      </c>
      <c r="J23" s="163">
        <f t="shared" si="7"/>
        <v>19855.45</v>
      </c>
      <c r="K23" s="163">
        <f t="shared" si="7"/>
        <v>19855.45</v>
      </c>
      <c r="L23" s="163">
        <f t="shared" si="7"/>
        <v>19855.45</v>
      </c>
      <c r="M23" s="163">
        <f t="shared" si="7"/>
        <v>19855.45</v>
      </c>
      <c r="N23" s="163">
        <f t="shared" si="7"/>
        <v>19855.45</v>
      </c>
      <c r="O23" s="163">
        <f t="shared" si="7"/>
        <v>19855.45</v>
      </c>
      <c r="P23" s="163">
        <f t="shared" si="7"/>
        <v>19855.45</v>
      </c>
      <c r="Q23" s="163">
        <f t="shared" si="7"/>
        <v>19855.45</v>
      </c>
      <c r="R23" s="163">
        <f t="shared" si="7"/>
        <v>19855.45</v>
      </c>
      <c r="S23" s="163">
        <f t="shared" si="7"/>
        <v>19855.45</v>
      </c>
      <c r="T23" s="163">
        <f t="shared" si="7"/>
        <v>19855.45</v>
      </c>
      <c r="U23" s="163">
        <f t="shared" si="7"/>
        <v>19855.45</v>
      </c>
      <c r="V23" s="163">
        <f t="shared" si="7"/>
        <v>19855.45</v>
      </c>
      <c r="W23" s="163">
        <f t="shared" si="7"/>
        <v>19855.45</v>
      </c>
      <c r="X23" s="163">
        <f t="shared" si="7"/>
        <v>19855.45</v>
      </c>
      <c r="Y23" s="163">
        <f t="shared" si="7"/>
        <v>19855.45</v>
      </c>
      <c r="Z23" s="163">
        <f t="shared" si="7"/>
        <v>19855.45</v>
      </c>
      <c r="AA23" s="163">
        <f t="shared" si="7"/>
        <v>19855.45</v>
      </c>
      <c r="AB23" s="163">
        <f t="shared" si="7"/>
        <v>19855.45</v>
      </c>
      <c r="AC23" s="163">
        <f t="shared" si="7"/>
        <v>19855.45</v>
      </c>
      <c r="AD23" s="163">
        <f t="shared" si="7"/>
        <v>19855.45</v>
      </c>
      <c r="AE23" s="163">
        <f t="shared" si="7"/>
        <v>19855.45</v>
      </c>
      <c r="AF23" s="164">
        <f t="shared" si="7"/>
        <v>19855.45</v>
      </c>
      <c r="AG23" s="66">
        <f>+B23</f>
        <v>0</v>
      </c>
    </row>
    <row r="24" spans="1:33" x14ac:dyDescent="0.25">
      <c r="A24" s="36" t="s">
        <v>126</v>
      </c>
      <c r="B24" s="69">
        <f>+'1'!H63</f>
        <v>19855.45</v>
      </c>
      <c r="C24" s="5">
        <f>+'2'!H63</f>
        <v>0</v>
      </c>
      <c r="D24" s="5">
        <f>+'3'!H63</f>
        <v>0</v>
      </c>
      <c r="E24" s="5">
        <f>+'4'!H63</f>
        <v>0</v>
      </c>
      <c r="F24" s="5">
        <f>+'5'!H63</f>
        <v>0</v>
      </c>
      <c r="G24" s="5">
        <f>+'6'!H63</f>
        <v>0</v>
      </c>
      <c r="H24" s="5">
        <f>+'7'!H63</f>
        <v>0</v>
      </c>
      <c r="I24" s="5">
        <f>+'8'!H63</f>
        <v>0</v>
      </c>
      <c r="J24" s="5">
        <f>+'9'!H63</f>
        <v>0</v>
      </c>
      <c r="K24" s="5">
        <f>+'10'!H63</f>
        <v>0</v>
      </c>
      <c r="L24" s="5">
        <f>+'11'!H63</f>
        <v>0</v>
      </c>
      <c r="M24" s="5">
        <f>+'12'!H63</f>
        <v>0</v>
      </c>
      <c r="N24" s="5">
        <f>+'13'!H63</f>
        <v>0</v>
      </c>
      <c r="O24" s="5">
        <f>+'14'!H63</f>
        <v>0</v>
      </c>
      <c r="P24" s="5">
        <f>+'15'!H63</f>
        <v>0</v>
      </c>
      <c r="Q24" s="5">
        <f>+'16'!H63</f>
        <v>0</v>
      </c>
      <c r="R24" s="5">
        <f>+'17'!H63</f>
        <v>0</v>
      </c>
      <c r="S24" s="5">
        <f>+'18'!H63</f>
        <v>0</v>
      </c>
      <c r="T24" s="5">
        <f>+'19'!H63</f>
        <v>0</v>
      </c>
      <c r="U24" s="5">
        <f>+'20'!H63</f>
        <v>0</v>
      </c>
      <c r="V24" s="5">
        <f>+'21'!H63</f>
        <v>0</v>
      </c>
      <c r="W24" s="5">
        <f>+'22'!H63</f>
        <v>0</v>
      </c>
      <c r="X24" s="5">
        <f>+'23'!H63</f>
        <v>0</v>
      </c>
      <c r="Y24" s="5">
        <f>+'24'!H63</f>
        <v>0</v>
      </c>
      <c r="Z24" s="5">
        <f>+'25'!H63</f>
        <v>0</v>
      </c>
      <c r="AA24" s="5">
        <f>+'26'!H63</f>
        <v>0</v>
      </c>
      <c r="AB24" s="5">
        <f>+'27'!H63</f>
        <v>0</v>
      </c>
      <c r="AC24" s="5">
        <f>+'28'!H63</f>
        <v>0</v>
      </c>
      <c r="AD24" s="5">
        <f>+'29'!H63</f>
        <v>0</v>
      </c>
      <c r="AE24" s="5">
        <f>+'30'!H63</f>
        <v>0</v>
      </c>
      <c r="AF24" s="70">
        <f>+'31'!H63</f>
        <v>0</v>
      </c>
      <c r="AG24" s="81">
        <f>SUM(B24:AF24)</f>
        <v>19855.45</v>
      </c>
    </row>
    <row r="25" spans="1:33" x14ac:dyDescent="0.25">
      <c r="A25" s="161" t="s">
        <v>29</v>
      </c>
      <c r="B25" s="167">
        <f>SUM(B23:B24)</f>
        <v>19855.45</v>
      </c>
      <c r="C25" s="168">
        <f t="shared" ref="C25:AG25" si="8">SUM(C23:C24)</f>
        <v>19855.45</v>
      </c>
      <c r="D25" s="168">
        <f t="shared" si="8"/>
        <v>19855.45</v>
      </c>
      <c r="E25" s="168">
        <f t="shared" si="8"/>
        <v>19855.45</v>
      </c>
      <c r="F25" s="168">
        <f t="shared" si="8"/>
        <v>19855.45</v>
      </c>
      <c r="G25" s="168">
        <f t="shared" si="8"/>
        <v>19855.45</v>
      </c>
      <c r="H25" s="168">
        <f t="shared" si="8"/>
        <v>19855.45</v>
      </c>
      <c r="I25" s="168">
        <f t="shared" si="8"/>
        <v>19855.45</v>
      </c>
      <c r="J25" s="168">
        <f t="shared" si="8"/>
        <v>19855.45</v>
      </c>
      <c r="K25" s="168">
        <f t="shared" si="8"/>
        <v>19855.45</v>
      </c>
      <c r="L25" s="168">
        <f t="shared" si="8"/>
        <v>19855.45</v>
      </c>
      <c r="M25" s="168">
        <f t="shared" si="8"/>
        <v>19855.45</v>
      </c>
      <c r="N25" s="168">
        <f t="shared" si="8"/>
        <v>19855.45</v>
      </c>
      <c r="O25" s="168">
        <f t="shared" si="8"/>
        <v>19855.45</v>
      </c>
      <c r="P25" s="168">
        <f t="shared" si="8"/>
        <v>19855.45</v>
      </c>
      <c r="Q25" s="168">
        <f t="shared" si="8"/>
        <v>19855.45</v>
      </c>
      <c r="R25" s="168">
        <f t="shared" si="8"/>
        <v>19855.45</v>
      </c>
      <c r="S25" s="168">
        <f t="shared" si="8"/>
        <v>19855.45</v>
      </c>
      <c r="T25" s="168">
        <f t="shared" si="8"/>
        <v>19855.45</v>
      </c>
      <c r="U25" s="168">
        <f t="shared" si="8"/>
        <v>19855.45</v>
      </c>
      <c r="V25" s="168">
        <f t="shared" si="8"/>
        <v>19855.45</v>
      </c>
      <c r="W25" s="168">
        <f t="shared" si="8"/>
        <v>19855.45</v>
      </c>
      <c r="X25" s="168">
        <f t="shared" si="8"/>
        <v>19855.45</v>
      </c>
      <c r="Y25" s="168">
        <f t="shared" si="8"/>
        <v>19855.45</v>
      </c>
      <c r="Z25" s="168">
        <f t="shared" si="8"/>
        <v>19855.45</v>
      </c>
      <c r="AA25" s="168">
        <f t="shared" si="8"/>
        <v>19855.45</v>
      </c>
      <c r="AB25" s="168">
        <f t="shared" si="8"/>
        <v>19855.45</v>
      </c>
      <c r="AC25" s="168">
        <f t="shared" si="8"/>
        <v>19855.45</v>
      </c>
      <c r="AD25" s="168">
        <f t="shared" si="8"/>
        <v>19855.45</v>
      </c>
      <c r="AE25" s="168">
        <f t="shared" si="8"/>
        <v>19855.45</v>
      </c>
      <c r="AF25" s="169">
        <f t="shared" si="8"/>
        <v>19855.45</v>
      </c>
      <c r="AG25" s="44">
        <f t="shared" si="8"/>
        <v>19855.45</v>
      </c>
    </row>
    <row r="26" spans="1:33" x14ac:dyDescent="0.25">
      <c r="A26" s="176" t="s">
        <v>127</v>
      </c>
      <c r="B26" s="68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3"/>
      <c r="AG26" s="66">
        <f>SUM(B26:AF26)</f>
        <v>0</v>
      </c>
    </row>
    <row r="27" spans="1:33" x14ac:dyDescent="0.25">
      <c r="A27" s="178" t="s">
        <v>128</v>
      </c>
      <c r="B27" s="171" t="s">
        <v>205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5"/>
      <c r="AG27" s="202"/>
    </row>
    <row r="28" spans="1:33" x14ac:dyDescent="0.25">
      <c r="A28" s="176" t="s">
        <v>129</v>
      </c>
      <c r="B28" s="68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3"/>
      <c r="AG28" s="66">
        <f>SUM(B28:AF28)</f>
        <v>0</v>
      </c>
    </row>
    <row r="29" spans="1:33" x14ac:dyDescent="0.25">
      <c r="A29" s="178" t="s">
        <v>130</v>
      </c>
      <c r="B29" s="171" t="s">
        <v>205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5"/>
      <c r="AG29" s="202"/>
    </row>
    <row r="30" spans="1:33" x14ac:dyDescent="0.25">
      <c r="A30" s="176" t="s">
        <v>131</v>
      </c>
      <c r="B30" s="68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3"/>
      <c r="AG30" s="66">
        <f>SUM(B30:AF30)</f>
        <v>0</v>
      </c>
    </row>
    <row r="31" spans="1:33" x14ac:dyDescent="0.25">
      <c r="A31" s="178" t="s">
        <v>132</v>
      </c>
      <c r="B31" s="171" t="s">
        <v>205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5"/>
      <c r="AG31" s="202"/>
    </row>
    <row r="32" spans="1:33" x14ac:dyDescent="0.25">
      <c r="A32" s="176" t="s">
        <v>133</v>
      </c>
      <c r="B32" s="68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3"/>
      <c r="AG32" s="66">
        <f>SUM(B32:AF32)</f>
        <v>0</v>
      </c>
    </row>
    <row r="33" spans="1:34" x14ac:dyDescent="0.25">
      <c r="A33" s="178" t="s">
        <v>134</v>
      </c>
      <c r="B33" s="171" t="s">
        <v>205</v>
      </c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5"/>
      <c r="AG33" s="202"/>
    </row>
    <row r="34" spans="1:34" x14ac:dyDescent="0.25">
      <c r="A34" s="176" t="s">
        <v>135</v>
      </c>
      <c r="B34" s="68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3"/>
      <c r="AG34" s="66">
        <f>SUM(B34:AF34)</f>
        <v>0</v>
      </c>
    </row>
    <row r="35" spans="1:34" x14ac:dyDescent="0.25">
      <c r="A35" s="178" t="s">
        <v>136</v>
      </c>
      <c r="B35" s="171" t="s">
        <v>205</v>
      </c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5"/>
      <c r="AG35" s="202"/>
    </row>
    <row r="36" spans="1:34" x14ac:dyDescent="0.25">
      <c r="A36" s="176" t="s">
        <v>137</v>
      </c>
      <c r="B36" s="68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3"/>
      <c r="AG36" s="66">
        <f>SUM(B36:AF36)</f>
        <v>0</v>
      </c>
    </row>
    <row r="37" spans="1:34" x14ac:dyDescent="0.25">
      <c r="A37" s="177" t="s">
        <v>138</v>
      </c>
      <c r="B37" s="171" t="s">
        <v>205</v>
      </c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5"/>
      <c r="AG37" s="202"/>
    </row>
    <row r="38" spans="1:34" x14ac:dyDescent="0.25">
      <c r="A38" s="39" t="s">
        <v>139</v>
      </c>
      <c r="B38" s="60">
        <f>+B26+B28+B30+B32+B34+B36</f>
        <v>0</v>
      </c>
      <c r="C38" s="61">
        <f t="shared" ref="C38:AF38" si="9">+C26+C28+C30+C32+C34+C36</f>
        <v>0</v>
      </c>
      <c r="D38" s="61">
        <f t="shared" si="9"/>
        <v>0</v>
      </c>
      <c r="E38" s="61">
        <f t="shared" si="9"/>
        <v>0</v>
      </c>
      <c r="F38" s="61">
        <f t="shared" si="9"/>
        <v>0</v>
      </c>
      <c r="G38" s="61">
        <f t="shared" si="9"/>
        <v>0</v>
      </c>
      <c r="H38" s="61">
        <f t="shared" si="9"/>
        <v>0</v>
      </c>
      <c r="I38" s="61">
        <f t="shared" si="9"/>
        <v>0</v>
      </c>
      <c r="J38" s="61">
        <f t="shared" si="9"/>
        <v>0</v>
      </c>
      <c r="K38" s="61">
        <f t="shared" si="9"/>
        <v>0</v>
      </c>
      <c r="L38" s="61">
        <f t="shared" si="9"/>
        <v>0</v>
      </c>
      <c r="M38" s="61">
        <f t="shared" si="9"/>
        <v>0</v>
      </c>
      <c r="N38" s="61">
        <f t="shared" si="9"/>
        <v>0</v>
      </c>
      <c r="O38" s="61">
        <f t="shared" si="9"/>
        <v>0</v>
      </c>
      <c r="P38" s="61">
        <f t="shared" si="9"/>
        <v>0</v>
      </c>
      <c r="Q38" s="61">
        <f t="shared" si="9"/>
        <v>0</v>
      </c>
      <c r="R38" s="61">
        <f t="shared" si="9"/>
        <v>0</v>
      </c>
      <c r="S38" s="61">
        <f t="shared" si="9"/>
        <v>0</v>
      </c>
      <c r="T38" s="61">
        <f t="shared" si="9"/>
        <v>0</v>
      </c>
      <c r="U38" s="61">
        <f t="shared" si="9"/>
        <v>0</v>
      </c>
      <c r="V38" s="61">
        <f t="shared" si="9"/>
        <v>0</v>
      </c>
      <c r="W38" s="61">
        <f t="shared" si="9"/>
        <v>0</v>
      </c>
      <c r="X38" s="61">
        <f t="shared" si="9"/>
        <v>0</v>
      </c>
      <c r="Y38" s="61">
        <f t="shared" si="9"/>
        <v>0</v>
      </c>
      <c r="Z38" s="61">
        <f t="shared" si="9"/>
        <v>0</v>
      </c>
      <c r="AA38" s="61">
        <f t="shared" si="9"/>
        <v>0</v>
      </c>
      <c r="AB38" s="61">
        <f t="shared" si="9"/>
        <v>0</v>
      </c>
      <c r="AC38" s="61">
        <f t="shared" si="9"/>
        <v>0</v>
      </c>
      <c r="AD38" s="61">
        <f t="shared" si="9"/>
        <v>0</v>
      </c>
      <c r="AE38" s="61">
        <f t="shared" si="9"/>
        <v>0</v>
      </c>
      <c r="AF38" s="62">
        <f t="shared" si="9"/>
        <v>0</v>
      </c>
      <c r="AG38" s="29">
        <f t="shared" ref="AG38" si="10">+AG26+AG28+AG30+AG32+AG34+AG36</f>
        <v>0</v>
      </c>
    </row>
    <row r="39" spans="1:34" x14ac:dyDescent="0.25">
      <c r="A39" s="39" t="s">
        <v>119</v>
      </c>
      <c r="B39" s="60">
        <f>+B25-B38</f>
        <v>19855.45</v>
      </c>
      <c r="C39" s="61">
        <f t="shared" ref="C39:AG39" si="11">+C25-C38</f>
        <v>19855.45</v>
      </c>
      <c r="D39" s="61">
        <f t="shared" si="11"/>
        <v>19855.45</v>
      </c>
      <c r="E39" s="61">
        <f t="shared" si="11"/>
        <v>19855.45</v>
      </c>
      <c r="F39" s="61">
        <f t="shared" si="11"/>
        <v>19855.45</v>
      </c>
      <c r="G39" s="61">
        <f t="shared" si="11"/>
        <v>19855.45</v>
      </c>
      <c r="H39" s="61">
        <f t="shared" si="11"/>
        <v>19855.45</v>
      </c>
      <c r="I39" s="61">
        <f t="shared" si="11"/>
        <v>19855.45</v>
      </c>
      <c r="J39" s="61">
        <f t="shared" si="11"/>
        <v>19855.45</v>
      </c>
      <c r="K39" s="61">
        <f t="shared" si="11"/>
        <v>19855.45</v>
      </c>
      <c r="L39" s="61">
        <f t="shared" si="11"/>
        <v>19855.45</v>
      </c>
      <c r="M39" s="61">
        <f t="shared" si="11"/>
        <v>19855.45</v>
      </c>
      <c r="N39" s="61">
        <f t="shared" si="11"/>
        <v>19855.45</v>
      </c>
      <c r="O39" s="61">
        <f t="shared" si="11"/>
        <v>19855.45</v>
      </c>
      <c r="P39" s="61">
        <f t="shared" si="11"/>
        <v>19855.45</v>
      </c>
      <c r="Q39" s="61">
        <f t="shared" si="11"/>
        <v>19855.45</v>
      </c>
      <c r="R39" s="61">
        <f t="shared" si="11"/>
        <v>19855.45</v>
      </c>
      <c r="S39" s="61">
        <f t="shared" si="11"/>
        <v>19855.45</v>
      </c>
      <c r="T39" s="61">
        <f t="shared" si="11"/>
        <v>19855.45</v>
      </c>
      <c r="U39" s="61">
        <f t="shared" si="11"/>
        <v>19855.45</v>
      </c>
      <c r="V39" s="61">
        <f t="shared" si="11"/>
        <v>19855.45</v>
      </c>
      <c r="W39" s="61">
        <f t="shared" si="11"/>
        <v>19855.45</v>
      </c>
      <c r="X39" s="61">
        <f t="shared" si="11"/>
        <v>19855.45</v>
      </c>
      <c r="Y39" s="61">
        <f t="shared" si="11"/>
        <v>19855.45</v>
      </c>
      <c r="Z39" s="61">
        <f t="shared" si="11"/>
        <v>19855.45</v>
      </c>
      <c r="AA39" s="61">
        <f t="shared" si="11"/>
        <v>19855.45</v>
      </c>
      <c r="AB39" s="61">
        <f t="shared" si="11"/>
        <v>19855.45</v>
      </c>
      <c r="AC39" s="61">
        <f t="shared" si="11"/>
        <v>19855.45</v>
      </c>
      <c r="AD39" s="61">
        <f t="shared" si="11"/>
        <v>19855.45</v>
      </c>
      <c r="AE39" s="61">
        <f t="shared" si="11"/>
        <v>19855.45</v>
      </c>
      <c r="AF39" s="62">
        <f t="shared" si="11"/>
        <v>19855.45</v>
      </c>
      <c r="AG39" s="29">
        <f t="shared" si="11"/>
        <v>19855.45</v>
      </c>
    </row>
    <row r="41" spans="1:34" x14ac:dyDescent="0.25">
      <c r="A41" s="170" t="s">
        <v>145</v>
      </c>
    </row>
    <row r="42" spans="1:34" x14ac:dyDescent="0.25">
      <c r="A42" s="42" t="s">
        <v>125</v>
      </c>
      <c r="B42" s="162"/>
      <c r="C42" s="163">
        <f>+B46</f>
        <v>0</v>
      </c>
      <c r="D42" s="163">
        <f t="shared" ref="D42:AF42" si="12">+C46</f>
        <v>0</v>
      </c>
      <c r="E42" s="163">
        <f t="shared" si="12"/>
        <v>0</v>
      </c>
      <c r="F42" s="163">
        <f t="shared" si="12"/>
        <v>0</v>
      </c>
      <c r="G42" s="163">
        <f t="shared" si="12"/>
        <v>0</v>
      </c>
      <c r="H42" s="163">
        <f t="shared" si="12"/>
        <v>0</v>
      </c>
      <c r="I42" s="163">
        <f t="shared" si="12"/>
        <v>0</v>
      </c>
      <c r="J42" s="163">
        <f t="shared" si="12"/>
        <v>0</v>
      </c>
      <c r="K42" s="163">
        <f t="shared" si="12"/>
        <v>0</v>
      </c>
      <c r="L42" s="163">
        <f t="shared" si="12"/>
        <v>0</v>
      </c>
      <c r="M42" s="163">
        <f t="shared" si="12"/>
        <v>0</v>
      </c>
      <c r="N42" s="163">
        <f t="shared" si="12"/>
        <v>0</v>
      </c>
      <c r="O42" s="163">
        <f t="shared" si="12"/>
        <v>0</v>
      </c>
      <c r="P42" s="163">
        <f t="shared" si="12"/>
        <v>0</v>
      </c>
      <c r="Q42" s="163">
        <f t="shared" si="12"/>
        <v>0</v>
      </c>
      <c r="R42" s="163">
        <f t="shared" si="12"/>
        <v>0</v>
      </c>
      <c r="S42" s="163">
        <f t="shared" si="12"/>
        <v>0</v>
      </c>
      <c r="T42" s="163">
        <f t="shared" si="12"/>
        <v>0</v>
      </c>
      <c r="U42" s="163">
        <f t="shared" si="12"/>
        <v>0</v>
      </c>
      <c r="V42" s="163">
        <f t="shared" si="12"/>
        <v>0</v>
      </c>
      <c r="W42" s="163">
        <f t="shared" si="12"/>
        <v>0</v>
      </c>
      <c r="X42" s="163">
        <f t="shared" si="12"/>
        <v>0</v>
      </c>
      <c r="Y42" s="163">
        <f t="shared" si="12"/>
        <v>0</v>
      </c>
      <c r="Z42" s="163">
        <f t="shared" si="12"/>
        <v>0</v>
      </c>
      <c r="AA42" s="163">
        <f t="shared" si="12"/>
        <v>0</v>
      </c>
      <c r="AB42" s="163">
        <f t="shared" si="12"/>
        <v>0</v>
      </c>
      <c r="AC42" s="163">
        <f t="shared" si="12"/>
        <v>0</v>
      </c>
      <c r="AD42" s="163">
        <f t="shared" si="12"/>
        <v>0</v>
      </c>
      <c r="AE42" s="163">
        <f t="shared" si="12"/>
        <v>0</v>
      </c>
      <c r="AF42" s="164">
        <f t="shared" si="12"/>
        <v>0</v>
      </c>
      <c r="AG42" s="66">
        <f>+B42</f>
        <v>0</v>
      </c>
      <c r="AH42" s="5"/>
    </row>
    <row r="43" spans="1:34" x14ac:dyDescent="0.25">
      <c r="A43" s="36" t="s">
        <v>140</v>
      </c>
      <c r="B43" s="69">
        <f>+'1'!H69</f>
        <v>0</v>
      </c>
      <c r="C43" s="5">
        <f>+'2'!H69</f>
        <v>0</v>
      </c>
      <c r="D43" s="5">
        <f>+'3'!H69</f>
        <v>0</v>
      </c>
      <c r="E43" s="5">
        <f>+'4'!H69</f>
        <v>0</v>
      </c>
      <c r="F43" s="5">
        <f>+'5'!H69</f>
        <v>0</v>
      </c>
      <c r="G43" s="5">
        <f>+'6'!H69</f>
        <v>0</v>
      </c>
      <c r="H43" s="5">
        <f>+'7'!H69</f>
        <v>0</v>
      </c>
      <c r="I43" s="5">
        <f>+'8'!H69</f>
        <v>0</v>
      </c>
      <c r="J43" s="5">
        <f>+'9'!H69</f>
        <v>0</v>
      </c>
      <c r="K43" s="5">
        <f>+'10'!H69</f>
        <v>0</v>
      </c>
      <c r="L43" s="5">
        <f>+'11'!H69</f>
        <v>0</v>
      </c>
      <c r="M43" s="5">
        <f>+'12'!H69</f>
        <v>0</v>
      </c>
      <c r="N43" s="5">
        <f>+'13'!H69</f>
        <v>0</v>
      </c>
      <c r="O43" s="5">
        <f>+'14'!H69</f>
        <v>0</v>
      </c>
      <c r="P43" s="5">
        <f>+'15'!H69</f>
        <v>0</v>
      </c>
      <c r="Q43" s="5">
        <f>+'16'!H69</f>
        <v>0</v>
      </c>
      <c r="R43" s="5">
        <f>+'17'!H69</f>
        <v>0</v>
      </c>
      <c r="S43" s="5">
        <f>+'18'!H69</f>
        <v>0</v>
      </c>
      <c r="T43" s="5">
        <f>+'19'!H69</f>
        <v>0</v>
      </c>
      <c r="U43" s="5">
        <f>+'20'!H69</f>
        <v>0</v>
      </c>
      <c r="V43" s="5">
        <f>+'21'!H69</f>
        <v>0</v>
      </c>
      <c r="W43" s="5">
        <f>+'22'!H69</f>
        <v>0</v>
      </c>
      <c r="X43" s="5">
        <f>+'23'!H69</f>
        <v>0</v>
      </c>
      <c r="Y43" s="5">
        <f>+'24'!H69</f>
        <v>0</v>
      </c>
      <c r="Z43" s="5">
        <f>+'25'!H69</f>
        <v>0</v>
      </c>
      <c r="AA43" s="5">
        <f>+'26'!H69</f>
        <v>0</v>
      </c>
      <c r="AB43" s="5">
        <f>+'27'!H69</f>
        <v>0</v>
      </c>
      <c r="AC43" s="5">
        <f>+'28'!H69</f>
        <v>0</v>
      </c>
      <c r="AD43" s="5">
        <f>+'29'!H69</f>
        <v>0</v>
      </c>
      <c r="AE43" s="5">
        <f>+'30'!H69</f>
        <v>0</v>
      </c>
      <c r="AF43" s="70">
        <f>+'31'!H69</f>
        <v>0</v>
      </c>
      <c r="AG43" s="81">
        <f t="shared" ref="AG43:AG47" si="13">SUM(B43:AF43)</f>
        <v>0</v>
      </c>
      <c r="AH43" s="5"/>
    </row>
    <row r="44" spans="1:34" x14ac:dyDescent="0.25">
      <c r="A44" s="36" t="s">
        <v>141</v>
      </c>
      <c r="B44" s="69">
        <f>+'1'!H70</f>
        <v>0</v>
      </c>
      <c r="C44" s="5">
        <f>+'2'!H70</f>
        <v>0</v>
      </c>
      <c r="D44" s="5">
        <f>+'3'!H70</f>
        <v>0</v>
      </c>
      <c r="E44" s="5">
        <f>+'4'!H70</f>
        <v>0</v>
      </c>
      <c r="F44" s="5">
        <f>+'5'!H70</f>
        <v>0</v>
      </c>
      <c r="G44" s="5">
        <f>+'6'!H70</f>
        <v>0</v>
      </c>
      <c r="H44" s="5">
        <f>+'7'!H70</f>
        <v>0</v>
      </c>
      <c r="I44" s="5">
        <f>+'8'!H70</f>
        <v>0</v>
      </c>
      <c r="J44" s="5">
        <f>+'9'!H70</f>
        <v>0</v>
      </c>
      <c r="K44" s="5">
        <f>+'10'!H70</f>
        <v>0</v>
      </c>
      <c r="L44" s="5">
        <f>+'11'!H70</f>
        <v>0</v>
      </c>
      <c r="M44" s="5">
        <f>+'12'!H70</f>
        <v>0</v>
      </c>
      <c r="N44" s="5">
        <f>+'13'!H70</f>
        <v>0</v>
      </c>
      <c r="O44" s="5">
        <f>+'14'!H70</f>
        <v>0</v>
      </c>
      <c r="P44" s="5">
        <f>+'15'!H70</f>
        <v>0</v>
      </c>
      <c r="Q44" s="5">
        <f>+'16'!H70</f>
        <v>0</v>
      </c>
      <c r="R44" s="5">
        <f>+'17'!H70</f>
        <v>0</v>
      </c>
      <c r="S44" s="5">
        <f>+'18'!H70</f>
        <v>0</v>
      </c>
      <c r="T44" s="5">
        <f>+'19'!H70</f>
        <v>0</v>
      </c>
      <c r="U44" s="5">
        <f>+'20'!H70</f>
        <v>0</v>
      </c>
      <c r="V44" s="5">
        <f>+'21'!H70</f>
        <v>0</v>
      </c>
      <c r="W44" s="5">
        <f>+'22'!H70</f>
        <v>0</v>
      </c>
      <c r="X44" s="5">
        <f>+'23'!H70</f>
        <v>0</v>
      </c>
      <c r="Y44" s="5">
        <f>+'24'!H70</f>
        <v>0</v>
      </c>
      <c r="Z44" s="5">
        <f>+'25'!H70</f>
        <v>0</v>
      </c>
      <c r="AA44" s="5">
        <f>+'26'!H70</f>
        <v>0</v>
      </c>
      <c r="AB44" s="5">
        <f>+'27'!H70</f>
        <v>0</v>
      </c>
      <c r="AC44" s="5">
        <f>+'28'!H70</f>
        <v>0</v>
      </c>
      <c r="AD44" s="5">
        <f>+'29'!H70</f>
        <v>0</v>
      </c>
      <c r="AE44" s="5">
        <f>+'30'!H70</f>
        <v>0</v>
      </c>
      <c r="AF44" s="70">
        <f>+'31'!H70</f>
        <v>0</v>
      </c>
      <c r="AG44" s="81">
        <f t="shared" si="13"/>
        <v>0</v>
      </c>
      <c r="AH44" s="5"/>
    </row>
    <row r="45" spans="1:34" x14ac:dyDescent="0.25">
      <c r="A45" s="37" t="s">
        <v>142</v>
      </c>
      <c r="B45" s="186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8"/>
      <c r="AG45" s="44">
        <f t="shared" si="13"/>
        <v>0</v>
      </c>
      <c r="AH45" s="5"/>
    </row>
    <row r="46" spans="1:34" x14ac:dyDescent="0.25">
      <c r="A46" s="39" t="s">
        <v>119</v>
      </c>
      <c r="B46" s="60">
        <f>SUM(B42:B45)</f>
        <v>0</v>
      </c>
      <c r="C46" s="61">
        <f t="shared" ref="C46:AG46" si="14">SUM(C42:C45)</f>
        <v>0</v>
      </c>
      <c r="D46" s="61">
        <f t="shared" si="14"/>
        <v>0</v>
      </c>
      <c r="E46" s="61">
        <f t="shared" si="14"/>
        <v>0</v>
      </c>
      <c r="F46" s="61">
        <f t="shared" si="14"/>
        <v>0</v>
      </c>
      <c r="G46" s="61">
        <f t="shared" si="14"/>
        <v>0</v>
      </c>
      <c r="H46" s="61">
        <f t="shared" si="14"/>
        <v>0</v>
      </c>
      <c r="I46" s="61">
        <f t="shared" si="14"/>
        <v>0</v>
      </c>
      <c r="J46" s="61">
        <f t="shared" si="14"/>
        <v>0</v>
      </c>
      <c r="K46" s="61">
        <f t="shared" si="14"/>
        <v>0</v>
      </c>
      <c r="L46" s="61">
        <f t="shared" si="14"/>
        <v>0</v>
      </c>
      <c r="M46" s="61">
        <f t="shared" si="14"/>
        <v>0</v>
      </c>
      <c r="N46" s="61">
        <f t="shared" si="14"/>
        <v>0</v>
      </c>
      <c r="O46" s="61">
        <f t="shared" si="14"/>
        <v>0</v>
      </c>
      <c r="P46" s="61">
        <f t="shared" si="14"/>
        <v>0</v>
      </c>
      <c r="Q46" s="61">
        <f t="shared" si="14"/>
        <v>0</v>
      </c>
      <c r="R46" s="61">
        <f t="shared" si="14"/>
        <v>0</v>
      </c>
      <c r="S46" s="61">
        <f t="shared" si="14"/>
        <v>0</v>
      </c>
      <c r="T46" s="61">
        <f t="shared" si="14"/>
        <v>0</v>
      </c>
      <c r="U46" s="61">
        <f t="shared" si="14"/>
        <v>0</v>
      </c>
      <c r="V46" s="61">
        <f t="shared" si="14"/>
        <v>0</v>
      </c>
      <c r="W46" s="61">
        <f t="shared" si="14"/>
        <v>0</v>
      </c>
      <c r="X46" s="61">
        <f t="shared" si="14"/>
        <v>0</v>
      </c>
      <c r="Y46" s="61">
        <f t="shared" si="14"/>
        <v>0</v>
      </c>
      <c r="Z46" s="61">
        <f t="shared" si="14"/>
        <v>0</v>
      </c>
      <c r="AA46" s="61">
        <f t="shared" si="14"/>
        <v>0</v>
      </c>
      <c r="AB46" s="61">
        <f t="shared" si="14"/>
        <v>0</v>
      </c>
      <c r="AC46" s="61">
        <f t="shared" si="14"/>
        <v>0</v>
      </c>
      <c r="AD46" s="61">
        <f t="shared" si="14"/>
        <v>0</v>
      </c>
      <c r="AE46" s="61">
        <f t="shared" si="14"/>
        <v>0</v>
      </c>
      <c r="AF46" s="62">
        <f t="shared" si="14"/>
        <v>0</v>
      </c>
      <c r="AG46" s="29">
        <f t="shared" si="14"/>
        <v>0</v>
      </c>
      <c r="AH46" s="5"/>
    </row>
    <row r="47" spans="1:34" x14ac:dyDescent="0.25">
      <c r="A47" s="38" t="s">
        <v>143</v>
      </c>
      <c r="B47" s="189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1"/>
      <c r="AG47" s="29">
        <f t="shared" si="13"/>
        <v>0</v>
      </c>
      <c r="AH47" s="5"/>
    </row>
    <row r="48" spans="1:34" x14ac:dyDescent="0.25">
      <c r="A48" s="39" t="s">
        <v>144</v>
      </c>
      <c r="B48" s="60">
        <f>+B46-B47</f>
        <v>0</v>
      </c>
      <c r="C48" s="61">
        <f t="shared" ref="C48:AG48" si="15">+C46-C47</f>
        <v>0</v>
      </c>
      <c r="D48" s="61">
        <f t="shared" si="15"/>
        <v>0</v>
      </c>
      <c r="E48" s="61">
        <f t="shared" si="15"/>
        <v>0</v>
      </c>
      <c r="F48" s="61">
        <f t="shared" si="15"/>
        <v>0</v>
      </c>
      <c r="G48" s="61">
        <f t="shared" si="15"/>
        <v>0</v>
      </c>
      <c r="H48" s="61">
        <f t="shared" si="15"/>
        <v>0</v>
      </c>
      <c r="I48" s="61">
        <f t="shared" si="15"/>
        <v>0</v>
      </c>
      <c r="J48" s="61">
        <f t="shared" si="15"/>
        <v>0</v>
      </c>
      <c r="K48" s="61">
        <f t="shared" si="15"/>
        <v>0</v>
      </c>
      <c r="L48" s="61">
        <f t="shared" si="15"/>
        <v>0</v>
      </c>
      <c r="M48" s="61">
        <f t="shared" si="15"/>
        <v>0</v>
      </c>
      <c r="N48" s="61">
        <f t="shared" si="15"/>
        <v>0</v>
      </c>
      <c r="O48" s="61">
        <f t="shared" si="15"/>
        <v>0</v>
      </c>
      <c r="P48" s="61">
        <f t="shared" si="15"/>
        <v>0</v>
      </c>
      <c r="Q48" s="61">
        <f t="shared" si="15"/>
        <v>0</v>
      </c>
      <c r="R48" s="61">
        <f t="shared" si="15"/>
        <v>0</v>
      </c>
      <c r="S48" s="61">
        <f t="shared" si="15"/>
        <v>0</v>
      </c>
      <c r="T48" s="61">
        <f t="shared" si="15"/>
        <v>0</v>
      </c>
      <c r="U48" s="61">
        <f t="shared" si="15"/>
        <v>0</v>
      </c>
      <c r="V48" s="61">
        <f t="shared" si="15"/>
        <v>0</v>
      </c>
      <c r="W48" s="61">
        <f t="shared" si="15"/>
        <v>0</v>
      </c>
      <c r="X48" s="61">
        <f t="shared" si="15"/>
        <v>0</v>
      </c>
      <c r="Y48" s="61">
        <f t="shared" si="15"/>
        <v>0</v>
      </c>
      <c r="Z48" s="61">
        <f t="shared" si="15"/>
        <v>0</v>
      </c>
      <c r="AA48" s="61">
        <f t="shared" si="15"/>
        <v>0</v>
      </c>
      <c r="AB48" s="61">
        <f t="shared" si="15"/>
        <v>0</v>
      </c>
      <c r="AC48" s="61">
        <f t="shared" si="15"/>
        <v>0</v>
      </c>
      <c r="AD48" s="61">
        <f t="shared" si="15"/>
        <v>0</v>
      </c>
      <c r="AE48" s="61">
        <f t="shared" si="15"/>
        <v>0</v>
      </c>
      <c r="AF48" s="62">
        <f t="shared" si="15"/>
        <v>0</v>
      </c>
      <c r="AG48" s="29">
        <f t="shared" si="15"/>
        <v>0</v>
      </c>
      <c r="AH48" s="5"/>
    </row>
    <row r="49" spans="1:34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 x14ac:dyDescent="0.25">
      <c r="A50" s="170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34" x14ac:dyDescent="0.25">
      <c r="A51" s="35" t="s">
        <v>125</v>
      </c>
      <c r="B51" s="162"/>
      <c r="C51" s="163">
        <f>+B54</f>
        <v>0</v>
      </c>
      <c r="D51" s="163">
        <f t="shared" ref="D51:AF51" si="16">+C54</f>
        <v>0</v>
      </c>
      <c r="E51" s="163">
        <f t="shared" si="16"/>
        <v>0</v>
      </c>
      <c r="F51" s="163">
        <f t="shared" si="16"/>
        <v>0</v>
      </c>
      <c r="G51" s="163">
        <f t="shared" si="16"/>
        <v>0</v>
      </c>
      <c r="H51" s="163">
        <f t="shared" si="16"/>
        <v>0</v>
      </c>
      <c r="I51" s="163">
        <f t="shared" si="16"/>
        <v>0</v>
      </c>
      <c r="J51" s="163">
        <f t="shared" si="16"/>
        <v>0</v>
      </c>
      <c r="K51" s="163">
        <f t="shared" si="16"/>
        <v>0</v>
      </c>
      <c r="L51" s="163">
        <f t="shared" si="16"/>
        <v>0</v>
      </c>
      <c r="M51" s="163">
        <f t="shared" si="16"/>
        <v>0</v>
      </c>
      <c r="N51" s="163">
        <f t="shared" si="16"/>
        <v>0</v>
      </c>
      <c r="O51" s="163">
        <f t="shared" si="16"/>
        <v>0</v>
      </c>
      <c r="P51" s="163">
        <f t="shared" si="16"/>
        <v>0</v>
      </c>
      <c r="Q51" s="163">
        <f t="shared" si="16"/>
        <v>0</v>
      </c>
      <c r="R51" s="163">
        <f t="shared" si="16"/>
        <v>0</v>
      </c>
      <c r="S51" s="163">
        <f t="shared" si="16"/>
        <v>0</v>
      </c>
      <c r="T51" s="163">
        <f t="shared" si="16"/>
        <v>0</v>
      </c>
      <c r="U51" s="163">
        <f t="shared" si="16"/>
        <v>0</v>
      </c>
      <c r="V51" s="163">
        <f t="shared" si="16"/>
        <v>0</v>
      </c>
      <c r="W51" s="163">
        <f t="shared" si="16"/>
        <v>0</v>
      </c>
      <c r="X51" s="163">
        <f t="shared" si="16"/>
        <v>0</v>
      </c>
      <c r="Y51" s="163">
        <f t="shared" si="16"/>
        <v>0</v>
      </c>
      <c r="Z51" s="163">
        <f t="shared" si="16"/>
        <v>0</v>
      </c>
      <c r="AA51" s="163">
        <f t="shared" si="16"/>
        <v>0</v>
      </c>
      <c r="AB51" s="163">
        <f t="shared" si="16"/>
        <v>0</v>
      </c>
      <c r="AC51" s="163">
        <f t="shared" si="16"/>
        <v>0</v>
      </c>
      <c r="AD51" s="163">
        <f t="shared" si="16"/>
        <v>0</v>
      </c>
      <c r="AE51" s="163">
        <f t="shared" si="16"/>
        <v>0</v>
      </c>
      <c r="AF51" s="164">
        <f t="shared" si="16"/>
        <v>0</v>
      </c>
      <c r="AG51" s="66">
        <f>+B51</f>
        <v>0</v>
      </c>
      <c r="AH51" s="5"/>
    </row>
    <row r="52" spans="1:34" x14ac:dyDescent="0.25">
      <c r="A52" s="36" t="s">
        <v>148</v>
      </c>
      <c r="B52" s="69">
        <f>+'1'!H74</f>
        <v>0</v>
      </c>
      <c r="C52" s="5">
        <f>+'2'!H74</f>
        <v>0</v>
      </c>
      <c r="D52" s="5">
        <f>+'3'!H74</f>
        <v>0</v>
      </c>
      <c r="E52" s="5">
        <f>+'4'!H74</f>
        <v>0</v>
      </c>
      <c r="F52" s="5">
        <f>+'5'!H74</f>
        <v>0</v>
      </c>
      <c r="G52" s="5">
        <f>+'6'!H74</f>
        <v>0</v>
      </c>
      <c r="H52" s="5">
        <f>+'7'!H74</f>
        <v>0</v>
      </c>
      <c r="I52" s="5">
        <f>+'8'!H74</f>
        <v>0</v>
      </c>
      <c r="J52" s="5">
        <f>+'9'!H74</f>
        <v>0</v>
      </c>
      <c r="K52" s="5">
        <f>+'10'!H74</f>
        <v>0</v>
      </c>
      <c r="L52" s="5">
        <f>+'11'!H74</f>
        <v>0</v>
      </c>
      <c r="M52" s="5">
        <f>+'12'!H74</f>
        <v>0</v>
      </c>
      <c r="N52" s="5">
        <f>+'13'!H74</f>
        <v>0</v>
      </c>
      <c r="O52" s="5">
        <f>+'14'!H74</f>
        <v>0</v>
      </c>
      <c r="P52" s="5">
        <f>+'15'!H74</f>
        <v>0</v>
      </c>
      <c r="Q52" s="5">
        <f>+'16'!H74</f>
        <v>0</v>
      </c>
      <c r="R52" s="5">
        <f>+'17'!H74</f>
        <v>0</v>
      </c>
      <c r="S52" s="5">
        <f>+'18'!H74</f>
        <v>0</v>
      </c>
      <c r="T52" s="5">
        <f>+'19'!H74</f>
        <v>0</v>
      </c>
      <c r="U52" s="5">
        <f>+'20'!H74</f>
        <v>0</v>
      </c>
      <c r="V52" s="5">
        <f>+'21'!H74</f>
        <v>0</v>
      </c>
      <c r="W52" s="5">
        <f>+'22'!H74</f>
        <v>0</v>
      </c>
      <c r="X52" s="5">
        <f>+'23'!H74</f>
        <v>0</v>
      </c>
      <c r="Y52" s="5">
        <f>+'24'!H74</f>
        <v>0</v>
      </c>
      <c r="Z52" s="5">
        <f>+'25'!H74</f>
        <v>0</v>
      </c>
      <c r="AA52" s="5">
        <f>+'26'!H74</f>
        <v>0</v>
      </c>
      <c r="AB52" s="5">
        <f>+'27'!H74</f>
        <v>0</v>
      </c>
      <c r="AC52" s="5">
        <f>+'28'!H74</f>
        <v>0</v>
      </c>
      <c r="AD52" s="5">
        <f>+'29'!H74</f>
        <v>0</v>
      </c>
      <c r="AE52" s="5">
        <f>+'30'!H74</f>
        <v>0</v>
      </c>
      <c r="AF52" s="70">
        <f>+'31'!H74</f>
        <v>0</v>
      </c>
      <c r="AG52" s="81">
        <f t="shared" ref="AG52:AG53" si="17">SUM(B52:AF52)</f>
        <v>0</v>
      </c>
      <c r="AH52" s="5"/>
    </row>
    <row r="53" spans="1:34" x14ac:dyDescent="0.25">
      <c r="A53" s="36" t="s">
        <v>149</v>
      </c>
      <c r="B53" s="179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0"/>
      <c r="AE53" s="180"/>
      <c r="AF53" s="181"/>
      <c r="AG53" s="81">
        <f t="shared" si="17"/>
        <v>0</v>
      </c>
      <c r="AH53" s="5"/>
    </row>
    <row r="54" spans="1:34" x14ac:dyDescent="0.25">
      <c r="A54" s="37" t="s">
        <v>119</v>
      </c>
      <c r="B54" s="167">
        <f>+B52-B53</f>
        <v>0</v>
      </c>
      <c r="C54" s="168">
        <f>+C52-C53</f>
        <v>0</v>
      </c>
      <c r="D54" s="168">
        <f t="shared" ref="D54:AG54" si="18">+D52-D53</f>
        <v>0</v>
      </c>
      <c r="E54" s="168">
        <f t="shared" si="18"/>
        <v>0</v>
      </c>
      <c r="F54" s="168">
        <f t="shared" si="18"/>
        <v>0</v>
      </c>
      <c r="G54" s="168">
        <f t="shared" si="18"/>
        <v>0</v>
      </c>
      <c r="H54" s="168">
        <f t="shared" si="18"/>
        <v>0</v>
      </c>
      <c r="I54" s="168">
        <f t="shared" si="18"/>
        <v>0</v>
      </c>
      <c r="J54" s="168">
        <f t="shared" si="18"/>
        <v>0</v>
      </c>
      <c r="K54" s="168">
        <f t="shared" si="18"/>
        <v>0</v>
      </c>
      <c r="L54" s="168">
        <f t="shared" si="18"/>
        <v>0</v>
      </c>
      <c r="M54" s="168">
        <f t="shared" si="18"/>
        <v>0</v>
      </c>
      <c r="N54" s="168">
        <f t="shared" si="18"/>
        <v>0</v>
      </c>
      <c r="O54" s="168">
        <f t="shared" si="18"/>
        <v>0</v>
      </c>
      <c r="P54" s="168">
        <f t="shared" si="18"/>
        <v>0</v>
      </c>
      <c r="Q54" s="168">
        <f t="shared" si="18"/>
        <v>0</v>
      </c>
      <c r="R54" s="168">
        <f t="shared" si="18"/>
        <v>0</v>
      </c>
      <c r="S54" s="168">
        <f t="shared" si="18"/>
        <v>0</v>
      </c>
      <c r="T54" s="168">
        <f t="shared" si="18"/>
        <v>0</v>
      </c>
      <c r="U54" s="168">
        <f t="shared" si="18"/>
        <v>0</v>
      </c>
      <c r="V54" s="168">
        <f t="shared" si="18"/>
        <v>0</v>
      </c>
      <c r="W54" s="168">
        <f t="shared" si="18"/>
        <v>0</v>
      </c>
      <c r="X54" s="168">
        <f t="shared" si="18"/>
        <v>0</v>
      </c>
      <c r="Y54" s="168">
        <f t="shared" si="18"/>
        <v>0</v>
      </c>
      <c r="Z54" s="168">
        <f t="shared" si="18"/>
        <v>0</v>
      </c>
      <c r="AA54" s="168">
        <f t="shared" si="18"/>
        <v>0</v>
      </c>
      <c r="AB54" s="168">
        <f t="shared" si="18"/>
        <v>0</v>
      </c>
      <c r="AC54" s="168">
        <f t="shared" si="18"/>
        <v>0</v>
      </c>
      <c r="AD54" s="168">
        <f t="shared" si="18"/>
        <v>0</v>
      </c>
      <c r="AE54" s="168">
        <f t="shared" si="18"/>
        <v>0</v>
      </c>
      <c r="AF54" s="169">
        <f t="shared" si="18"/>
        <v>0</v>
      </c>
      <c r="AG54" s="44">
        <f t="shared" si="18"/>
        <v>0</v>
      </c>
      <c r="AH54" s="5"/>
    </row>
    <row r="55" spans="1:34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1:34" x14ac:dyDescent="0.25">
      <c r="A56" s="170" t="s">
        <v>150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spans="1:34" x14ac:dyDescent="0.25">
      <c r="A57" s="35" t="s">
        <v>125</v>
      </c>
      <c r="B57" s="162"/>
      <c r="C57" s="163">
        <f>+B60</f>
        <v>0</v>
      </c>
      <c r="D57" s="163">
        <f t="shared" ref="D57:AF57" si="19">+C60</f>
        <v>0</v>
      </c>
      <c r="E57" s="163">
        <f t="shared" si="19"/>
        <v>0</v>
      </c>
      <c r="F57" s="163">
        <f t="shared" si="19"/>
        <v>0</v>
      </c>
      <c r="G57" s="163">
        <f t="shared" si="19"/>
        <v>0</v>
      </c>
      <c r="H57" s="163">
        <f t="shared" si="19"/>
        <v>0</v>
      </c>
      <c r="I57" s="163">
        <f t="shared" si="19"/>
        <v>0</v>
      </c>
      <c r="J57" s="163">
        <f t="shared" si="19"/>
        <v>0</v>
      </c>
      <c r="K57" s="163">
        <f t="shared" si="19"/>
        <v>0</v>
      </c>
      <c r="L57" s="163">
        <f t="shared" si="19"/>
        <v>0</v>
      </c>
      <c r="M57" s="163">
        <f t="shared" si="19"/>
        <v>0</v>
      </c>
      <c r="N57" s="163">
        <f t="shared" si="19"/>
        <v>0</v>
      </c>
      <c r="O57" s="163">
        <f t="shared" si="19"/>
        <v>0</v>
      </c>
      <c r="P57" s="163">
        <f t="shared" si="19"/>
        <v>0</v>
      </c>
      <c r="Q57" s="163">
        <f t="shared" si="19"/>
        <v>0</v>
      </c>
      <c r="R57" s="163">
        <f t="shared" si="19"/>
        <v>0</v>
      </c>
      <c r="S57" s="163">
        <f t="shared" si="19"/>
        <v>0</v>
      </c>
      <c r="T57" s="163">
        <f t="shared" si="19"/>
        <v>0</v>
      </c>
      <c r="U57" s="163">
        <f t="shared" si="19"/>
        <v>0</v>
      </c>
      <c r="V57" s="163">
        <f t="shared" si="19"/>
        <v>0</v>
      </c>
      <c r="W57" s="163">
        <f t="shared" si="19"/>
        <v>0</v>
      </c>
      <c r="X57" s="163">
        <f t="shared" si="19"/>
        <v>0</v>
      </c>
      <c r="Y57" s="163">
        <f t="shared" si="19"/>
        <v>0</v>
      </c>
      <c r="Z57" s="163">
        <f t="shared" si="19"/>
        <v>0</v>
      </c>
      <c r="AA57" s="163">
        <f t="shared" si="19"/>
        <v>0</v>
      </c>
      <c r="AB57" s="163">
        <f t="shared" si="19"/>
        <v>0</v>
      </c>
      <c r="AC57" s="163">
        <f t="shared" si="19"/>
        <v>0</v>
      </c>
      <c r="AD57" s="163">
        <f t="shared" si="19"/>
        <v>0</v>
      </c>
      <c r="AE57" s="163">
        <f t="shared" si="19"/>
        <v>0</v>
      </c>
      <c r="AF57" s="164">
        <f t="shared" si="19"/>
        <v>0</v>
      </c>
      <c r="AG57" s="66">
        <f>+B57</f>
        <v>0</v>
      </c>
      <c r="AH57" s="5"/>
    </row>
    <row r="58" spans="1:34" x14ac:dyDescent="0.25">
      <c r="A58" s="36" t="s">
        <v>151</v>
      </c>
      <c r="B58" s="69">
        <f>+'1'!H77</f>
        <v>0</v>
      </c>
      <c r="C58" s="5">
        <f>+'2'!H77</f>
        <v>0</v>
      </c>
      <c r="D58" s="5">
        <f>+'3'!H77</f>
        <v>0</v>
      </c>
      <c r="E58" s="5">
        <f>+'4'!H77</f>
        <v>0</v>
      </c>
      <c r="F58" s="5">
        <f>+'5'!H77</f>
        <v>0</v>
      </c>
      <c r="G58" s="5">
        <f>+'6'!H77</f>
        <v>0</v>
      </c>
      <c r="H58" s="5">
        <f>+'7'!H77</f>
        <v>0</v>
      </c>
      <c r="I58" s="5">
        <f>+'8'!H77</f>
        <v>0</v>
      </c>
      <c r="J58" s="5">
        <f>+'9'!H77</f>
        <v>0</v>
      </c>
      <c r="K58" s="5">
        <f>+'10'!H77</f>
        <v>0</v>
      </c>
      <c r="L58" s="5">
        <f>+'11'!H77</f>
        <v>0</v>
      </c>
      <c r="M58" s="5">
        <f>+'12'!H77</f>
        <v>0</v>
      </c>
      <c r="N58" s="5">
        <f>+'13'!H77</f>
        <v>0</v>
      </c>
      <c r="O58" s="5">
        <f>+'14'!H77</f>
        <v>0</v>
      </c>
      <c r="P58" s="5">
        <f>+'15'!H77</f>
        <v>0</v>
      </c>
      <c r="Q58" s="5">
        <f>+'16'!H77</f>
        <v>0</v>
      </c>
      <c r="R58" s="5">
        <f>+'17'!H77</f>
        <v>0</v>
      </c>
      <c r="S58" s="5">
        <f>+'18'!H77</f>
        <v>0</v>
      </c>
      <c r="T58" s="5">
        <f>+'19'!H77</f>
        <v>0</v>
      </c>
      <c r="U58" s="5">
        <f>+'20'!H77</f>
        <v>0</v>
      </c>
      <c r="V58" s="5">
        <f>+'21'!H77</f>
        <v>0</v>
      </c>
      <c r="W58" s="5">
        <f>+'22'!H77</f>
        <v>0</v>
      </c>
      <c r="X58" s="5">
        <f>+'23'!H77</f>
        <v>0</v>
      </c>
      <c r="Y58" s="5">
        <f>+'24'!H77</f>
        <v>0</v>
      </c>
      <c r="Z58" s="5">
        <f>+'25'!H77</f>
        <v>0</v>
      </c>
      <c r="AA58" s="5">
        <f>+'26'!H77</f>
        <v>0</v>
      </c>
      <c r="AB58" s="5">
        <f>+'27'!H77</f>
        <v>0</v>
      </c>
      <c r="AC58" s="5">
        <f>+'28'!H77</f>
        <v>0</v>
      </c>
      <c r="AD58" s="5">
        <f>+'29'!H77</f>
        <v>0</v>
      </c>
      <c r="AE58" s="5">
        <f>+'30'!H77</f>
        <v>0</v>
      </c>
      <c r="AF58" s="70">
        <f>+'31'!H77</f>
        <v>0</v>
      </c>
      <c r="AG58" s="81">
        <f t="shared" ref="AG58:AG59" si="20">SUM(B58:AF58)</f>
        <v>0</v>
      </c>
      <c r="AH58" s="5"/>
    </row>
    <row r="59" spans="1:34" x14ac:dyDescent="0.25">
      <c r="A59" s="36" t="s">
        <v>149</v>
      </c>
      <c r="B59" s="179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1"/>
      <c r="AG59" s="81">
        <f t="shared" si="20"/>
        <v>0</v>
      </c>
      <c r="AH59" s="5"/>
    </row>
    <row r="60" spans="1:34" x14ac:dyDescent="0.25">
      <c r="A60" s="37" t="s">
        <v>119</v>
      </c>
      <c r="B60" s="167">
        <f>+B58-B59</f>
        <v>0</v>
      </c>
      <c r="C60" s="168">
        <f>+C58-C59</f>
        <v>0</v>
      </c>
      <c r="D60" s="168">
        <f t="shared" ref="D60" si="21">+D58-D59</f>
        <v>0</v>
      </c>
      <c r="E60" s="168">
        <f t="shared" ref="E60" si="22">+E58-E59</f>
        <v>0</v>
      </c>
      <c r="F60" s="168">
        <f t="shared" ref="F60" si="23">+F58-F59</f>
        <v>0</v>
      </c>
      <c r="G60" s="168">
        <f t="shared" ref="G60" si="24">+G58-G59</f>
        <v>0</v>
      </c>
      <c r="H60" s="168">
        <f t="shared" ref="H60" si="25">+H58-H59</f>
        <v>0</v>
      </c>
      <c r="I60" s="168">
        <f t="shared" ref="I60" si="26">+I58-I59</f>
        <v>0</v>
      </c>
      <c r="J60" s="168">
        <f t="shared" ref="J60" si="27">+J58-J59</f>
        <v>0</v>
      </c>
      <c r="K60" s="168">
        <f t="shared" ref="K60" si="28">+K58-K59</f>
        <v>0</v>
      </c>
      <c r="L60" s="168">
        <f t="shared" ref="L60" si="29">+L58-L59</f>
        <v>0</v>
      </c>
      <c r="M60" s="168">
        <f t="shared" ref="M60" si="30">+M58-M59</f>
        <v>0</v>
      </c>
      <c r="N60" s="168">
        <f t="shared" ref="N60" si="31">+N58-N59</f>
        <v>0</v>
      </c>
      <c r="O60" s="168">
        <f t="shared" ref="O60" si="32">+O58-O59</f>
        <v>0</v>
      </c>
      <c r="P60" s="168">
        <f t="shared" ref="P60" si="33">+P58-P59</f>
        <v>0</v>
      </c>
      <c r="Q60" s="168">
        <f t="shared" ref="Q60" si="34">+Q58-Q59</f>
        <v>0</v>
      </c>
      <c r="R60" s="168">
        <f t="shared" ref="R60" si="35">+R58-R59</f>
        <v>0</v>
      </c>
      <c r="S60" s="168">
        <f t="shared" ref="S60" si="36">+S58-S59</f>
        <v>0</v>
      </c>
      <c r="T60" s="168">
        <f t="shared" ref="T60" si="37">+T58-T59</f>
        <v>0</v>
      </c>
      <c r="U60" s="168">
        <f t="shared" ref="U60" si="38">+U58-U59</f>
        <v>0</v>
      </c>
      <c r="V60" s="168">
        <f t="shared" ref="V60" si="39">+V58-V59</f>
        <v>0</v>
      </c>
      <c r="W60" s="168">
        <f t="shared" ref="W60" si="40">+W58-W59</f>
        <v>0</v>
      </c>
      <c r="X60" s="168">
        <f t="shared" ref="X60" si="41">+X58-X59</f>
        <v>0</v>
      </c>
      <c r="Y60" s="168">
        <f t="shared" ref="Y60" si="42">+Y58-Y59</f>
        <v>0</v>
      </c>
      <c r="Z60" s="168">
        <f t="shared" ref="Z60" si="43">+Z58-Z59</f>
        <v>0</v>
      </c>
      <c r="AA60" s="168">
        <f t="shared" ref="AA60" si="44">+AA58-AA59</f>
        <v>0</v>
      </c>
      <c r="AB60" s="168">
        <f t="shared" ref="AB60" si="45">+AB58-AB59</f>
        <v>0</v>
      </c>
      <c r="AC60" s="168">
        <f t="shared" ref="AC60" si="46">+AC58-AC59</f>
        <v>0</v>
      </c>
      <c r="AD60" s="168">
        <f t="shared" ref="AD60" si="47">+AD58-AD59</f>
        <v>0</v>
      </c>
      <c r="AE60" s="168">
        <f t="shared" ref="AE60" si="48">+AE58-AE59</f>
        <v>0</v>
      </c>
      <c r="AF60" s="169">
        <f t="shared" ref="AF60:AG60" si="49">+AF58-AF59</f>
        <v>0</v>
      </c>
      <c r="AG60" s="44">
        <f t="shared" si="49"/>
        <v>0</v>
      </c>
      <c r="AH60" s="5"/>
    </row>
    <row r="61" spans="1:34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spans="1:34" x14ac:dyDescent="0.25">
      <c r="A62" s="170" t="s">
        <v>152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spans="1:34" x14ac:dyDescent="0.25">
      <c r="A63" s="35" t="s">
        <v>125</v>
      </c>
      <c r="B63" s="162"/>
      <c r="C63" s="163">
        <f>+B66</f>
        <v>0</v>
      </c>
      <c r="D63" s="163">
        <f t="shared" ref="D63:AF63" si="50">+C66</f>
        <v>0</v>
      </c>
      <c r="E63" s="163">
        <f t="shared" si="50"/>
        <v>0</v>
      </c>
      <c r="F63" s="163">
        <f t="shared" si="50"/>
        <v>0</v>
      </c>
      <c r="G63" s="163">
        <f t="shared" si="50"/>
        <v>0</v>
      </c>
      <c r="H63" s="163">
        <f t="shared" si="50"/>
        <v>0</v>
      </c>
      <c r="I63" s="163">
        <f t="shared" si="50"/>
        <v>0</v>
      </c>
      <c r="J63" s="163">
        <f t="shared" si="50"/>
        <v>0</v>
      </c>
      <c r="K63" s="163">
        <f t="shared" si="50"/>
        <v>0</v>
      </c>
      <c r="L63" s="163">
        <f t="shared" si="50"/>
        <v>0</v>
      </c>
      <c r="M63" s="163">
        <f t="shared" si="50"/>
        <v>0</v>
      </c>
      <c r="N63" s="163">
        <f t="shared" si="50"/>
        <v>0</v>
      </c>
      <c r="O63" s="163">
        <f t="shared" si="50"/>
        <v>0</v>
      </c>
      <c r="P63" s="163">
        <f t="shared" si="50"/>
        <v>0</v>
      </c>
      <c r="Q63" s="163">
        <f t="shared" si="50"/>
        <v>0</v>
      </c>
      <c r="R63" s="163">
        <f t="shared" si="50"/>
        <v>0</v>
      </c>
      <c r="S63" s="163">
        <f t="shared" si="50"/>
        <v>0</v>
      </c>
      <c r="T63" s="163">
        <f t="shared" si="50"/>
        <v>0</v>
      </c>
      <c r="U63" s="163">
        <f t="shared" si="50"/>
        <v>0</v>
      </c>
      <c r="V63" s="163">
        <f t="shared" si="50"/>
        <v>0</v>
      </c>
      <c r="W63" s="163">
        <f t="shared" si="50"/>
        <v>0</v>
      </c>
      <c r="X63" s="163">
        <f t="shared" si="50"/>
        <v>0</v>
      </c>
      <c r="Y63" s="163">
        <f t="shared" si="50"/>
        <v>0</v>
      </c>
      <c r="Z63" s="163">
        <f t="shared" si="50"/>
        <v>0</v>
      </c>
      <c r="AA63" s="163">
        <f t="shared" si="50"/>
        <v>0</v>
      </c>
      <c r="AB63" s="163">
        <f t="shared" si="50"/>
        <v>0</v>
      </c>
      <c r="AC63" s="163">
        <f t="shared" si="50"/>
        <v>0</v>
      </c>
      <c r="AD63" s="163">
        <f t="shared" si="50"/>
        <v>0</v>
      </c>
      <c r="AE63" s="163">
        <f t="shared" si="50"/>
        <v>0</v>
      </c>
      <c r="AF63" s="164">
        <f t="shared" si="50"/>
        <v>0</v>
      </c>
      <c r="AG63" s="66">
        <f>+B63</f>
        <v>0</v>
      </c>
      <c r="AH63" s="5"/>
    </row>
    <row r="64" spans="1:34" x14ac:dyDescent="0.25">
      <c r="A64" s="36" t="s">
        <v>153</v>
      </c>
      <c r="B64" s="69">
        <f>+'1'!H79</f>
        <v>0</v>
      </c>
      <c r="C64" s="5">
        <f>+'2'!H79</f>
        <v>0</v>
      </c>
      <c r="D64" s="5">
        <f>+'3'!H79</f>
        <v>0</v>
      </c>
      <c r="E64" s="5">
        <f>+'4'!H79</f>
        <v>0</v>
      </c>
      <c r="F64" s="5">
        <f>+'5'!H79</f>
        <v>0</v>
      </c>
      <c r="G64" s="5">
        <f>+'6'!H79</f>
        <v>0</v>
      </c>
      <c r="H64" s="5">
        <f>+'7'!H79</f>
        <v>0</v>
      </c>
      <c r="I64" s="5">
        <f>+'8'!H79</f>
        <v>0</v>
      </c>
      <c r="J64" s="5">
        <f>+'9'!H79</f>
        <v>0</v>
      </c>
      <c r="K64" s="5">
        <f>+'10'!H79</f>
        <v>0</v>
      </c>
      <c r="L64" s="5">
        <f>+'11'!H79</f>
        <v>0</v>
      </c>
      <c r="M64" s="5">
        <f>+'12'!H79</f>
        <v>0</v>
      </c>
      <c r="N64" s="5">
        <f>+'13'!H79</f>
        <v>0</v>
      </c>
      <c r="O64" s="5">
        <f>+'14'!H79</f>
        <v>0</v>
      </c>
      <c r="P64" s="5">
        <f>+'15'!H79</f>
        <v>0</v>
      </c>
      <c r="Q64" s="5">
        <f>+'16'!H79</f>
        <v>0</v>
      </c>
      <c r="R64" s="5">
        <f>+'17'!H79</f>
        <v>0</v>
      </c>
      <c r="S64" s="5">
        <f>+'18'!H79</f>
        <v>0</v>
      </c>
      <c r="T64" s="5">
        <f>+'19'!H79</f>
        <v>0</v>
      </c>
      <c r="U64" s="5">
        <f>+'20'!H79</f>
        <v>0</v>
      </c>
      <c r="V64" s="5">
        <f>+'21'!H79</f>
        <v>0</v>
      </c>
      <c r="W64" s="5">
        <f>+'22'!H79</f>
        <v>0</v>
      </c>
      <c r="X64" s="5">
        <f>+'23'!H79</f>
        <v>0</v>
      </c>
      <c r="Y64" s="5">
        <f>+'24'!H79</f>
        <v>0</v>
      </c>
      <c r="Z64" s="5">
        <f>+'25'!H79</f>
        <v>0</v>
      </c>
      <c r="AA64" s="5">
        <f>+'26'!H79</f>
        <v>0</v>
      </c>
      <c r="AB64" s="5">
        <f>+'27'!H79</f>
        <v>0</v>
      </c>
      <c r="AC64" s="5">
        <f>+'28'!H79</f>
        <v>0</v>
      </c>
      <c r="AD64" s="5">
        <f>+'29'!H79</f>
        <v>0</v>
      </c>
      <c r="AE64" s="5">
        <f>+'30'!H79</f>
        <v>0</v>
      </c>
      <c r="AF64" s="70">
        <f>+'31'!H79</f>
        <v>0</v>
      </c>
      <c r="AG64" s="81">
        <f t="shared" ref="AG64:AG65" si="51">SUM(B64:AF64)</f>
        <v>0</v>
      </c>
      <c r="AH64" s="5"/>
    </row>
    <row r="65" spans="1:34" x14ac:dyDescent="0.25">
      <c r="A65" s="36" t="s">
        <v>154</v>
      </c>
      <c r="B65" s="179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1"/>
      <c r="AG65" s="81">
        <f t="shared" si="51"/>
        <v>0</v>
      </c>
      <c r="AH65" s="5"/>
    </row>
    <row r="66" spans="1:34" x14ac:dyDescent="0.25">
      <c r="A66" s="37" t="s">
        <v>119</v>
      </c>
      <c r="B66" s="167">
        <f>+B64-B65</f>
        <v>0</v>
      </c>
      <c r="C66" s="168">
        <f>+C64-C65</f>
        <v>0</v>
      </c>
      <c r="D66" s="168">
        <f t="shared" ref="D66" si="52">+D64-D65</f>
        <v>0</v>
      </c>
      <c r="E66" s="168">
        <f t="shared" ref="E66" si="53">+E64-E65</f>
        <v>0</v>
      </c>
      <c r="F66" s="168">
        <f t="shared" ref="F66" si="54">+F64-F65</f>
        <v>0</v>
      </c>
      <c r="G66" s="168">
        <f t="shared" ref="G66" si="55">+G64-G65</f>
        <v>0</v>
      </c>
      <c r="H66" s="168">
        <f t="shared" ref="H66" si="56">+H64-H65</f>
        <v>0</v>
      </c>
      <c r="I66" s="168">
        <f t="shared" ref="I66" si="57">+I64-I65</f>
        <v>0</v>
      </c>
      <c r="J66" s="168">
        <f t="shared" ref="J66" si="58">+J64-J65</f>
        <v>0</v>
      </c>
      <c r="K66" s="168">
        <f t="shared" ref="K66" si="59">+K64-K65</f>
        <v>0</v>
      </c>
      <c r="L66" s="168">
        <f t="shared" ref="L66" si="60">+L64-L65</f>
        <v>0</v>
      </c>
      <c r="M66" s="168">
        <f t="shared" ref="M66" si="61">+M64-M65</f>
        <v>0</v>
      </c>
      <c r="N66" s="168">
        <f t="shared" ref="N66" si="62">+N64-N65</f>
        <v>0</v>
      </c>
      <c r="O66" s="168">
        <f t="shared" ref="O66" si="63">+O64-O65</f>
        <v>0</v>
      </c>
      <c r="P66" s="168">
        <f t="shared" ref="P66" si="64">+P64-P65</f>
        <v>0</v>
      </c>
      <c r="Q66" s="168">
        <f t="shared" ref="Q66" si="65">+Q64-Q65</f>
        <v>0</v>
      </c>
      <c r="R66" s="168">
        <f t="shared" ref="R66" si="66">+R64-R65</f>
        <v>0</v>
      </c>
      <c r="S66" s="168">
        <f t="shared" ref="S66" si="67">+S64-S65</f>
        <v>0</v>
      </c>
      <c r="T66" s="168">
        <f t="shared" ref="T66" si="68">+T64-T65</f>
        <v>0</v>
      </c>
      <c r="U66" s="168">
        <f t="shared" ref="U66" si="69">+U64-U65</f>
        <v>0</v>
      </c>
      <c r="V66" s="168">
        <f t="shared" ref="V66" si="70">+V64-V65</f>
        <v>0</v>
      </c>
      <c r="W66" s="168">
        <f t="shared" ref="W66" si="71">+W64-W65</f>
        <v>0</v>
      </c>
      <c r="X66" s="168">
        <f t="shared" ref="X66" si="72">+X64-X65</f>
        <v>0</v>
      </c>
      <c r="Y66" s="168">
        <f t="shared" ref="Y66" si="73">+Y64-Y65</f>
        <v>0</v>
      </c>
      <c r="Z66" s="168">
        <f t="shared" ref="Z66" si="74">+Z64-Z65</f>
        <v>0</v>
      </c>
      <c r="AA66" s="168">
        <f t="shared" ref="AA66" si="75">+AA64-AA65</f>
        <v>0</v>
      </c>
      <c r="AB66" s="168">
        <f t="shared" ref="AB66" si="76">+AB64-AB65</f>
        <v>0</v>
      </c>
      <c r="AC66" s="168">
        <f t="shared" ref="AC66" si="77">+AC64-AC65</f>
        <v>0</v>
      </c>
      <c r="AD66" s="168">
        <f t="shared" ref="AD66" si="78">+AD64-AD65</f>
        <v>0</v>
      </c>
      <c r="AE66" s="168">
        <f t="shared" ref="AE66" si="79">+AE64-AE65</f>
        <v>0</v>
      </c>
      <c r="AF66" s="169">
        <f t="shared" ref="AF66:AG66" si="80">+AF64-AF65</f>
        <v>0</v>
      </c>
      <c r="AG66" s="44">
        <f t="shared" si="80"/>
        <v>0</v>
      </c>
      <c r="AH66" s="5"/>
    </row>
    <row r="67" spans="1:34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1:34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1:34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spans="1:34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spans="1:34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spans="1:34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spans="1:34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spans="1:34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1:34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1:34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1:34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spans="1:34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spans="1:34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spans="1:34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2:34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2:34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2:34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2:34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spans="2:34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spans="2:34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spans="2:34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spans="2:34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spans="2:34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spans="2:34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spans="2:34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spans="2:34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spans="2:34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spans="2:34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spans="2:34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spans="2:34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spans="2:34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spans="2:34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spans="2:34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spans="2:34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spans="2:34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spans="2:34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spans="2:34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spans="2:34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spans="2:34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spans="2:34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spans="2:34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spans="2:34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spans="2:34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spans="2:34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spans="2:34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spans="2:34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spans="2:34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spans="2:34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spans="2:34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spans="2:34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spans="2:34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spans="2:34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spans="2:34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spans="2:34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spans="2:34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spans="2:34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spans="2:34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spans="2:34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2:34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2:34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spans="2:34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spans="2:34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spans="2:34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spans="2:34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spans="2:34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spans="2:34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spans="2:34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spans="2:34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spans="2:34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spans="2:34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spans="2:34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spans="2:34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spans="2:34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spans="2:34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spans="2:34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spans="2:34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spans="2:34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spans="2:34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spans="2:34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spans="2:34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spans="2:34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spans="2:34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spans="2:34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spans="2:34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spans="2:34" x14ac:dyDescent="0.25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spans="2:34" x14ac:dyDescent="0.25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spans="2:34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spans="2:34" x14ac:dyDescent="0.25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spans="2:34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spans="2:34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spans="2:34" x14ac:dyDescent="0.25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spans="2:34" x14ac:dyDescent="0.25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spans="2:34" x14ac:dyDescent="0.2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spans="2:34" x14ac:dyDescent="0.25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spans="2:34" x14ac:dyDescent="0.25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spans="2:34" x14ac:dyDescent="0.25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spans="2:34" x14ac:dyDescent="0.25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spans="2:34" x14ac:dyDescent="0.25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spans="2:34" x14ac:dyDescent="0.2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spans="2:34" x14ac:dyDescent="0.2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spans="2:34" x14ac:dyDescent="0.25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spans="2:34" x14ac:dyDescent="0.25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spans="2:34" x14ac:dyDescent="0.25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spans="2:34" x14ac:dyDescent="0.25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spans="2:34" x14ac:dyDescent="0.25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spans="2:34" x14ac:dyDescent="0.25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spans="2:34" x14ac:dyDescent="0.25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spans="2:34" x14ac:dyDescent="0.25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spans="2:34" x14ac:dyDescent="0.2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spans="2:34" x14ac:dyDescent="0.25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spans="2:34" x14ac:dyDescent="0.25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spans="2:34" x14ac:dyDescent="0.25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spans="2:34" x14ac:dyDescent="0.25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spans="2:34" x14ac:dyDescent="0.25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spans="2:34" x14ac:dyDescent="0.25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spans="2:34" x14ac:dyDescent="0.25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spans="2:34" x14ac:dyDescent="0.25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spans="2:34" x14ac:dyDescent="0.25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spans="2:34" x14ac:dyDescent="0.2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spans="2:34" x14ac:dyDescent="0.25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spans="2:34" x14ac:dyDescent="0.25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spans="2:34" x14ac:dyDescent="0.25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spans="2:34" x14ac:dyDescent="0.25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spans="2:34" x14ac:dyDescent="0.25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spans="2:34" x14ac:dyDescent="0.25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spans="2:34" x14ac:dyDescent="0.25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spans="2:34" x14ac:dyDescent="0.25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spans="2:34" x14ac:dyDescent="0.25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spans="2:34" x14ac:dyDescent="0.2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spans="2:34" x14ac:dyDescent="0.25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spans="2:34" x14ac:dyDescent="0.25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spans="2:34" x14ac:dyDescent="0.25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spans="2:34" x14ac:dyDescent="0.25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spans="2:34" x14ac:dyDescent="0.25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spans="2:34" x14ac:dyDescent="0.25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spans="2:34" x14ac:dyDescent="0.25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spans="2:34" x14ac:dyDescent="0.25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spans="2:34" x14ac:dyDescent="0.25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spans="2:34" x14ac:dyDescent="0.2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spans="2:34" x14ac:dyDescent="0.25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spans="2:34" x14ac:dyDescent="0.25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spans="2:34" x14ac:dyDescent="0.25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spans="2:34" x14ac:dyDescent="0.25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spans="2:34" x14ac:dyDescent="0.25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spans="2:34" x14ac:dyDescent="0.25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spans="2:34" x14ac:dyDescent="0.25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spans="2:34" x14ac:dyDescent="0.25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spans="2:34" x14ac:dyDescent="0.25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spans="2:34" x14ac:dyDescent="0.2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spans="2:34" x14ac:dyDescent="0.25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spans="2:34" x14ac:dyDescent="0.25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spans="2:34" x14ac:dyDescent="0.25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spans="2:34" x14ac:dyDescent="0.25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spans="2:34" x14ac:dyDescent="0.25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spans="2:34" x14ac:dyDescent="0.25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spans="2:34" x14ac:dyDescent="0.25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spans="2:34" x14ac:dyDescent="0.25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spans="2:34" x14ac:dyDescent="0.25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spans="2:34" x14ac:dyDescent="0.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spans="2:34" x14ac:dyDescent="0.25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spans="2:34" x14ac:dyDescent="0.25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spans="2:34" x14ac:dyDescent="0.25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spans="2:34" x14ac:dyDescent="0.25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spans="2:34" x14ac:dyDescent="0.25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spans="2:34" x14ac:dyDescent="0.25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spans="2:34" x14ac:dyDescent="0.25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spans="2:34" x14ac:dyDescent="0.25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spans="2:34" x14ac:dyDescent="0.25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spans="2:34" x14ac:dyDescent="0.2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spans="2:34" x14ac:dyDescent="0.25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spans="2:34" x14ac:dyDescent="0.25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spans="2:34" x14ac:dyDescent="0.25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spans="2:34" x14ac:dyDescent="0.25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spans="2:34" x14ac:dyDescent="0.25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spans="2:34" x14ac:dyDescent="0.25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spans="2:34" x14ac:dyDescent="0.25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spans="2:34" x14ac:dyDescent="0.25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spans="2:34" x14ac:dyDescent="0.25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spans="2:34" x14ac:dyDescent="0.2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spans="2:34" x14ac:dyDescent="0.25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spans="2:34" x14ac:dyDescent="0.25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spans="2:34" x14ac:dyDescent="0.25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spans="2:34" x14ac:dyDescent="0.25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spans="2:34" x14ac:dyDescent="0.25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spans="2:34" x14ac:dyDescent="0.25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spans="2:34" x14ac:dyDescent="0.25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spans="2:34" x14ac:dyDescent="0.25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spans="2:34" x14ac:dyDescent="0.25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spans="2:34" x14ac:dyDescent="0.2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spans="2:34" x14ac:dyDescent="0.25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spans="2:34" x14ac:dyDescent="0.25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spans="2:34" x14ac:dyDescent="0.25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spans="2:34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spans="2:34" x14ac:dyDescent="0.25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spans="2:34" x14ac:dyDescent="0.25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spans="2:34" x14ac:dyDescent="0.25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spans="2:34" x14ac:dyDescent="0.25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spans="2:34" x14ac:dyDescent="0.25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spans="2:34" x14ac:dyDescent="0.2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spans="2:34" x14ac:dyDescent="0.25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spans="2:34" x14ac:dyDescent="0.25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spans="2:34" x14ac:dyDescent="0.25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spans="2:34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spans="2:34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spans="2:34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spans="2:34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spans="2:34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spans="2:34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spans="2:34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spans="2:34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spans="2:34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spans="2:34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spans="2:34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spans="2:34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spans="2:34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spans="2:34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spans="2:34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spans="2:34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spans="2:34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spans="2:34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spans="2:34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spans="2:34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spans="2:34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spans="2:34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spans="2:34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spans="2:34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spans="2:34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spans="2:34" x14ac:dyDescent="0.25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spans="2:34" x14ac:dyDescent="0.2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spans="2:34" x14ac:dyDescent="0.25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spans="2:34" x14ac:dyDescent="0.25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spans="2:34" x14ac:dyDescent="0.25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spans="2:34" x14ac:dyDescent="0.25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spans="2:34" x14ac:dyDescent="0.25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spans="2:34" x14ac:dyDescent="0.25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spans="2:34" x14ac:dyDescent="0.25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spans="2:34" x14ac:dyDescent="0.25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spans="2:34" x14ac:dyDescent="0.25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spans="2:34" x14ac:dyDescent="0.2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spans="2:34" x14ac:dyDescent="0.25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spans="2:34" x14ac:dyDescent="0.25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spans="2:34" x14ac:dyDescent="0.25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spans="2:34" x14ac:dyDescent="0.25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spans="2:34" x14ac:dyDescent="0.25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spans="2:34" x14ac:dyDescent="0.25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spans="2:34" x14ac:dyDescent="0.25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spans="2:34" x14ac:dyDescent="0.25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spans="2:34" x14ac:dyDescent="0.25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spans="2:34" x14ac:dyDescent="0.2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spans="2:34" x14ac:dyDescent="0.25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spans="2:34" x14ac:dyDescent="0.25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spans="2:34" x14ac:dyDescent="0.25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spans="2:34" x14ac:dyDescent="0.25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spans="2:34" x14ac:dyDescent="0.25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spans="2:34" x14ac:dyDescent="0.25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spans="2:34" x14ac:dyDescent="0.25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spans="2:34" x14ac:dyDescent="0.25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spans="2:34" x14ac:dyDescent="0.25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spans="2:34" x14ac:dyDescent="0.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spans="2:34" x14ac:dyDescent="0.25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spans="2:34" x14ac:dyDescent="0.25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spans="2:34" x14ac:dyDescent="0.25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spans="2:34" x14ac:dyDescent="0.25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spans="2:34" x14ac:dyDescent="0.25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spans="2:34" x14ac:dyDescent="0.25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spans="2:34" x14ac:dyDescent="0.25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spans="2:34" x14ac:dyDescent="0.25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spans="2:34" x14ac:dyDescent="0.25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spans="2:34" x14ac:dyDescent="0.2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spans="2:34" x14ac:dyDescent="0.25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spans="2:34" x14ac:dyDescent="0.25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spans="2:34" x14ac:dyDescent="0.25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spans="2:34" x14ac:dyDescent="0.25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spans="2:34" x14ac:dyDescent="0.25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spans="2:34" x14ac:dyDescent="0.25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spans="2:34" x14ac:dyDescent="0.25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spans="2:34" x14ac:dyDescent="0.25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spans="2:34" x14ac:dyDescent="0.25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spans="2:34" x14ac:dyDescent="0.2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spans="2:34" x14ac:dyDescent="0.25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spans="2:34" x14ac:dyDescent="0.25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spans="2:34" x14ac:dyDescent="0.25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spans="2:34" x14ac:dyDescent="0.25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spans="2:34" x14ac:dyDescent="0.25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spans="2:34" x14ac:dyDescent="0.25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spans="2:34" x14ac:dyDescent="0.25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spans="2:34" x14ac:dyDescent="0.25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spans="2:34" x14ac:dyDescent="0.25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spans="2:34" x14ac:dyDescent="0.2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spans="2:34" x14ac:dyDescent="0.25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spans="2:34" x14ac:dyDescent="0.25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</sheetData>
  <sortState xmlns:xlrd2="http://schemas.microsoft.com/office/spreadsheetml/2017/richdata2" ref="A7:A9">
    <sortCondition ref="A7:A9"/>
  </sortState>
  <mergeCells count="1">
    <mergeCell ref="B3: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3B58-5793-40BF-9C4E-DFE933CA627E}">
  <dimension ref="A1:Y231"/>
  <sheetViews>
    <sheetView topLeftCell="A8" zoomScaleNormal="100" workbookViewId="0">
      <selection activeCell="C30" sqref="C30"/>
    </sheetView>
  </sheetViews>
  <sheetFormatPr defaultRowHeight="15" x14ac:dyDescent="0.25"/>
  <cols>
    <col min="1" max="1" width="22.7109375" customWidth="1"/>
    <col min="2" max="9" width="11.7109375" customWidth="1"/>
    <col min="10" max="10" width="2.7109375" customWidth="1"/>
    <col min="11" max="17" width="11.7109375" customWidth="1"/>
    <col min="18" max="18" width="2.7109375" customWidth="1"/>
    <col min="19" max="27" width="11.7109375" customWidth="1"/>
  </cols>
  <sheetData>
    <row r="1" spans="1:5" ht="26.25" x14ac:dyDescent="0.4">
      <c r="A1" s="9" t="str">
        <f>+Input!B2</f>
        <v>ENGEN JETPARK</v>
      </c>
    </row>
    <row r="3" spans="1:5" ht="24.75" thickBot="1" x14ac:dyDescent="0.45">
      <c r="A3" s="10" t="s">
        <v>204</v>
      </c>
      <c r="C3" s="236">
        <f>+Input!B6</f>
        <v>46143</v>
      </c>
      <c r="D3" s="253"/>
    </row>
    <row r="5" spans="1:5" ht="15.75" thickBot="1" x14ac:dyDescent="0.3"/>
    <row r="6" spans="1:5" ht="15.75" thickBot="1" x14ac:dyDescent="0.3">
      <c r="A6" s="104" t="s">
        <v>169</v>
      </c>
      <c r="B6" s="46" t="s">
        <v>16</v>
      </c>
      <c r="C6" s="47" t="s">
        <v>186</v>
      </c>
      <c r="D6" s="17" t="s">
        <v>185</v>
      </c>
      <c r="E6" s="28" t="s">
        <v>68</v>
      </c>
    </row>
    <row r="7" spans="1:5" x14ac:dyDescent="0.25">
      <c r="A7" s="36" t="s">
        <v>125</v>
      </c>
      <c r="B7" s="43">
        <f>+B18+F18</f>
        <v>0</v>
      </c>
      <c r="C7" s="43">
        <f>+D18</f>
        <v>0</v>
      </c>
      <c r="D7" s="43">
        <f>+C18+E18</f>
        <v>0</v>
      </c>
      <c r="E7" s="43">
        <f>SUM(B7:D7)</f>
        <v>0</v>
      </c>
    </row>
    <row r="8" spans="1:5" x14ac:dyDescent="0.25">
      <c r="A8" s="36" t="s">
        <v>166</v>
      </c>
      <c r="B8" s="43">
        <f>+B19+F19</f>
        <v>0</v>
      </c>
      <c r="C8" s="43">
        <f>+D19</f>
        <v>0</v>
      </c>
      <c r="D8" s="43">
        <f>+C19+E19</f>
        <v>0</v>
      </c>
      <c r="E8" s="43">
        <f t="shared" ref="E8:E9" si="0">SUM(B8:D8)</f>
        <v>0</v>
      </c>
    </row>
    <row r="9" spans="1:5" x14ac:dyDescent="0.25">
      <c r="A9" s="36" t="s">
        <v>19</v>
      </c>
      <c r="B9" s="43">
        <f>+B20+F20</f>
        <v>1659.39</v>
      </c>
      <c r="C9" s="43">
        <f>+D20</f>
        <v>40.06</v>
      </c>
      <c r="D9" s="43">
        <f>+C20+E20</f>
        <v>1920.7</v>
      </c>
      <c r="E9" s="43">
        <f t="shared" si="0"/>
        <v>3620.15</v>
      </c>
    </row>
    <row r="10" spans="1:5" x14ac:dyDescent="0.25">
      <c r="A10" s="122" t="s">
        <v>119</v>
      </c>
      <c r="B10" s="123">
        <f>+B7+B8-B9</f>
        <v>-1659.39</v>
      </c>
      <c r="C10" s="123">
        <f t="shared" ref="C10:E10" si="1">+C7+C8-C9</f>
        <v>-40.06</v>
      </c>
      <c r="D10" s="123">
        <f t="shared" si="1"/>
        <v>-1920.7</v>
      </c>
      <c r="E10" s="123">
        <f t="shared" si="1"/>
        <v>-3620.15</v>
      </c>
    </row>
    <row r="11" spans="1:5" x14ac:dyDescent="0.25">
      <c r="A11" s="89" t="s">
        <v>167</v>
      </c>
      <c r="B11" s="124">
        <f>+B22+F22</f>
        <v>0</v>
      </c>
      <c r="C11" s="124">
        <f>+D22</f>
        <v>0</v>
      </c>
      <c r="D11" s="124">
        <f>+C22+E22</f>
        <v>0</v>
      </c>
      <c r="E11" s="124">
        <f>SUM(B11:D11)</f>
        <v>0</v>
      </c>
    </row>
    <row r="12" spans="1:5" x14ac:dyDescent="0.25">
      <c r="A12" s="38" t="s">
        <v>144</v>
      </c>
      <c r="B12" s="22">
        <f>+B11-B10</f>
        <v>1659.39</v>
      </c>
      <c r="C12" s="22">
        <f t="shared" ref="C12:E12" si="2">+C11-C10</f>
        <v>40.06</v>
      </c>
      <c r="D12" s="22">
        <f t="shared" si="2"/>
        <v>1920.7</v>
      </c>
      <c r="E12" s="22">
        <f t="shared" si="2"/>
        <v>3620.15</v>
      </c>
    </row>
    <row r="13" spans="1:5" x14ac:dyDescent="0.25">
      <c r="A13" s="38" t="s">
        <v>190</v>
      </c>
      <c r="B13" s="22">
        <f>+B23+F23</f>
        <v>1659.39</v>
      </c>
      <c r="C13" s="22">
        <f t="shared" ref="C13:E13" si="3">+C23+G23</f>
        <v>5540.85</v>
      </c>
      <c r="D13" s="22">
        <f t="shared" si="3"/>
        <v>40.06</v>
      </c>
      <c r="E13" s="22">
        <f t="shared" si="3"/>
        <v>0</v>
      </c>
    </row>
    <row r="14" spans="1:5" x14ac:dyDescent="0.25">
      <c r="A14" s="125" t="s">
        <v>144</v>
      </c>
      <c r="B14" s="126">
        <f>+B13-B12</f>
        <v>0</v>
      </c>
      <c r="C14" s="126">
        <f t="shared" ref="C14:E14" si="4">+C13-C12</f>
        <v>5500.79</v>
      </c>
      <c r="D14" s="126">
        <f t="shared" si="4"/>
        <v>-1880.64</v>
      </c>
      <c r="E14" s="126">
        <f t="shared" si="4"/>
        <v>-3620.15</v>
      </c>
    </row>
    <row r="16" spans="1:5" ht="15.75" thickBot="1" x14ac:dyDescent="0.3"/>
    <row r="17" spans="1:25" ht="15.75" thickBot="1" x14ac:dyDescent="0.3">
      <c r="A17" s="104" t="s">
        <v>168</v>
      </c>
      <c r="B17" s="46" t="s">
        <v>175</v>
      </c>
      <c r="C17" s="17" t="s">
        <v>176</v>
      </c>
      <c r="D17" s="47" t="s">
        <v>177</v>
      </c>
      <c r="E17" s="17" t="s">
        <v>178</v>
      </c>
      <c r="F17" s="46" t="s">
        <v>179</v>
      </c>
      <c r="G17" s="28" t="s">
        <v>68</v>
      </c>
    </row>
    <row r="18" spans="1:25" x14ac:dyDescent="0.25">
      <c r="A18" s="36" t="s">
        <v>125</v>
      </c>
      <c r="B18" s="77">
        <f>+C29</f>
        <v>0</v>
      </c>
      <c r="C18" s="77">
        <f>+C65</f>
        <v>0</v>
      </c>
      <c r="D18" s="77">
        <f>+C101</f>
        <v>0</v>
      </c>
      <c r="E18" s="77">
        <f>+K65</f>
        <v>0</v>
      </c>
      <c r="F18" s="77">
        <f>+K29</f>
        <v>0</v>
      </c>
      <c r="G18" s="81">
        <f>SUM(B18:F18)</f>
        <v>0</v>
      </c>
    </row>
    <row r="19" spans="1:25" x14ac:dyDescent="0.25">
      <c r="A19" s="36" t="s">
        <v>166</v>
      </c>
      <c r="B19" s="77">
        <f>+D60</f>
        <v>0</v>
      </c>
      <c r="C19" s="77">
        <f>+D96</f>
        <v>0</v>
      </c>
      <c r="D19" s="77">
        <f>+D132</f>
        <v>0</v>
      </c>
      <c r="E19" s="77">
        <f>+L96</f>
        <v>0</v>
      </c>
      <c r="F19" s="77">
        <f>+L60</f>
        <v>0</v>
      </c>
      <c r="G19" s="81">
        <f t="shared" ref="G19:G20" si="5">SUM(B19:F19)</f>
        <v>0</v>
      </c>
    </row>
    <row r="20" spans="1:25" x14ac:dyDescent="0.25">
      <c r="A20" s="37" t="s">
        <v>19</v>
      </c>
      <c r="B20" s="33">
        <f>+E60</f>
        <v>1659.39</v>
      </c>
      <c r="C20" s="33">
        <f>+E96</f>
        <v>1920.7</v>
      </c>
      <c r="D20" s="33">
        <f>+E132</f>
        <v>40.06</v>
      </c>
      <c r="E20" s="33">
        <f>+M96</f>
        <v>0</v>
      </c>
      <c r="F20" s="33">
        <f>+M60</f>
        <v>0</v>
      </c>
      <c r="G20" s="44">
        <f t="shared" si="5"/>
        <v>3620.15</v>
      </c>
    </row>
    <row r="21" spans="1:25" x14ac:dyDescent="0.25">
      <c r="A21" s="127" t="s">
        <v>119</v>
      </c>
      <c r="B21" s="124">
        <f>+B18+B19-B20</f>
        <v>-1659.39</v>
      </c>
      <c r="C21" s="124">
        <f t="shared" ref="C21:G21" si="6">+C18+C19-C20</f>
        <v>-1920.7</v>
      </c>
      <c r="D21" s="124">
        <f t="shared" si="6"/>
        <v>-40.06</v>
      </c>
      <c r="E21" s="124">
        <f t="shared" si="6"/>
        <v>0</v>
      </c>
      <c r="F21" s="124">
        <f t="shared" si="6"/>
        <v>0</v>
      </c>
      <c r="G21" s="124">
        <f t="shared" si="6"/>
        <v>-3620.15</v>
      </c>
    </row>
    <row r="22" spans="1:25" x14ac:dyDescent="0.25">
      <c r="A22" s="39" t="s">
        <v>167</v>
      </c>
      <c r="B22" s="22"/>
      <c r="C22" s="22"/>
      <c r="D22" s="22"/>
      <c r="E22" s="22"/>
      <c r="F22" s="22"/>
      <c r="G22" s="29">
        <f>SUM(B22:F22)</f>
        <v>0</v>
      </c>
      <c r="H22" s="4" t="s">
        <v>192</v>
      </c>
    </row>
    <row r="23" spans="1:25" x14ac:dyDescent="0.25">
      <c r="A23" s="125" t="s">
        <v>144</v>
      </c>
      <c r="B23" s="126">
        <f>+B22-B21</f>
        <v>1659.39</v>
      </c>
      <c r="C23" s="126">
        <f t="shared" ref="C23:G23" si="7">+C22-C21</f>
        <v>1920.7</v>
      </c>
      <c r="D23" s="126">
        <f t="shared" si="7"/>
        <v>40.06</v>
      </c>
      <c r="E23" s="126">
        <f t="shared" si="7"/>
        <v>0</v>
      </c>
      <c r="F23" s="126">
        <f t="shared" si="7"/>
        <v>0</v>
      </c>
      <c r="G23" s="126">
        <f t="shared" si="7"/>
        <v>3620.15</v>
      </c>
    </row>
    <row r="24" spans="1:25" x14ac:dyDescent="0.25">
      <c r="A24" s="128" t="s">
        <v>191</v>
      </c>
      <c r="B24" s="129" t="e">
        <f>+B23/B22</f>
        <v>#DIV/0!</v>
      </c>
      <c r="C24" s="129" t="e">
        <f t="shared" ref="C24:G24" si="8">+C23/C22</f>
        <v>#DIV/0!</v>
      </c>
      <c r="D24" s="129" t="e">
        <f t="shared" si="8"/>
        <v>#DIV/0!</v>
      </c>
      <c r="E24" s="129" t="e">
        <f t="shared" si="8"/>
        <v>#DIV/0!</v>
      </c>
      <c r="F24" s="129" t="e">
        <f t="shared" si="8"/>
        <v>#DIV/0!</v>
      </c>
      <c r="G24" s="129" t="e">
        <f t="shared" si="8"/>
        <v>#DIV/0!</v>
      </c>
    </row>
    <row r="26" spans="1:25" ht="15.75" thickBot="1" x14ac:dyDescent="0.3"/>
    <row r="27" spans="1:25" ht="15.75" thickBot="1" x14ac:dyDescent="0.3">
      <c r="C27" s="260" t="s">
        <v>162</v>
      </c>
      <c r="D27" s="261"/>
      <c r="E27" s="261"/>
      <c r="F27" s="261"/>
      <c r="G27" s="261"/>
      <c r="H27" s="261"/>
      <c r="I27" s="262"/>
      <c r="K27" s="260" t="s">
        <v>165</v>
      </c>
      <c r="L27" s="261"/>
      <c r="M27" s="261"/>
      <c r="N27" s="261"/>
      <c r="O27" s="261"/>
      <c r="P27" s="261"/>
      <c r="Q27" s="262"/>
      <c r="S27" s="260" t="s">
        <v>187</v>
      </c>
      <c r="T27" s="261"/>
      <c r="U27" s="261"/>
      <c r="V27" s="261"/>
      <c r="W27" s="261"/>
      <c r="X27" s="261"/>
      <c r="Y27" s="262"/>
    </row>
    <row r="28" spans="1:25" x14ac:dyDescent="0.25">
      <c r="C28" s="110" t="s">
        <v>155</v>
      </c>
      <c r="D28" s="111" t="s">
        <v>156</v>
      </c>
      <c r="E28" s="112" t="s">
        <v>157</v>
      </c>
      <c r="F28" s="113" t="s">
        <v>158</v>
      </c>
      <c r="G28" s="105" t="s">
        <v>159</v>
      </c>
      <c r="H28" s="106" t="s">
        <v>160</v>
      </c>
      <c r="I28" s="106" t="s">
        <v>161</v>
      </c>
      <c r="K28" s="110" t="s">
        <v>155</v>
      </c>
      <c r="L28" s="111" t="s">
        <v>156</v>
      </c>
      <c r="M28" s="112" t="s">
        <v>157</v>
      </c>
      <c r="N28" s="113" t="s">
        <v>158</v>
      </c>
      <c r="O28" s="105" t="s">
        <v>159</v>
      </c>
      <c r="P28" s="106" t="s">
        <v>160</v>
      </c>
      <c r="Q28" s="106" t="s">
        <v>161</v>
      </c>
      <c r="S28" s="110" t="s">
        <v>155</v>
      </c>
      <c r="T28" s="111" t="s">
        <v>156</v>
      </c>
      <c r="U28" s="112" t="s">
        <v>157</v>
      </c>
      <c r="V28" s="113" t="s">
        <v>158</v>
      </c>
      <c r="W28" s="105" t="s">
        <v>159</v>
      </c>
      <c r="X28" s="106" t="s">
        <v>160</v>
      </c>
      <c r="Y28" s="106" t="s">
        <v>161</v>
      </c>
    </row>
    <row r="29" spans="1:25" x14ac:dyDescent="0.25">
      <c r="A29" s="107" t="str">
        <f>+Input!B10</f>
        <v>Friday</v>
      </c>
      <c r="B29" s="107">
        <f>+Input!C10</f>
        <v>46143</v>
      </c>
      <c r="C29" s="116">
        <f>+Input!B49</f>
        <v>0</v>
      </c>
      <c r="D29" s="68">
        <f>+'1'!B11</f>
        <v>0</v>
      </c>
      <c r="E29" s="68">
        <f>+'1'!B12</f>
        <v>1659.39</v>
      </c>
      <c r="F29" s="115">
        <f>+C29+D29-E29</f>
        <v>-1659.39</v>
      </c>
      <c r="G29" s="55"/>
      <c r="H29" s="66">
        <f>+G29-F29</f>
        <v>1659.39</v>
      </c>
      <c r="I29" s="66">
        <f>+H29</f>
        <v>1659.39</v>
      </c>
      <c r="K29" s="66">
        <f>+Input!J49</f>
        <v>0</v>
      </c>
      <c r="L29" s="68">
        <f>+'1'!F11</f>
        <v>0</v>
      </c>
      <c r="M29" s="68">
        <f>+'1'!F12</f>
        <v>0</v>
      </c>
      <c r="N29" s="66">
        <f>+K29+L29-M29</f>
        <v>0</v>
      </c>
      <c r="O29" s="55"/>
      <c r="P29" s="66">
        <f>+O29-N29</f>
        <v>0</v>
      </c>
      <c r="Q29" s="66">
        <f>+P29</f>
        <v>0</v>
      </c>
      <c r="S29" s="116">
        <f>+C29+K29</f>
        <v>0</v>
      </c>
      <c r="T29" s="30">
        <f>+D29+L29</f>
        <v>0</v>
      </c>
      <c r="U29" s="30">
        <f>+E29+M29</f>
        <v>1659.39</v>
      </c>
      <c r="V29" s="66">
        <f>+S29+T29-U29</f>
        <v>-1659.39</v>
      </c>
      <c r="W29" s="30">
        <f>+G29+O29</f>
        <v>0</v>
      </c>
      <c r="X29" s="115">
        <f>+W29-V29</f>
        <v>1659.39</v>
      </c>
      <c r="Y29" s="66">
        <f>+X29</f>
        <v>1659.39</v>
      </c>
    </row>
    <row r="30" spans="1:25" x14ac:dyDescent="0.25">
      <c r="A30" s="108" t="str">
        <f>+Input!B11</f>
        <v>Saturday</v>
      </c>
      <c r="B30" s="108">
        <f>+Input!C11</f>
        <v>46144</v>
      </c>
      <c r="C30" s="117">
        <f>+F29</f>
        <v>-1659.39</v>
      </c>
      <c r="D30" s="69">
        <f>+'2'!B11</f>
        <v>0</v>
      </c>
      <c r="E30" s="69">
        <f>+'2'!B12</f>
        <v>0</v>
      </c>
      <c r="F30" s="114">
        <f t="shared" ref="F30:F59" si="9">+C30+D30-E30</f>
        <v>-1659.39</v>
      </c>
      <c r="G30" s="5"/>
      <c r="H30" s="81">
        <f t="shared" ref="H30:H60" si="10">+G30-F30</f>
        <v>1659.39</v>
      </c>
      <c r="I30" s="81">
        <f>+I29+H30</f>
        <v>3318.78</v>
      </c>
      <c r="K30" s="81">
        <f>+N29</f>
        <v>0</v>
      </c>
      <c r="L30" s="69">
        <f>+'2'!F11</f>
        <v>0</v>
      </c>
      <c r="M30" s="69">
        <f>+'2'!F12</f>
        <v>0</v>
      </c>
      <c r="N30" s="81">
        <f t="shared" ref="N30:N59" si="11">+K30+L30-M30</f>
        <v>0</v>
      </c>
      <c r="O30" s="5"/>
      <c r="P30" s="81">
        <f t="shared" ref="P30:P60" si="12">+O30-N30</f>
        <v>0</v>
      </c>
      <c r="Q30" s="81">
        <f>+Q29+P30</f>
        <v>0</v>
      </c>
      <c r="S30" s="117">
        <f>+V29</f>
        <v>-1659.39</v>
      </c>
      <c r="T30" s="43">
        <f t="shared" ref="T30:T59" si="13">+D30+L30</f>
        <v>0</v>
      </c>
      <c r="U30" s="43">
        <f t="shared" ref="U30:U59" si="14">+E30+M30</f>
        <v>0</v>
      </c>
      <c r="V30" s="81">
        <f t="shared" ref="V30:V59" si="15">+S30+T30-U30</f>
        <v>-1659.39</v>
      </c>
      <c r="W30" s="43">
        <f t="shared" ref="W30:W59" si="16">+G30+O30</f>
        <v>0</v>
      </c>
      <c r="X30" s="114">
        <f t="shared" ref="X30:X60" si="17">+W30-V30</f>
        <v>1659.39</v>
      </c>
      <c r="Y30" s="81">
        <f>+Y29+X30</f>
        <v>3318.78</v>
      </c>
    </row>
    <row r="31" spans="1:25" x14ac:dyDescent="0.25">
      <c r="A31" s="108" t="str">
        <f>+Input!B12</f>
        <v>Sunday</v>
      </c>
      <c r="B31" s="108">
        <f>+Input!C12</f>
        <v>46145</v>
      </c>
      <c r="C31" s="117">
        <f t="shared" ref="C31:C59" si="18">+F30</f>
        <v>-1659.39</v>
      </c>
      <c r="D31" s="69">
        <f>+'3'!B11</f>
        <v>0</v>
      </c>
      <c r="E31" s="69">
        <f>+'3'!B12</f>
        <v>0</v>
      </c>
      <c r="F31" s="114">
        <f t="shared" si="9"/>
        <v>-1659.39</v>
      </c>
      <c r="G31" s="5"/>
      <c r="H31" s="81">
        <f t="shared" si="10"/>
        <v>1659.39</v>
      </c>
      <c r="I31" s="81">
        <f t="shared" ref="I31:I59" si="19">+I30+H31</f>
        <v>4978.17</v>
      </c>
      <c r="K31" s="81">
        <f t="shared" ref="K31:K59" si="20">+N30</f>
        <v>0</v>
      </c>
      <c r="L31" s="69">
        <f>+'3'!F11</f>
        <v>0</v>
      </c>
      <c r="M31" s="69">
        <f>+'3'!F12</f>
        <v>0</v>
      </c>
      <c r="N31" s="81">
        <f t="shared" si="11"/>
        <v>0</v>
      </c>
      <c r="O31" s="5"/>
      <c r="P31" s="81">
        <f t="shared" si="12"/>
        <v>0</v>
      </c>
      <c r="Q31" s="81">
        <f t="shared" ref="Q31:Q59" si="21">+Q30+P31</f>
        <v>0</v>
      </c>
      <c r="S31" s="117">
        <f t="shared" ref="S31:S59" si="22">+V30</f>
        <v>-1659.39</v>
      </c>
      <c r="T31" s="43">
        <f t="shared" si="13"/>
        <v>0</v>
      </c>
      <c r="U31" s="43">
        <f t="shared" si="14"/>
        <v>0</v>
      </c>
      <c r="V31" s="81">
        <f t="shared" si="15"/>
        <v>-1659.39</v>
      </c>
      <c r="W31" s="43">
        <f t="shared" si="16"/>
        <v>0</v>
      </c>
      <c r="X31" s="114">
        <f t="shared" si="17"/>
        <v>1659.39</v>
      </c>
      <c r="Y31" s="81">
        <f t="shared" ref="Y31:Y59" si="23">+Y30+X31</f>
        <v>4978.17</v>
      </c>
    </row>
    <row r="32" spans="1:25" x14ac:dyDescent="0.25">
      <c r="A32" s="108" t="str">
        <f>+Input!B13</f>
        <v>Monday</v>
      </c>
      <c r="B32" s="108">
        <f>+Input!C13</f>
        <v>46146</v>
      </c>
      <c r="C32" s="117">
        <f t="shared" si="18"/>
        <v>-1659.39</v>
      </c>
      <c r="D32" s="69">
        <f>+'4'!B11</f>
        <v>0</v>
      </c>
      <c r="E32" s="69">
        <f>+'4'!B12</f>
        <v>0</v>
      </c>
      <c r="F32" s="114">
        <f t="shared" si="9"/>
        <v>-1659.39</v>
      </c>
      <c r="G32" s="5"/>
      <c r="H32" s="81">
        <f t="shared" si="10"/>
        <v>1659.39</v>
      </c>
      <c r="I32" s="81">
        <f t="shared" si="19"/>
        <v>6637.56</v>
      </c>
      <c r="K32" s="81">
        <f t="shared" si="20"/>
        <v>0</v>
      </c>
      <c r="L32" s="69">
        <f>+'4'!F11</f>
        <v>0</v>
      </c>
      <c r="M32" s="69">
        <f>+'4'!F12</f>
        <v>0</v>
      </c>
      <c r="N32" s="81">
        <f t="shared" si="11"/>
        <v>0</v>
      </c>
      <c r="O32" s="5"/>
      <c r="P32" s="81">
        <f t="shared" si="12"/>
        <v>0</v>
      </c>
      <c r="Q32" s="81">
        <f t="shared" si="21"/>
        <v>0</v>
      </c>
      <c r="S32" s="117">
        <f t="shared" si="22"/>
        <v>-1659.39</v>
      </c>
      <c r="T32" s="43">
        <f t="shared" si="13"/>
        <v>0</v>
      </c>
      <c r="U32" s="43">
        <f t="shared" si="14"/>
        <v>0</v>
      </c>
      <c r="V32" s="81">
        <f t="shared" si="15"/>
        <v>-1659.39</v>
      </c>
      <c r="W32" s="43">
        <f t="shared" si="16"/>
        <v>0</v>
      </c>
      <c r="X32" s="114">
        <f t="shared" si="17"/>
        <v>1659.39</v>
      </c>
      <c r="Y32" s="81">
        <f t="shared" si="23"/>
        <v>6637.56</v>
      </c>
    </row>
    <row r="33" spans="1:25" x14ac:dyDescent="0.25">
      <c r="A33" s="108" t="str">
        <f>+Input!B14</f>
        <v>Tuesday</v>
      </c>
      <c r="B33" s="108">
        <f>+Input!C14</f>
        <v>46147</v>
      </c>
      <c r="C33" s="117">
        <f t="shared" si="18"/>
        <v>-1659.39</v>
      </c>
      <c r="D33" s="69">
        <f>+'5'!B11</f>
        <v>0</v>
      </c>
      <c r="E33" s="69">
        <f>+'5'!B12</f>
        <v>0</v>
      </c>
      <c r="F33" s="114">
        <f t="shared" si="9"/>
        <v>-1659.39</v>
      </c>
      <c r="G33" s="5"/>
      <c r="H33" s="81">
        <f t="shared" si="10"/>
        <v>1659.39</v>
      </c>
      <c r="I33" s="81">
        <f t="shared" si="19"/>
        <v>8296.9500000000007</v>
      </c>
      <c r="K33" s="81">
        <f t="shared" si="20"/>
        <v>0</v>
      </c>
      <c r="L33" s="69">
        <f>+'5'!F11</f>
        <v>0</v>
      </c>
      <c r="M33" s="69">
        <f>+'5'!F12</f>
        <v>0</v>
      </c>
      <c r="N33" s="81">
        <f t="shared" si="11"/>
        <v>0</v>
      </c>
      <c r="O33" s="5"/>
      <c r="P33" s="81">
        <f t="shared" si="12"/>
        <v>0</v>
      </c>
      <c r="Q33" s="81">
        <f t="shared" si="21"/>
        <v>0</v>
      </c>
      <c r="S33" s="117">
        <f t="shared" si="22"/>
        <v>-1659.39</v>
      </c>
      <c r="T33" s="43">
        <f t="shared" si="13"/>
        <v>0</v>
      </c>
      <c r="U33" s="43">
        <f t="shared" si="14"/>
        <v>0</v>
      </c>
      <c r="V33" s="81">
        <f t="shared" si="15"/>
        <v>-1659.39</v>
      </c>
      <c r="W33" s="43">
        <f t="shared" si="16"/>
        <v>0</v>
      </c>
      <c r="X33" s="114">
        <f t="shared" si="17"/>
        <v>1659.39</v>
      </c>
      <c r="Y33" s="81">
        <f t="shared" si="23"/>
        <v>8296.9500000000007</v>
      </c>
    </row>
    <row r="34" spans="1:25" x14ac:dyDescent="0.25">
      <c r="A34" s="108" t="str">
        <f>+Input!B15</f>
        <v>Wednesday</v>
      </c>
      <c r="B34" s="108">
        <f>+Input!C15</f>
        <v>46148</v>
      </c>
      <c r="C34" s="117">
        <f t="shared" si="18"/>
        <v>-1659.39</v>
      </c>
      <c r="D34" s="69">
        <f>+'6'!B11</f>
        <v>0</v>
      </c>
      <c r="E34" s="69">
        <f>+'6'!B12</f>
        <v>0</v>
      </c>
      <c r="F34" s="114">
        <f t="shared" si="9"/>
        <v>-1659.39</v>
      </c>
      <c r="G34" s="5"/>
      <c r="H34" s="81">
        <f t="shared" si="10"/>
        <v>1659.39</v>
      </c>
      <c r="I34" s="81">
        <f t="shared" si="19"/>
        <v>9956.34</v>
      </c>
      <c r="K34" s="81">
        <f t="shared" si="20"/>
        <v>0</v>
      </c>
      <c r="L34" s="69">
        <f>+'6'!F11</f>
        <v>0</v>
      </c>
      <c r="M34" s="69">
        <f>+'6'!F12</f>
        <v>0</v>
      </c>
      <c r="N34" s="81">
        <f t="shared" si="11"/>
        <v>0</v>
      </c>
      <c r="O34" s="5"/>
      <c r="P34" s="81">
        <f t="shared" si="12"/>
        <v>0</v>
      </c>
      <c r="Q34" s="81">
        <f t="shared" si="21"/>
        <v>0</v>
      </c>
      <c r="S34" s="117">
        <f t="shared" si="22"/>
        <v>-1659.39</v>
      </c>
      <c r="T34" s="43">
        <f t="shared" si="13"/>
        <v>0</v>
      </c>
      <c r="U34" s="43">
        <f t="shared" si="14"/>
        <v>0</v>
      </c>
      <c r="V34" s="81">
        <f t="shared" si="15"/>
        <v>-1659.39</v>
      </c>
      <c r="W34" s="43">
        <f t="shared" si="16"/>
        <v>0</v>
      </c>
      <c r="X34" s="114">
        <f t="shared" si="17"/>
        <v>1659.39</v>
      </c>
      <c r="Y34" s="81">
        <f t="shared" si="23"/>
        <v>9956.34</v>
      </c>
    </row>
    <row r="35" spans="1:25" x14ac:dyDescent="0.25">
      <c r="A35" s="108" t="str">
        <f>+Input!B16</f>
        <v>Thursday</v>
      </c>
      <c r="B35" s="108">
        <f>+Input!C16</f>
        <v>46149</v>
      </c>
      <c r="C35" s="117">
        <f t="shared" si="18"/>
        <v>-1659.39</v>
      </c>
      <c r="D35" s="69">
        <f>+'7'!B11</f>
        <v>0</v>
      </c>
      <c r="E35" s="69">
        <f>+'7'!B12</f>
        <v>0</v>
      </c>
      <c r="F35" s="114">
        <f t="shared" si="9"/>
        <v>-1659.39</v>
      </c>
      <c r="G35" s="5"/>
      <c r="H35" s="81">
        <f t="shared" si="10"/>
        <v>1659.39</v>
      </c>
      <c r="I35" s="81">
        <f t="shared" si="19"/>
        <v>11615.73</v>
      </c>
      <c r="K35" s="81">
        <f t="shared" si="20"/>
        <v>0</v>
      </c>
      <c r="L35" s="69">
        <f>+'7'!F11</f>
        <v>0</v>
      </c>
      <c r="M35" s="69">
        <f>+'7'!F12</f>
        <v>0</v>
      </c>
      <c r="N35" s="81">
        <f t="shared" si="11"/>
        <v>0</v>
      </c>
      <c r="O35" s="5"/>
      <c r="P35" s="81">
        <f t="shared" si="12"/>
        <v>0</v>
      </c>
      <c r="Q35" s="81">
        <f t="shared" si="21"/>
        <v>0</v>
      </c>
      <c r="S35" s="117">
        <f t="shared" si="22"/>
        <v>-1659.39</v>
      </c>
      <c r="T35" s="43">
        <f t="shared" si="13"/>
        <v>0</v>
      </c>
      <c r="U35" s="43">
        <f t="shared" si="14"/>
        <v>0</v>
      </c>
      <c r="V35" s="81">
        <f t="shared" si="15"/>
        <v>-1659.39</v>
      </c>
      <c r="W35" s="43">
        <f t="shared" si="16"/>
        <v>0</v>
      </c>
      <c r="X35" s="114">
        <f t="shared" si="17"/>
        <v>1659.39</v>
      </c>
      <c r="Y35" s="81">
        <f t="shared" si="23"/>
        <v>11615.73</v>
      </c>
    </row>
    <row r="36" spans="1:25" x14ac:dyDescent="0.25">
      <c r="A36" s="108" t="str">
        <f>+Input!B17</f>
        <v>Friday</v>
      </c>
      <c r="B36" s="108">
        <f>+Input!C17</f>
        <v>46150</v>
      </c>
      <c r="C36" s="117">
        <f t="shared" si="18"/>
        <v>-1659.39</v>
      </c>
      <c r="D36" s="69">
        <f>+'8'!B11</f>
        <v>0</v>
      </c>
      <c r="E36" s="69">
        <f>+'8'!B12</f>
        <v>0</v>
      </c>
      <c r="F36" s="114">
        <f t="shared" si="9"/>
        <v>-1659.39</v>
      </c>
      <c r="G36" s="5"/>
      <c r="H36" s="81">
        <f t="shared" si="10"/>
        <v>1659.39</v>
      </c>
      <c r="I36" s="81">
        <f t="shared" si="19"/>
        <v>13275.119999999999</v>
      </c>
      <c r="K36" s="81">
        <f t="shared" si="20"/>
        <v>0</v>
      </c>
      <c r="L36" s="69">
        <f>+'8'!F11</f>
        <v>0</v>
      </c>
      <c r="M36" s="69">
        <f>+'8'!F12</f>
        <v>0</v>
      </c>
      <c r="N36" s="81">
        <f t="shared" si="11"/>
        <v>0</v>
      </c>
      <c r="O36" s="5"/>
      <c r="P36" s="81">
        <f t="shared" si="12"/>
        <v>0</v>
      </c>
      <c r="Q36" s="81">
        <f t="shared" si="21"/>
        <v>0</v>
      </c>
      <c r="S36" s="117">
        <f t="shared" si="22"/>
        <v>-1659.39</v>
      </c>
      <c r="T36" s="43">
        <f t="shared" si="13"/>
        <v>0</v>
      </c>
      <c r="U36" s="43">
        <f t="shared" si="14"/>
        <v>0</v>
      </c>
      <c r="V36" s="81">
        <f t="shared" si="15"/>
        <v>-1659.39</v>
      </c>
      <c r="W36" s="43">
        <f t="shared" si="16"/>
        <v>0</v>
      </c>
      <c r="X36" s="114">
        <f t="shared" si="17"/>
        <v>1659.39</v>
      </c>
      <c r="Y36" s="81">
        <f t="shared" si="23"/>
        <v>13275.119999999999</v>
      </c>
    </row>
    <row r="37" spans="1:25" x14ac:dyDescent="0.25">
      <c r="A37" s="108" t="str">
        <f>+Input!B18</f>
        <v>Saturday</v>
      </c>
      <c r="B37" s="108">
        <f>+Input!C18</f>
        <v>46151</v>
      </c>
      <c r="C37" s="117">
        <f t="shared" si="18"/>
        <v>-1659.39</v>
      </c>
      <c r="D37" s="69">
        <f>+'9'!B11</f>
        <v>0</v>
      </c>
      <c r="E37" s="69">
        <f>+'9'!B12</f>
        <v>0</v>
      </c>
      <c r="F37" s="114">
        <f t="shared" si="9"/>
        <v>-1659.39</v>
      </c>
      <c r="G37" s="5"/>
      <c r="H37" s="81">
        <f t="shared" si="10"/>
        <v>1659.39</v>
      </c>
      <c r="I37" s="81">
        <f t="shared" si="19"/>
        <v>14934.509999999998</v>
      </c>
      <c r="K37" s="81">
        <f t="shared" si="20"/>
        <v>0</v>
      </c>
      <c r="L37" s="69">
        <f>+'9'!F11</f>
        <v>0</v>
      </c>
      <c r="M37" s="69">
        <f>+'9'!F12</f>
        <v>0</v>
      </c>
      <c r="N37" s="81">
        <f t="shared" si="11"/>
        <v>0</v>
      </c>
      <c r="O37" s="5"/>
      <c r="P37" s="81">
        <f t="shared" si="12"/>
        <v>0</v>
      </c>
      <c r="Q37" s="81">
        <f t="shared" si="21"/>
        <v>0</v>
      </c>
      <c r="S37" s="117">
        <f t="shared" si="22"/>
        <v>-1659.39</v>
      </c>
      <c r="T37" s="43">
        <f t="shared" si="13"/>
        <v>0</v>
      </c>
      <c r="U37" s="43">
        <f t="shared" si="14"/>
        <v>0</v>
      </c>
      <c r="V37" s="81">
        <f t="shared" si="15"/>
        <v>-1659.39</v>
      </c>
      <c r="W37" s="43">
        <f t="shared" si="16"/>
        <v>0</v>
      </c>
      <c r="X37" s="114">
        <f t="shared" si="17"/>
        <v>1659.39</v>
      </c>
      <c r="Y37" s="81">
        <f t="shared" si="23"/>
        <v>14934.509999999998</v>
      </c>
    </row>
    <row r="38" spans="1:25" x14ac:dyDescent="0.25">
      <c r="A38" s="108" t="str">
        <f>+Input!B19</f>
        <v>Sunday</v>
      </c>
      <c r="B38" s="108">
        <f>+Input!C19</f>
        <v>46152</v>
      </c>
      <c r="C38" s="117">
        <f t="shared" si="18"/>
        <v>-1659.39</v>
      </c>
      <c r="D38" s="69">
        <f>+'10'!B11</f>
        <v>0</v>
      </c>
      <c r="E38" s="69">
        <f>+'10'!B12</f>
        <v>0</v>
      </c>
      <c r="F38" s="114">
        <f t="shared" si="9"/>
        <v>-1659.39</v>
      </c>
      <c r="G38" s="5"/>
      <c r="H38" s="81">
        <f t="shared" si="10"/>
        <v>1659.39</v>
      </c>
      <c r="I38" s="81">
        <f t="shared" si="19"/>
        <v>16593.899999999998</v>
      </c>
      <c r="K38" s="81">
        <f t="shared" si="20"/>
        <v>0</v>
      </c>
      <c r="L38" s="69">
        <f>+'10'!F11</f>
        <v>0</v>
      </c>
      <c r="M38" s="69">
        <f>+'10'!F12</f>
        <v>0</v>
      </c>
      <c r="N38" s="81">
        <f t="shared" si="11"/>
        <v>0</v>
      </c>
      <c r="O38" s="5"/>
      <c r="P38" s="81">
        <f t="shared" si="12"/>
        <v>0</v>
      </c>
      <c r="Q38" s="81">
        <f t="shared" si="21"/>
        <v>0</v>
      </c>
      <c r="S38" s="117">
        <f t="shared" si="22"/>
        <v>-1659.39</v>
      </c>
      <c r="T38" s="43">
        <f t="shared" si="13"/>
        <v>0</v>
      </c>
      <c r="U38" s="43">
        <f t="shared" si="14"/>
        <v>0</v>
      </c>
      <c r="V38" s="81">
        <f t="shared" si="15"/>
        <v>-1659.39</v>
      </c>
      <c r="W38" s="43">
        <f t="shared" si="16"/>
        <v>0</v>
      </c>
      <c r="X38" s="114">
        <f t="shared" si="17"/>
        <v>1659.39</v>
      </c>
      <c r="Y38" s="81">
        <f t="shared" si="23"/>
        <v>16593.899999999998</v>
      </c>
    </row>
    <row r="39" spans="1:25" x14ac:dyDescent="0.25">
      <c r="A39" s="108" t="str">
        <f>+Input!B20</f>
        <v>Monday</v>
      </c>
      <c r="B39" s="108">
        <f>+Input!C20</f>
        <v>46153</v>
      </c>
      <c r="C39" s="117">
        <f t="shared" si="18"/>
        <v>-1659.39</v>
      </c>
      <c r="D39" s="69">
        <f>+'11'!B11</f>
        <v>0</v>
      </c>
      <c r="E39" s="69">
        <f>+'11'!B12</f>
        <v>0</v>
      </c>
      <c r="F39" s="114">
        <f t="shared" si="9"/>
        <v>-1659.39</v>
      </c>
      <c r="G39" s="5"/>
      <c r="H39" s="81">
        <f t="shared" si="10"/>
        <v>1659.39</v>
      </c>
      <c r="I39" s="81">
        <f t="shared" si="19"/>
        <v>18253.289999999997</v>
      </c>
      <c r="K39" s="81">
        <f t="shared" si="20"/>
        <v>0</v>
      </c>
      <c r="L39" s="69">
        <f>+'11'!F11</f>
        <v>0</v>
      </c>
      <c r="M39" s="69">
        <f>+'11'!F12</f>
        <v>0</v>
      </c>
      <c r="N39" s="81">
        <f t="shared" si="11"/>
        <v>0</v>
      </c>
      <c r="O39" s="5"/>
      <c r="P39" s="81">
        <f t="shared" si="12"/>
        <v>0</v>
      </c>
      <c r="Q39" s="81">
        <f t="shared" si="21"/>
        <v>0</v>
      </c>
      <c r="S39" s="117">
        <f t="shared" si="22"/>
        <v>-1659.39</v>
      </c>
      <c r="T39" s="43">
        <f t="shared" si="13"/>
        <v>0</v>
      </c>
      <c r="U39" s="43">
        <f t="shared" si="14"/>
        <v>0</v>
      </c>
      <c r="V39" s="81">
        <f t="shared" si="15"/>
        <v>-1659.39</v>
      </c>
      <c r="W39" s="43">
        <f t="shared" si="16"/>
        <v>0</v>
      </c>
      <c r="X39" s="114">
        <f t="shared" si="17"/>
        <v>1659.39</v>
      </c>
      <c r="Y39" s="81">
        <f t="shared" si="23"/>
        <v>18253.289999999997</v>
      </c>
    </row>
    <row r="40" spans="1:25" x14ac:dyDescent="0.25">
      <c r="A40" s="108" t="str">
        <f>+Input!B21</f>
        <v>Tuesday</v>
      </c>
      <c r="B40" s="108">
        <f>+Input!C21</f>
        <v>46154</v>
      </c>
      <c r="C40" s="117">
        <f t="shared" si="18"/>
        <v>-1659.39</v>
      </c>
      <c r="D40" s="69">
        <f>+'12'!B11</f>
        <v>0</v>
      </c>
      <c r="E40" s="69">
        <f>+'12'!B12</f>
        <v>0</v>
      </c>
      <c r="F40" s="114">
        <f t="shared" si="9"/>
        <v>-1659.39</v>
      </c>
      <c r="G40" s="5"/>
      <c r="H40" s="81">
        <f t="shared" si="10"/>
        <v>1659.39</v>
      </c>
      <c r="I40" s="81">
        <f t="shared" si="19"/>
        <v>19912.679999999997</v>
      </c>
      <c r="K40" s="81">
        <f t="shared" si="20"/>
        <v>0</v>
      </c>
      <c r="L40" s="69">
        <f>+'12'!F11</f>
        <v>0</v>
      </c>
      <c r="M40" s="69">
        <f>+'12'!F12</f>
        <v>0</v>
      </c>
      <c r="N40" s="81">
        <f t="shared" si="11"/>
        <v>0</v>
      </c>
      <c r="O40" s="5"/>
      <c r="P40" s="81">
        <f t="shared" si="12"/>
        <v>0</v>
      </c>
      <c r="Q40" s="81">
        <f t="shared" si="21"/>
        <v>0</v>
      </c>
      <c r="S40" s="117">
        <f t="shared" si="22"/>
        <v>-1659.39</v>
      </c>
      <c r="T40" s="43">
        <f t="shared" si="13"/>
        <v>0</v>
      </c>
      <c r="U40" s="43">
        <f t="shared" si="14"/>
        <v>0</v>
      </c>
      <c r="V40" s="81">
        <f t="shared" si="15"/>
        <v>-1659.39</v>
      </c>
      <c r="W40" s="43">
        <f t="shared" si="16"/>
        <v>0</v>
      </c>
      <c r="X40" s="114">
        <f t="shared" si="17"/>
        <v>1659.39</v>
      </c>
      <c r="Y40" s="81">
        <f t="shared" si="23"/>
        <v>19912.679999999997</v>
      </c>
    </row>
    <row r="41" spans="1:25" x14ac:dyDescent="0.25">
      <c r="A41" s="108" t="str">
        <f>+Input!B22</f>
        <v>Wednesday</v>
      </c>
      <c r="B41" s="108">
        <f>+Input!C22</f>
        <v>46155</v>
      </c>
      <c r="C41" s="117">
        <f t="shared" si="18"/>
        <v>-1659.39</v>
      </c>
      <c r="D41" s="69">
        <f>+'13'!B11</f>
        <v>0</v>
      </c>
      <c r="E41" s="69">
        <f>+'13'!B12</f>
        <v>0</v>
      </c>
      <c r="F41" s="114">
        <f t="shared" si="9"/>
        <v>-1659.39</v>
      </c>
      <c r="G41" s="5"/>
      <c r="H41" s="81">
        <f t="shared" si="10"/>
        <v>1659.39</v>
      </c>
      <c r="I41" s="81">
        <f t="shared" si="19"/>
        <v>21572.069999999996</v>
      </c>
      <c r="K41" s="81">
        <f t="shared" si="20"/>
        <v>0</v>
      </c>
      <c r="L41" s="69">
        <f>+'13'!F11</f>
        <v>0</v>
      </c>
      <c r="M41" s="69">
        <f>+'13'!F12</f>
        <v>0</v>
      </c>
      <c r="N41" s="81">
        <f t="shared" si="11"/>
        <v>0</v>
      </c>
      <c r="O41" s="5"/>
      <c r="P41" s="81">
        <f t="shared" si="12"/>
        <v>0</v>
      </c>
      <c r="Q41" s="81">
        <f t="shared" si="21"/>
        <v>0</v>
      </c>
      <c r="S41" s="117">
        <f t="shared" si="22"/>
        <v>-1659.39</v>
      </c>
      <c r="T41" s="43">
        <f t="shared" si="13"/>
        <v>0</v>
      </c>
      <c r="U41" s="43">
        <f t="shared" si="14"/>
        <v>0</v>
      </c>
      <c r="V41" s="81">
        <f t="shared" si="15"/>
        <v>-1659.39</v>
      </c>
      <c r="W41" s="43">
        <f t="shared" si="16"/>
        <v>0</v>
      </c>
      <c r="X41" s="114">
        <f t="shared" si="17"/>
        <v>1659.39</v>
      </c>
      <c r="Y41" s="81">
        <f t="shared" si="23"/>
        <v>21572.069999999996</v>
      </c>
    </row>
    <row r="42" spans="1:25" x14ac:dyDescent="0.25">
      <c r="A42" s="108" t="str">
        <f>+Input!B23</f>
        <v>Thursday</v>
      </c>
      <c r="B42" s="108">
        <f>+Input!C23</f>
        <v>46156</v>
      </c>
      <c r="C42" s="117">
        <f t="shared" si="18"/>
        <v>-1659.39</v>
      </c>
      <c r="D42" s="69">
        <f>+'14'!B11</f>
        <v>0</v>
      </c>
      <c r="E42" s="69">
        <f>+'14'!B12</f>
        <v>0</v>
      </c>
      <c r="F42" s="114">
        <f t="shared" si="9"/>
        <v>-1659.39</v>
      </c>
      <c r="G42" s="5"/>
      <c r="H42" s="81">
        <f t="shared" si="10"/>
        <v>1659.39</v>
      </c>
      <c r="I42" s="81">
        <f t="shared" si="19"/>
        <v>23231.459999999995</v>
      </c>
      <c r="K42" s="81">
        <f t="shared" si="20"/>
        <v>0</v>
      </c>
      <c r="L42" s="69">
        <f>+'14'!F11</f>
        <v>0</v>
      </c>
      <c r="M42" s="69">
        <f>+'14'!F12</f>
        <v>0</v>
      </c>
      <c r="N42" s="81">
        <f t="shared" si="11"/>
        <v>0</v>
      </c>
      <c r="O42" s="5"/>
      <c r="P42" s="81">
        <f t="shared" si="12"/>
        <v>0</v>
      </c>
      <c r="Q42" s="81">
        <f t="shared" si="21"/>
        <v>0</v>
      </c>
      <c r="S42" s="117">
        <f t="shared" si="22"/>
        <v>-1659.39</v>
      </c>
      <c r="T42" s="43">
        <f t="shared" si="13"/>
        <v>0</v>
      </c>
      <c r="U42" s="43">
        <f t="shared" si="14"/>
        <v>0</v>
      </c>
      <c r="V42" s="81">
        <f t="shared" si="15"/>
        <v>-1659.39</v>
      </c>
      <c r="W42" s="43">
        <f t="shared" si="16"/>
        <v>0</v>
      </c>
      <c r="X42" s="114">
        <f t="shared" si="17"/>
        <v>1659.39</v>
      </c>
      <c r="Y42" s="81">
        <f t="shared" si="23"/>
        <v>23231.459999999995</v>
      </c>
    </row>
    <row r="43" spans="1:25" x14ac:dyDescent="0.25">
      <c r="A43" s="108" t="str">
        <f>+Input!B24</f>
        <v>Friday</v>
      </c>
      <c r="B43" s="108">
        <f>+Input!C24</f>
        <v>46157</v>
      </c>
      <c r="C43" s="117">
        <f t="shared" si="18"/>
        <v>-1659.39</v>
      </c>
      <c r="D43" s="69">
        <f>+'15'!B11</f>
        <v>0</v>
      </c>
      <c r="E43" s="69">
        <f>+'15'!B12</f>
        <v>0</v>
      </c>
      <c r="F43" s="114">
        <f t="shared" si="9"/>
        <v>-1659.39</v>
      </c>
      <c r="G43" s="5"/>
      <c r="H43" s="81">
        <f t="shared" si="10"/>
        <v>1659.39</v>
      </c>
      <c r="I43" s="81">
        <f t="shared" si="19"/>
        <v>24890.849999999995</v>
      </c>
      <c r="K43" s="81">
        <f t="shared" si="20"/>
        <v>0</v>
      </c>
      <c r="L43" s="69">
        <f>+'15'!F11</f>
        <v>0</v>
      </c>
      <c r="M43" s="69">
        <f>+'15'!F12</f>
        <v>0</v>
      </c>
      <c r="N43" s="81">
        <f t="shared" si="11"/>
        <v>0</v>
      </c>
      <c r="O43" s="5"/>
      <c r="P43" s="81">
        <f t="shared" si="12"/>
        <v>0</v>
      </c>
      <c r="Q43" s="81">
        <f t="shared" si="21"/>
        <v>0</v>
      </c>
      <c r="S43" s="117">
        <f t="shared" si="22"/>
        <v>-1659.39</v>
      </c>
      <c r="T43" s="43">
        <f t="shared" si="13"/>
        <v>0</v>
      </c>
      <c r="U43" s="43">
        <f t="shared" si="14"/>
        <v>0</v>
      </c>
      <c r="V43" s="81">
        <f t="shared" si="15"/>
        <v>-1659.39</v>
      </c>
      <c r="W43" s="43">
        <f t="shared" si="16"/>
        <v>0</v>
      </c>
      <c r="X43" s="114">
        <f t="shared" si="17"/>
        <v>1659.39</v>
      </c>
      <c r="Y43" s="81">
        <f t="shared" si="23"/>
        <v>24890.849999999995</v>
      </c>
    </row>
    <row r="44" spans="1:25" x14ac:dyDescent="0.25">
      <c r="A44" s="108" t="str">
        <f>+Input!B25</f>
        <v>Saturday</v>
      </c>
      <c r="B44" s="108">
        <f>+Input!C25</f>
        <v>46158</v>
      </c>
      <c r="C44" s="117">
        <f t="shared" si="18"/>
        <v>-1659.39</v>
      </c>
      <c r="D44" s="69">
        <f>+'16'!B11</f>
        <v>0</v>
      </c>
      <c r="E44" s="69">
        <f>+'16'!B12</f>
        <v>0</v>
      </c>
      <c r="F44" s="114">
        <f t="shared" si="9"/>
        <v>-1659.39</v>
      </c>
      <c r="G44" s="5"/>
      <c r="H44" s="81">
        <f t="shared" si="10"/>
        <v>1659.39</v>
      </c>
      <c r="I44" s="81">
        <f t="shared" si="19"/>
        <v>26550.239999999994</v>
      </c>
      <c r="K44" s="81">
        <f t="shared" si="20"/>
        <v>0</v>
      </c>
      <c r="L44" s="69">
        <f>+'16'!F11</f>
        <v>0</v>
      </c>
      <c r="M44" s="69">
        <f>+'16'!F12</f>
        <v>0</v>
      </c>
      <c r="N44" s="81">
        <f t="shared" si="11"/>
        <v>0</v>
      </c>
      <c r="O44" s="5"/>
      <c r="P44" s="81">
        <f t="shared" si="12"/>
        <v>0</v>
      </c>
      <c r="Q44" s="81">
        <f t="shared" si="21"/>
        <v>0</v>
      </c>
      <c r="S44" s="117">
        <f t="shared" si="22"/>
        <v>-1659.39</v>
      </c>
      <c r="T44" s="43">
        <f t="shared" si="13"/>
        <v>0</v>
      </c>
      <c r="U44" s="43">
        <f t="shared" si="14"/>
        <v>0</v>
      </c>
      <c r="V44" s="81">
        <f t="shared" si="15"/>
        <v>-1659.39</v>
      </c>
      <c r="W44" s="43">
        <f t="shared" si="16"/>
        <v>0</v>
      </c>
      <c r="X44" s="114">
        <f t="shared" si="17"/>
        <v>1659.39</v>
      </c>
      <c r="Y44" s="81">
        <f t="shared" si="23"/>
        <v>26550.239999999994</v>
      </c>
    </row>
    <row r="45" spans="1:25" x14ac:dyDescent="0.25">
      <c r="A45" s="108" t="str">
        <f>+Input!B26</f>
        <v>Sunday</v>
      </c>
      <c r="B45" s="108">
        <f>+Input!C26</f>
        <v>46159</v>
      </c>
      <c r="C45" s="117">
        <f t="shared" si="18"/>
        <v>-1659.39</v>
      </c>
      <c r="D45" s="69">
        <f>+'17'!B11</f>
        <v>0</v>
      </c>
      <c r="E45" s="69">
        <f>+'17'!B12</f>
        <v>0</v>
      </c>
      <c r="F45" s="114">
        <f t="shared" si="9"/>
        <v>-1659.39</v>
      </c>
      <c r="G45" s="5"/>
      <c r="H45" s="81">
        <f t="shared" si="10"/>
        <v>1659.39</v>
      </c>
      <c r="I45" s="81">
        <f t="shared" si="19"/>
        <v>28209.629999999994</v>
      </c>
      <c r="K45" s="81">
        <f t="shared" si="20"/>
        <v>0</v>
      </c>
      <c r="L45" s="69">
        <f>+'17'!F11</f>
        <v>0</v>
      </c>
      <c r="M45" s="69">
        <f>+'17'!F12</f>
        <v>0</v>
      </c>
      <c r="N45" s="81">
        <f t="shared" si="11"/>
        <v>0</v>
      </c>
      <c r="O45" s="5"/>
      <c r="P45" s="81">
        <f t="shared" si="12"/>
        <v>0</v>
      </c>
      <c r="Q45" s="81">
        <f t="shared" si="21"/>
        <v>0</v>
      </c>
      <c r="S45" s="117">
        <f t="shared" si="22"/>
        <v>-1659.39</v>
      </c>
      <c r="T45" s="43">
        <f t="shared" si="13"/>
        <v>0</v>
      </c>
      <c r="U45" s="43">
        <f t="shared" si="14"/>
        <v>0</v>
      </c>
      <c r="V45" s="81">
        <f t="shared" si="15"/>
        <v>-1659.39</v>
      </c>
      <c r="W45" s="43">
        <f t="shared" si="16"/>
        <v>0</v>
      </c>
      <c r="X45" s="114">
        <f t="shared" si="17"/>
        <v>1659.39</v>
      </c>
      <c r="Y45" s="81">
        <f t="shared" si="23"/>
        <v>28209.629999999994</v>
      </c>
    </row>
    <row r="46" spans="1:25" x14ac:dyDescent="0.25">
      <c r="A46" s="108" t="str">
        <f>+Input!B27</f>
        <v>Monday</v>
      </c>
      <c r="B46" s="108">
        <f>+Input!C27</f>
        <v>46160</v>
      </c>
      <c r="C46" s="117">
        <f t="shared" si="18"/>
        <v>-1659.39</v>
      </c>
      <c r="D46" s="69">
        <f>+'18'!B11</f>
        <v>0</v>
      </c>
      <c r="E46" s="69">
        <f>+'18'!B12</f>
        <v>0</v>
      </c>
      <c r="F46" s="114">
        <f t="shared" si="9"/>
        <v>-1659.39</v>
      </c>
      <c r="G46" s="5"/>
      <c r="H46" s="81">
        <f t="shared" si="10"/>
        <v>1659.39</v>
      </c>
      <c r="I46" s="81">
        <f t="shared" si="19"/>
        <v>29869.019999999993</v>
      </c>
      <c r="K46" s="81">
        <f t="shared" si="20"/>
        <v>0</v>
      </c>
      <c r="L46" s="69">
        <f>+'18'!F11</f>
        <v>0</v>
      </c>
      <c r="M46" s="69">
        <f>+'18'!F12</f>
        <v>0</v>
      </c>
      <c r="N46" s="81">
        <f t="shared" si="11"/>
        <v>0</v>
      </c>
      <c r="O46" s="5"/>
      <c r="P46" s="81">
        <f t="shared" si="12"/>
        <v>0</v>
      </c>
      <c r="Q46" s="81">
        <f t="shared" si="21"/>
        <v>0</v>
      </c>
      <c r="S46" s="117">
        <f t="shared" si="22"/>
        <v>-1659.39</v>
      </c>
      <c r="T46" s="43">
        <f t="shared" si="13"/>
        <v>0</v>
      </c>
      <c r="U46" s="43">
        <f t="shared" si="14"/>
        <v>0</v>
      </c>
      <c r="V46" s="81">
        <f t="shared" si="15"/>
        <v>-1659.39</v>
      </c>
      <c r="W46" s="43">
        <f t="shared" si="16"/>
        <v>0</v>
      </c>
      <c r="X46" s="114">
        <f t="shared" si="17"/>
        <v>1659.39</v>
      </c>
      <c r="Y46" s="81">
        <f t="shared" si="23"/>
        <v>29869.019999999993</v>
      </c>
    </row>
    <row r="47" spans="1:25" x14ac:dyDescent="0.25">
      <c r="A47" s="108" t="str">
        <f>+Input!B28</f>
        <v>Tuesday</v>
      </c>
      <c r="B47" s="108">
        <f>+Input!C28</f>
        <v>46161</v>
      </c>
      <c r="C47" s="117">
        <f t="shared" si="18"/>
        <v>-1659.39</v>
      </c>
      <c r="D47" s="69">
        <f>+'19'!B11</f>
        <v>0</v>
      </c>
      <c r="E47" s="69">
        <f>+'19'!B12</f>
        <v>0</v>
      </c>
      <c r="F47" s="114">
        <f t="shared" si="9"/>
        <v>-1659.39</v>
      </c>
      <c r="G47" s="5"/>
      <c r="H47" s="81">
        <f t="shared" si="10"/>
        <v>1659.39</v>
      </c>
      <c r="I47" s="81">
        <f t="shared" si="19"/>
        <v>31528.409999999993</v>
      </c>
      <c r="K47" s="81">
        <f t="shared" si="20"/>
        <v>0</v>
      </c>
      <c r="L47" s="69">
        <f>+'19'!F11</f>
        <v>0</v>
      </c>
      <c r="M47" s="69">
        <f>+'19'!F12</f>
        <v>0</v>
      </c>
      <c r="N47" s="81">
        <f t="shared" si="11"/>
        <v>0</v>
      </c>
      <c r="O47" s="5"/>
      <c r="P47" s="81">
        <f t="shared" si="12"/>
        <v>0</v>
      </c>
      <c r="Q47" s="81">
        <f t="shared" si="21"/>
        <v>0</v>
      </c>
      <c r="S47" s="117">
        <f t="shared" si="22"/>
        <v>-1659.39</v>
      </c>
      <c r="T47" s="43">
        <f t="shared" si="13"/>
        <v>0</v>
      </c>
      <c r="U47" s="43">
        <f t="shared" si="14"/>
        <v>0</v>
      </c>
      <c r="V47" s="81">
        <f t="shared" si="15"/>
        <v>-1659.39</v>
      </c>
      <c r="W47" s="43">
        <f t="shared" si="16"/>
        <v>0</v>
      </c>
      <c r="X47" s="114">
        <f t="shared" si="17"/>
        <v>1659.39</v>
      </c>
      <c r="Y47" s="81">
        <f t="shared" si="23"/>
        <v>31528.409999999993</v>
      </c>
    </row>
    <row r="48" spans="1:25" x14ac:dyDescent="0.25">
      <c r="A48" s="108" t="str">
        <f>+Input!B29</f>
        <v>Wednesday</v>
      </c>
      <c r="B48" s="108">
        <f>+Input!C29</f>
        <v>46162</v>
      </c>
      <c r="C48" s="117">
        <f t="shared" si="18"/>
        <v>-1659.39</v>
      </c>
      <c r="D48" s="69">
        <f>+'20'!B11</f>
        <v>0</v>
      </c>
      <c r="E48" s="69">
        <f>+'20'!B12</f>
        <v>0</v>
      </c>
      <c r="F48" s="114">
        <f t="shared" si="9"/>
        <v>-1659.39</v>
      </c>
      <c r="G48" s="5"/>
      <c r="H48" s="81">
        <f t="shared" si="10"/>
        <v>1659.39</v>
      </c>
      <c r="I48" s="81">
        <f t="shared" si="19"/>
        <v>33187.799999999996</v>
      </c>
      <c r="K48" s="81">
        <f t="shared" si="20"/>
        <v>0</v>
      </c>
      <c r="L48" s="69">
        <f>+'20'!F11</f>
        <v>0</v>
      </c>
      <c r="M48" s="69">
        <f>+'20'!F12</f>
        <v>0</v>
      </c>
      <c r="N48" s="81">
        <f t="shared" si="11"/>
        <v>0</v>
      </c>
      <c r="O48" s="5"/>
      <c r="P48" s="81">
        <f t="shared" si="12"/>
        <v>0</v>
      </c>
      <c r="Q48" s="81">
        <f t="shared" si="21"/>
        <v>0</v>
      </c>
      <c r="S48" s="117">
        <f t="shared" si="22"/>
        <v>-1659.39</v>
      </c>
      <c r="T48" s="43">
        <f t="shared" si="13"/>
        <v>0</v>
      </c>
      <c r="U48" s="43">
        <f t="shared" si="14"/>
        <v>0</v>
      </c>
      <c r="V48" s="81">
        <f t="shared" si="15"/>
        <v>-1659.39</v>
      </c>
      <c r="W48" s="43">
        <f t="shared" si="16"/>
        <v>0</v>
      </c>
      <c r="X48" s="114">
        <f t="shared" si="17"/>
        <v>1659.39</v>
      </c>
      <c r="Y48" s="81">
        <f t="shared" si="23"/>
        <v>33187.799999999996</v>
      </c>
    </row>
    <row r="49" spans="1:25" x14ac:dyDescent="0.25">
      <c r="A49" s="108" t="str">
        <f>+Input!B30</f>
        <v>Thursday</v>
      </c>
      <c r="B49" s="108">
        <f>+Input!C30</f>
        <v>46163</v>
      </c>
      <c r="C49" s="117">
        <f t="shared" si="18"/>
        <v>-1659.39</v>
      </c>
      <c r="D49" s="69">
        <f>+'21'!B11</f>
        <v>0</v>
      </c>
      <c r="E49" s="69">
        <f>+'21'!B12</f>
        <v>0</v>
      </c>
      <c r="F49" s="114">
        <f t="shared" si="9"/>
        <v>-1659.39</v>
      </c>
      <c r="G49" s="5"/>
      <c r="H49" s="81">
        <f t="shared" si="10"/>
        <v>1659.39</v>
      </c>
      <c r="I49" s="81">
        <f t="shared" si="19"/>
        <v>34847.189999999995</v>
      </c>
      <c r="K49" s="81">
        <f t="shared" si="20"/>
        <v>0</v>
      </c>
      <c r="L49" s="69">
        <f>+'21'!F11</f>
        <v>0</v>
      </c>
      <c r="M49" s="69">
        <f>+'21'!F12</f>
        <v>0</v>
      </c>
      <c r="N49" s="81">
        <f t="shared" si="11"/>
        <v>0</v>
      </c>
      <c r="O49" s="5"/>
      <c r="P49" s="81">
        <f t="shared" si="12"/>
        <v>0</v>
      </c>
      <c r="Q49" s="81">
        <f t="shared" si="21"/>
        <v>0</v>
      </c>
      <c r="S49" s="117">
        <f t="shared" si="22"/>
        <v>-1659.39</v>
      </c>
      <c r="T49" s="43">
        <f t="shared" si="13"/>
        <v>0</v>
      </c>
      <c r="U49" s="43">
        <f t="shared" si="14"/>
        <v>0</v>
      </c>
      <c r="V49" s="81">
        <f t="shared" si="15"/>
        <v>-1659.39</v>
      </c>
      <c r="W49" s="43">
        <f t="shared" si="16"/>
        <v>0</v>
      </c>
      <c r="X49" s="114">
        <f t="shared" si="17"/>
        <v>1659.39</v>
      </c>
      <c r="Y49" s="81">
        <f t="shared" si="23"/>
        <v>34847.189999999995</v>
      </c>
    </row>
    <row r="50" spans="1:25" x14ac:dyDescent="0.25">
      <c r="A50" s="108" t="str">
        <f>+Input!B31</f>
        <v>Friday</v>
      </c>
      <c r="B50" s="108">
        <f>+Input!C31</f>
        <v>46164</v>
      </c>
      <c r="C50" s="117">
        <f t="shared" si="18"/>
        <v>-1659.39</v>
      </c>
      <c r="D50" s="69">
        <f>+'22'!B11</f>
        <v>0</v>
      </c>
      <c r="E50" s="69">
        <f>+'22'!B12</f>
        <v>0</v>
      </c>
      <c r="F50" s="114">
        <f t="shared" si="9"/>
        <v>-1659.39</v>
      </c>
      <c r="G50" s="5"/>
      <c r="H50" s="81">
        <f t="shared" si="10"/>
        <v>1659.39</v>
      </c>
      <c r="I50" s="81">
        <f t="shared" si="19"/>
        <v>36506.579999999994</v>
      </c>
      <c r="K50" s="81">
        <f t="shared" si="20"/>
        <v>0</v>
      </c>
      <c r="L50" s="69">
        <f>+'22'!F11</f>
        <v>0</v>
      </c>
      <c r="M50" s="69">
        <f>+'22'!F12</f>
        <v>0</v>
      </c>
      <c r="N50" s="81">
        <f t="shared" si="11"/>
        <v>0</v>
      </c>
      <c r="O50" s="5"/>
      <c r="P50" s="81">
        <f t="shared" si="12"/>
        <v>0</v>
      </c>
      <c r="Q50" s="81">
        <f t="shared" si="21"/>
        <v>0</v>
      </c>
      <c r="S50" s="117">
        <f t="shared" si="22"/>
        <v>-1659.39</v>
      </c>
      <c r="T50" s="43">
        <f t="shared" si="13"/>
        <v>0</v>
      </c>
      <c r="U50" s="43">
        <f t="shared" si="14"/>
        <v>0</v>
      </c>
      <c r="V50" s="81">
        <f t="shared" si="15"/>
        <v>-1659.39</v>
      </c>
      <c r="W50" s="43">
        <f t="shared" si="16"/>
        <v>0</v>
      </c>
      <c r="X50" s="114">
        <f t="shared" si="17"/>
        <v>1659.39</v>
      </c>
      <c r="Y50" s="81">
        <f t="shared" si="23"/>
        <v>36506.579999999994</v>
      </c>
    </row>
    <row r="51" spans="1:25" x14ac:dyDescent="0.25">
      <c r="A51" s="108" t="str">
        <f>+Input!B32</f>
        <v>Saturday</v>
      </c>
      <c r="B51" s="108">
        <f>+Input!C32</f>
        <v>46165</v>
      </c>
      <c r="C51" s="117">
        <f t="shared" si="18"/>
        <v>-1659.39</v>
      </c>
      <c r="D51" s="69">
        <f>+'23'!B11</f>
        <v>0</v>
      </c>
      <c r="E51" s="69">
        <f>+'23'!B12</f>
        <v>0</v>
      </c>
      <c r="F51" s="114">
        <f t="shared" si="9"/>
        <v>-1659.39</v>
      </c>
      <c r="G51" s="5"/>
      <c r="H51" s="81">
        <f t="shared" si="10"/>
        <v>1659.39</v>
      </c>
      <c r="I51" s="81">
        <f t="shared" si="19"/>
        <v>38165.969999999994</v>
      </c>
      <c r="K51" s="81">
        <f t="shared" si="20"/>
        <v>0</v>
      </c>
      <c r="L51" s="69">
        <f>+'23'!F11</f>
        <v>0</v>
      </c>
      <c r="M51" s="69">
        <f>+'23'!F12</f>
        <v>0</v>
      </c>
      <c r="N51" s="81">
        <f t="shared" si="11"/>
        <v>0</v>
      </c>
      <c r="O51" s="5"/>
      <c r="P51" s="81">
        <f t="shared" si="12"/>
        <v>0</v>
      </c>
      <c r="Q51" s="81">
        <f t="shared" si="21"/>
        <v>0</v>
      </c>
      <c r="S51" s="117">
        <f t="shared" si="22"/>
        <v>-1659.39</v>
      </c>
      <c r="T51" s="43">
        <f t="shared" si="13"/>
        <v>0</v>
      </c>
      <c r="U51" s="43">
        <f t="shared" si="14"/>
        <v>0</v>
      </c>
      <c r="V51" s="81">
        <f t="shared" si="15"/>
        <v>-1659.39</v>
      </c>
      <c r="W51" s="43">
        <f t="shared" si="16"/>
        <v>0</v>
      </c>
      <c r="X51" s="114">
        <f t="shared" si="17"/>
        <v>1659.39</v>
      </c>
      <c r="Y51" s="81">
        <f t="shared" si="23"/>
        <v>38165.969999999994</v>
      </c>
    </row>
    <row r="52" spans="1:25" x14ac:dyDescent="0.25">
      <c r="A52" s="108" t="str">
        <f>+Input!B33</f>
        <v>Sunday</v>
      </c>
      <c r="B52" s="108">
        <f>+Input!C33</f>
        <v>46166</v>
      </c>
      <c r="C52" s="117">
        <f t="shared" si="18"/>
        <v>-1659.39</v>
      </c>
      <c r="D52" s="69">
        <f>+'24'!B11</f>
        <v>0</v>
      </c>
      <c r="E52" s="69">
        <f>+'24'!B12</f>
        <v>0</v>
      </c>
      <c r="F52" s="114">
        <f t="shared" si="9"/>
        <v>-1659.39</v>
      </c>
      <c r="G52" s="5"/>
      <c r="H52" s="81">
        <f t="shared" si="10"/>
        <v>1659.39</v>
      </c>
      <c r="I52" s="81">
        <f t="shared" si="19"/>
        <v>39825.359999999993</v>
      </c>
      <c r="K52" s="81">
        <f t="shared" si="20"/>
        <v>0</v>
      </c>
      <c r="L52" s="69">
        <f>+'24'!F11</f>
        <v>0</v>
      </c>
      <c r="M52" s="69">
        <f>+'24'!F12</f>
        <v>0</v>
      </c>
      <c r="N52" s="81">
        <f t="shared" si="11"/>
        <v>0</v>
      </c>
      <c r="O52" s="5"/>
      <c r="P52" s="81">
        <f t="shared" si="12"/>
        <v>0</v>
      </c>
      <c r="Q52" s="81">
        <f t="shared" si="21"/>
        <v>0</v>
      </c>
      <c r="S52" s="117">
        <f t="shared" si="22"/>
        <v>-1659.39</v>
      </c>
      <c r="T52" s="43">
        <f t="shared" si="13"/>
        <v>0</v>
      </c>
      <c r="U52" s="43">
        <f t="shared" si="14"/>
        <v>0</v>
      </c>
      <c r="V52" s="81">
        <f t="shared" si="15"/>
        <v>-1659.39</v>
      </c>
      <c r="W52" s="43">
        <f t="shared" si="16"/>
        <v>0</v>
      </c>
      <c r="X52" s="114">
        <f t="shared" si="17"/>
        <v>1659.39</v>
      </c>
      <c r="Y52" s="81">
        <f t="shared" si="23"/>
        <v>39825.359999999993</v>
      </c>
    </row>
    <row r="53" spans="1:25" x14ac:dyDescent="0.25">
      <c r="A53" s="108" t="str">
        <f>+Input!B34</f>
        <v>Monday</v>
      </c>
      <c r="B53" s="108">
        <f>+Input!C34</f>
        <v>46167</v>
      </c>
      <c r="C53" s="117">
        <f t="shared" si="18"/>
        <v>-1659.39</v>
      </c>
      <c r="D53" s="69">
        <f>+'25'!B11</f>
        <v>0</v>
      </c>
      <c r="E53" s="69">
        <f>+'25'!B12</f>
        <v>0</v>
      </c>
      <c r="F53" s="114">
        <f t="shared" si="9"/>
        <v>-1659.39</v>
      </c>
      <c r="G53" s="5"/>
      <c r="H53" s="81">
        <f t="shared" si="10"/>
        <v>1659.39</v>
      </c>
      <c r="I53" s="81">
        <f t="shared" si="19"/>
        <v>41484.749999999993</v>
      </c>
      <c r="K53" s="81">
        <f t="shared" si="20"/>
        <v>0</v>
      </c>
      <c r="L53" s="69">
        <f>+'25'!F11</f>
        <v>0</v>
      </c>
      <c r="M53" s="69">
        <f>+'25'!F12</f>
        <v>0</v>
      </c>
      <c r="N53" s="81">
        <f t="shared" si="11"/>
        <v>0</v>
      </c>
      <c r="O53" s="5"/>
      <c r="P53" s="81">
        <f t="shared" si="12"/>
        <v>0</v>
      </c>
      <c r="Q53" s="81">
        <f t="shared" si="21"/>
        <v>0</v>
      </c>
      <c r="S53" s="117">
        <f t="shared" si="22"/>
        <v>-1659.39</v>
      </c>
      <c r="T53" s="43">
        <f t="shared" si="13"/>
        <v>0</v>
      </c>
      <c r="U53" s="43">
        <f t="shared" si="14"/>
        <v>0</v>
      </c>
      <c r="V53" s="81">
        <f t="shared" si="15"/>
        <v>-1659.39</v>
      </c>
      <c r="W53" s="43">
        <f t="shared" si="16"/>
        <v>0</v>
      </c>
      <c r="X53" s="114">
        <f t="shared" si="17"/>
        <v>1659.39</v>
      </c>
      <c r="Y53" s="81">
        <f t="shared" si="23"/>
        <v>41484.749999999993</v>
      </c>
    </row>
    <row r="54" spans="1:25" x14ac:dyDescent="0.25">
      <c r="A54" s="108" t="str">
        <f>+Input!B35</f>
        <v>Tuesday</v>
      </c>
      <c r="B54" s="108">
        <f>+Input!C35</f>
        <v>46168</v>
      </c>
      <c r="C54" s="117">
        <f t="shared" si="18"/>
        <v>-1659.39</v>
      </c>
      <c r="D54" s="69">
        <f>+'26'!B11</f>
        <v>0</v>
      </c>
      <c r="E54" s="69">
        <f>+'26'!B12</f>
        <v>0</v>
      </c>
      <c r="F54" s="114">
        <f t="shared" si="9"/>
        <v>-1659.39</v>
      </c>
      <c r="G54" s="5"/>
      <c r="H54" s="81">
        <f t="shared" si="10"/>
        <v>1659.39</v>
      </c>
      <c r="I54" s="81">
        <f t="shared" si="19"/>
        <v>43144.139999999992</v>
      </c>
      <c r="K54" s="81">
        <f t="shared" si="20"/>
        <v>0</v>
      </c>
      <c r="L54" s="69">
        <f>+'26'!F11</f>
        <v>0</v>
      </c>
      <c r="M54" s="69">
        <f>+'26'!F12</f>
        <v>0</v>
      </c>
      <c r="N54" s="81">
        <f t="shared" si="11"/>
        <v>0</v>
      </c>
      <c r="O54" s="5"/>
      <c r="P54" s="81">
        <f t="shared" si="12"/>
        <v>0</v>
      </c>
      <c r="Q54" s="81">
        <f t="shared" si="21"/>
        <v>0</v>
      </c>
      <c r="S54" s="117">
        <f t="shared" si="22"/>
        <v>-1659.39</v>
      </c>
      <c r="T54" s="43">
        <f t="shared" si="13"/>
        <v>0</v>
      </c>
      <c r="U54" s="43">
        <f t="shared" si="14"/>
        <v>0</v>
      </c>
      <c r="V54" s="81">
        <f t="shared" si="15"/>
        <v>-1659.39</v>
      </c>
      <c r="W54" s="43">
        <f t="shared" si="16"/>
        <v>0</v>
      </c>
      <c r="X54" s="114">
        <f t="shared" si="17"/>
        <v>1659.39</v>
      </c>
      <c r="Y54" s="81">
        <f t="shared" si="23"/>
        <v>43144.139999999992</v>
      </c>
    </row>
    <row r="55" spans="1:25" x14ac:dyDescent="0.25">
      <c r="A55" s="108" t="str">
        <f>+Input!B36</f>
        <v>Wednesday</v>
      </c>
      <c r="B55" s="108">
        <f>+Input!C36</f>
        <v>46169</v>
      </c>
      <c r="C55" s="117">
        <f t="shared" si="18"/>
        <v>-1659.39</v>
      </c>
      <c r="D55" s="69">
        <f>+'27'!B11</f>
        <v>0</v>
      </c>
      <c r="E55" s="69">
        <f>+'27'!B12</f>
        <v>0</v>
      </c>
      <c r="F55" s="114">
        <f t="shared" si="9"/>
        <v>-1659.39</v>
      </c>
      <c r="G55" s="5"/>
      <c r="H55" s="81">
        <f t="shared" si="10"/>
        <v>1659.39</v>
      </c>
      <c r="I55" s="81">
        <f t="shared" si="19"/>
        <v>44803.529999999992</v>
      </c>
      <c r="K55" s="81">
        <f t="shared" si="20"/>
        <v>0</v>
      </c>
      <c r="L55" s="69">
        <f>+'27'!F11</f>
        <v>0</v>
      </c>
      <c r="M55" s="69">
        <f>+'27'!F12</f>
        <v>0</v>
      </c>
      <c r="N55" s="81">
        <f t="shared" si="11"/>
        <v>0</v>
      </c>
      <c r="O55" s="5"/>
      <c r="P55" s="81">
        <f t="shared" si="12"/>
        <v>0</v>
      </c>
      <c r="Q55" s="81">
        <f t="shared" si="21"/>
        <v>0</v>
      </c>
      <c r="S55" s="117">
        <f t="shared" si="22"/>
        <v>-1659.39</v>
      </c>
      <c r="T55" s="43">
        <f t="shared" si="13"/>
        <v>0</v>
      </c>
      <c r="U55" s="43">
        <f t="shared" si="14"/>
        <v>0</v>
      </c>
      <c r="V55" s="81">
        <f t="shared" si="15"/>
        <v>-1659.39</v>
      </c>
      <c r="W55" s="43">
        <f t="shared" si="16"/>
        <v>0</v>
      </c>
      <c r="X55" s="114">
        <f t="shared" si="17"/>
        <v>1659.39</v>
      </c>
      <c r="Y55" s="81">
        <f t="shared" si="23"/>
        <v>44803.529999999992</v>
      </c>
    </row>
    <row r="56" spans="1:25" x14ac:dyDescent="0.25">
      <c r="A56" s="108" t="str">
        <f>+Input!B37</f>
        <v>Thursday</v>
      </c>
      <c r="B56" s="108">
        <f>+Input!C37</f>
        <v>46170</v>
      </c>
      <c r="C56" s="117">
        <f t="shared" si="18"/>
        <v>-1659.39</v>
      </c>
      <c r="D56" s="69">
        <f>+'28'!B11</f>
        <v>0</v>
      </c>
      <c r="E56" s="69">
        <f>+'28'!B12</f>
        <v>0</v>
      </c>
      <c r="F56" s="114">
        <f t="shared" si="9"/>
        <v>-1659.39</v>
      </c>
      <c r="G56" s="5"/>
      <c r="H56" s="81">
        <f t="shared" si="10"/>
        <v>1659.39</v>
      </c>
      <c r="I56" s="81">
        <f t="shared" si="19"/>
        <v>46462.919999999991</v>
      </c>
      <c r="K56" s="81">
        <f t="shared" si="20"/>
        <v>0</v>
      </c>
      <c r="L56" s="69">
        <f>+'28'!F11</f>
        <v>0</v>
      </c>
      <c r="M56" s="69">
        <f>+'28'!F12</f>
        <v>0</v>
      </c>
      <c r="N56" s="81">
        <f t="shared" si="11"/>
        <v>0</v>
      </c>
      <c r="O56" s="5"/>
      <c r="P56" s="81">
        <f t="shared" si="12"/>
        <v>0</v>
      </c>
      <c r="Q56" s="81">
        <f t="shared" si="21"/>
        <v>0</v>
      </c>
      <c r="S56" s="117">
        <f t="shared" si="22"/>
        <v>-1659.39</v>
      </c>
      <c r="T56" s="43">
        <f t="shared" si="13"/>
        <v>0</v>
      </c>
      <c r="U56" s="43">
        <f t="shared" si="14"/>
        <v>0</v>
      </c>
      <c r="V56" s="81">
        <f t="shared" si="15"/>
        <v>-1659.39</v>
      </c>
      <c r="W56" s="43">
        <f t="shared" si="16"/>
        <v>0</v>
      </c>
      <c r="X56" s="114">
        <f t="shared" si="17"/>
        <v>1659.39</v>
      </c>
      <c r="Y56" s="81">
        <f t="shared" si="23"/>
        <v>46462.919999999991</v>
      </c>
    </row>
    <row r="57" spans="1:25" x14ac:dyDescent="0.25">
      <c r="A57" s="108" t="str">
        <f>+Input!B38</f>
        <v>Friday</v>
      </c>
      <c r="B57" s="108">
        <f>+Input!C38</f>
        <v>46171</v>
      </c>
      <c r="C57" s="117">
        <f t="shared" si="18"/>
        <v>-1659.39</v>
      </c>
      <c r="D57" s="69">
        <f>+'29'!B11</f>
        <v>0</v>
      </c>
      <c r="E57" s="69">
        <f>+'29'!B12</f>
        <v>0</v>
      </c>
      <c r="F57" s="114">
        <f t="shared" si="9"/>
        <v>-1659.39</v>
      </c>
      <c r="G57" s="5"/>
      <c r="H57" s="81">
        <f t="shared" si="10"/>
        <v>1659.39</v>
      </c>
      <c r="I57" s="81">
        <f t="shared" si="19"/>
        <v>48122.30999999999</v>
      </c>
      <c r="K57" s="81">
        <f t="shared" si="20"/>
        <v>0</v>
      </c>
      <c r="L57" s="69">
        <f>+'29'!F11</f>
        <v>0</v>
      </c>
      <c r="M57" s="69">
        <f>+'29'!F12</f>
        <v>0</v>
      </c>
      <c r="N57" s="81">
        <f t="shared" si="11"/>
        <v>0</v>
      </c>
      <c r="O57" s="5"/>
      <c r="P57" s="81">
        <f t="shared" si="12"/>
        <v>0</v>
      </c>
      <c r="Q57" s="81">
        <f t="shared" si="21"/>
        <v>0</v>
      </c>
      <c r="S57" s="117">
        <f t="shared" si="22"/>
        <v>-1659.39</v>
      </c>
      <c r="T57" s="43">
        <f t="shared" si="13"/>
        <v>0</v>
      </c>
      <c r="U57" s="43">
        <f t="shared" si="14"/>
        <v>0</v>
      </c>
      <c r="V57" s="81">
        <f t="shared" si="15"/>
        <v>-1659.39</v>
      </c>
      <c r="W57" s="43">
        <f t="shared" si="16"/>
        <v>0</v>
      </c>
      <c r="X57" s="114">
        <f t="shared" si="17"/>
        <v>1659.39</v>
      </c>
      <c r="Y57" s="81">
        <f t="shared" si="23"/>
        <v>48122.30999999999</v>
      </c>
    </row>
    <row r="58" spans="1:25" x14ac:dyDescent="0.25">
      <c r="A58" s="108" t="str">
        <f>+Input!B39</f>
        <v>Saturday</v>
      </c>
      <c r="B58" s="108">
        <f>+Input!C39</f>
        <v>46172</v>
      </c>
      <c r="C58" s="117">
        <f t="shared" si="18"/>
        <v>-1659.39</v>
      </c>
      <c r="D58" s="69">
        <f>+'30'!B11</f>
        <v>0</v>
      </c>
      <c r="E58" s="69">
        <f>+'30'!B12</f>
        <v>0</v>
      </c>
      <c r="F58" s="114">
        <f t="shared" si="9"/>
        <v>-1659.39</v>
      </c>
      <c r="G58" s="5"/>
      <c r="H58" s="81">
        <f t="shared" si="10"/>
        <v>1659.39</v>
      </c>
      <c r="I58" s="81">
        <f t="shared" si="19"/>
        <v>49781.69999999999</v>
      </c>
      <c r="K58" s="81">
        <f t="shared" si="20"/>
        <v>0</v>
      </c>
      <c r="L58" s="69">
        <f>+'30'!F11</f>
        <v>0</v>
      </c>
      <c r="M58" s="69">
        <f>+'30'!F12</f>
        <v>0</v>
      </c>
      <c r="N58" s="81">
        <f t="shared" si="11"/>
        <v>0</v>
      </c>
      <c r="O58" s="5"/>
      <c r="P58" s="81">
        <f t="shared" si="12"/>
        <v>0</v>
      </c>
      <c r="Q58" s="81">
        <f t="shared" si="21"/>
        <v>0</v>
      </c>
      <c r="S58" s="117">
        <f t="shared" si="22"/>
        <v>-1659.39</v>
      </c>
      <c r="T58" s="43">
        <f t="shared" si="13"/>
        <v>0</v>
      </c>
      <c r="U58" s="43">
        <f t="shared" si="14"/>
        <v>0</v>
      </c>
      <c r="V58" s="81">
        <f t="shared" si="15"/>
        <v>-1659.39</v>
      </c>
      <c r="W58" s="43">
        <f t="shared" si="16"/>
        <v>0</v>
      </c>
      <c r="X58" s="114">
        <f t="shared" si="17"/>
        <v>1659.39</v>
      </c>
      <c r="Y58" s="81">
        <f t="shared" si="23"/>
        <v>49781.69999999999</v>
      </c>
    </row>
    <row r="59" spans="1:25" x14ac:dyDescent="0.25">
      <c r="A59" s="109" t="str">
        <f>+Input!B40</f>
        <v>Sunday</v>
      </c>
      <c r="B59" s="109">
        <f>+Input!C40</f>
        <v>46173</v>
      </c>
      <c r="C59" s="118">
        <f t="shared" si="18"/>
        <v>-1659.39</v>
      </c>
      <c r="D59" s="57">
        <f>+'31'!B11</f>
        <v>0</v>
      </c>
      <c r="E59" s="57">
        <f>+'31'!B12</f>
        <v>0</v>
      </c>
      <c r="F59" s="119">
        <f t="shared" si="9"/>
        <v>-1659.39</v>
      </c>
      <c r="G59" s="58"/>
      <c r="H59" s="44">
        <f t="shared" si="10"/>
        <v>1659.39</v>
      </c>
      <c r="I59" s="44">
        <f t="shared" si="19"/>
        <v>51441.089999999989</v>
      </c>
      <c r="K59" s="44">
        <f t="shared" si="20"/>
        <v>0</v>
      </c>
      <c r="L59" s="57">
        <f>+'31'!F11</f>
        <v>0</v>
      </c>
      <c r="M59" s="57">
        <f>+'31'!F12</f>
        <v>0</v>
      </c>
      <c r="N59" s="44">
        <f t="shared" si="11"/>
        <v>0</v>
      </c>
      <c r="O59" s="58"/>
      <c r="P59" s="44">
        <f t="shared" si="12"/>
        <v>0</v>
      </c>
      <c r="Q59" s="44">
        <f t="shared" si="21"/>
        <v>0</v>
      </c>
      <c r="S59" s="118">
        <f t="shared" si="22"/>
        <v>-1659.39</v>
      </c>
      <c r="T59" s="31">
        <f t="shared" si="13"/>
        <v>0</v>
      </c>
      <c r="U59" s="31">
        <f t="shared" si="14"/>
        <v>0</v>
      </c>
      <c r="V59" s="44">
        <f t="shared" si="15"/>
        <v>-1659.39</v>
      </c>
      <c r="W59" s="31">
        <f t="shared" si="16"/>
        <v>0</v>
      </c>
      <c r="X59" s="119">
        <f t="shared" si="17"/>
        <v>1659.39</v>
      </c>
      <c r="Y59" s="44">
        <f t="shared" si="23"/>
        <v>51441.089999999989</v>
      </c>
    </row>
    <row r="60" spans="1:25" x14ac:dyDescent="0.25">
      <c r="C60" s="29">
        <f>+C29</f>
        <v>0</v>
      </c>
      <c r="D60" s="44">
        <f>SUM(D29:D59)</f>
        <v>0</v>
      </c>
      <c r="E60" s="44">
        <f>SUM(E29:E59)</f>
        <v>1659.39</v>
      </c>
      <c r="F60" s="29">
        <f>+C60+D60-E60</f>
        <v>-1659.39</v>
      </c>
      <c r="G60" s="29">
        <f>+B22</f>
        <v>0</v>
      </c>
      <c r="H60" s="29">
        <f t="shared" si="10"/>
        <v>1659.39</v>
      </c>
      <c r="I60" s="29">
        <f>+G60-F60</f>
        <v>1659.39</v>
      </c>
      <c r="K60" s="29">
        <f>+K29</f>
        <v>0</v>
      </c>
      <c r="L60" s="29">
        <f>SUM(L29:L59)</f>
        <v>0</v>
      </c>
      <c r="M60" s="29">
        <f>SUM(M29:M59)</f>
        <v>0</v>
      </c>
      <c r="N60" s="29">
        <f>+K60+L60-M60</f>
        <v>0</v>
      </c>
      <c r="O60" s="29">
        <f>+F22</f>
        <v>0</v>
      </c>
      <c r="P60" s="29">
        <f t="shared" si="12"/>
        <v>0</v>
      </c>
      <c r="Q60" s="29">
        <f>+O60-N60</f>
        <v>0</v>
      </c>
      <c r="S60" s="29">
        <f>+S29</f>
        <v>0</v>
      </c>
      <c r="T60" s="44">
        <f>SUM(T29:T59)</f>
        <v>0</v>
      </c>
      <c r="U60" s="44">
        <f>SUM(U29:U59)</f>
        <v>1659.39</v>
      </c>
      <c r="V60" s="44">
        <f>+S60+T60-U60</f>
        <v>-1659.39</v>
      </c>
      <c r="W60" s="44">
        <f>+G60+O60</f>
        <v>0</v>
      </c>
      <c r="X60" s="29">
        <f t="shared" si="17"/>
        <v>1659.39</v>
      </c>
      <c r="Y60" s="29">
        <f>+W60-V60</f>
        <v>1659.39</v>
      </c>
    </row>
    <row r="62" spans="1:25" ht="15.75" thickBot="1" x14ac:dyDescent="0.3"/>
    <row r="63" spans="1:25" ht="15.75" thickBot="1" x14ac:dyDescent="0.3">
      <c r="C63" s="257" t="s">
        <v>163</v>
      </c>
      <c r="D63" s="258"/>
      <c r="E63" s="258"/>
      <c r="F63" s="258"/>
      <c r="G63" s="258"/>
      <c r="H63" s="258"/>
      <c r="I63" s="259"/>
      <c r="K63" s="257" t="s">
        <v>188</v>
      </c>
      <c r="L63" s="258"/>
      <c r="M63" s="258"/>
      <c r="N63" s="258"/>
      <c r="O63" s="258"/>
      <c r="P63" s="258"/>
      <c r="Q63" s="259"/>
      <c r="S63" s="257" t="s">
        <v>189</v>
      </c>
      <c r="T63" s="258"/>
      <c r="U63" s="258"/>
      <c r="V63" s="258"/>
      <c r="W63" s="258"/>
      <c r="X63" s="258"/>
      <c r="Y63" s="259"/>
    </row>
    <row r="64" spans="1:25" x14ac:dyDescent="0.25">
      <c r="C64" s="110" t="s">
        <v>155</v>
      </c>
      <c r="D64" s="111" t="s">
        <v>156</v>
      </c>
      <c r="E64" s="112" t="s">
        <v>157</v>
      </c>
      <c r="F64" s="113" t="s">
        <v>158</v>
      </c>
      <c r="G64" s="105" t="s">
        <v>159</v>
      </c>
      <c r="H64" s="106" t="s">
        <v>160</v>
      </c>
      <c r="I64" s="106" t="s">
        <v>161</v>
      </c>
      <c r="K64" s="110" t="s">
        <v>155</v>
      </c>
      <c r="L64" s="111" t="s">
        <v>156</v>
      </c>
      <c r="M64" s="112" t="s">
        <v>157</v>
      </c>
      <c r="N64" s="113" t="s">
        <v>158</v>
      </c>
      <c r="O64" s="105" t="s">
        <v>159</v>
      </c>
      <c r="P64" s="106" t="s">
        <v>160</v>
      </c>
      <c r="Q64" s="106" t="s">
        <v>161</v>
      </c>
      <c r="S64" s="110" t="s">
        <v>155</v>
      </c>
      <c r="T64" s="111" t="s">
        <v>156</v>
      </c>
      <c r="U64" s="112" t="s">
        <v>157</v>
      </c>
      <c r="V64" s="113" t="s">
        <v>158</v>
      </c>
      <c r="W64" s="105" t="s">
        <v>159</v>
      </c>
      <c r="X64" s="106" t="s">
        <v>160</v>
      </c>
      <c r="Y64" s="106" t="s">
        <v>161</v>
      </c>
    </row>
    <row r="65" spans="1:25" x14ac:dyDescent="0.25">
      <c r="A65" s="120" t="str">
        <f>+Input!B10</f>
        <v>Friday</v>
      </c>
      <c r="B65" s="107">
        <f>+Input!C10</f>
        <v>46143</v>
      </c>
      <c r="C65" s="115">
        <f>+Input!B93</f>
        <v>0</v>
      </c>
      <c r="D65" s="68">
        <f>+'1'!C11</f>
        <v>0</v>
      </c>
      <c r="E65" s="68">
        <f>+'1'!C12</f>
        <v>1920.7</v>
      </c>
      <c r="F65" s="66">
        <f>+C65+D65-E65</f>
        <v>-1920.7</v>
      </c>
      <c r="G65" s="55"/>
      <c r="H65" s="66">
        <f>+G65-F65</f>
        <v>1920.7</v>
      </c>
      <c r="I65" s="66">
        <f>+H65</f>
        <v>1920.7</v>
      </c>
      <c r="K65" s="66">
        <f>+Input!J93</f>
        <v>0</v>
      </c>
      <c r="L65" s="68">
        <f>+'1'!E11</f>
        <v>0</v>
      </c>
      <c r="M65" s="68">
        <f>+'1'!E12</f>
        <v>0</v>
      </c>
      <c r="N65" s="66">
        <f>+K65+L65-M65</f>
        <v>0</v>
      </c>
      <c r="O65" s="55"/>
      <c r="P65" s="66">
        <f>+O65-N65</f>
        <v>0</v>
      </c>
      <c r="Q65" s="66">
        <f>+P65</f>
        <v>0</v>
      </c>
      <c r="S65" s="116">
        <f>+C65+K65</f>
        <v>0</v>
      </c>
      <c r="T65" s="30">
        <f>+D65+L65</f>
        <v>0</v>
      </c>
      <c r="U65" s="30">
        <f>+E65+M65</f>
        <v>1920.7</v>
      </c>
      <c r="V65" s="66">
        <f>+S65+T65-U65</f>
        <v>-1920.7</v>
      </c>
      <c r="W65" s="30">
        <f>+G65+O65</f>
        <v>0</v>
      </c>
      <c r="X65" s="115">
        <f>+W65-V65</f>
        <v>1920.7</v>
      </c>
      <c r="Y65" s="66">
        <f>+X65</f>
        <v>1920.7</v>
      </c>
    </row>
    <row r="66" spans="1:25" x14ac:dyDescent="0.25">
      <c r="A66" s="121" t="str">
        <f>+Input!B11</f>
        <v>Saturday</v>
      </c>
      <c r="B66" s="108">
        <f>+Input!C11</f>
        <v>46144</v>
      </c>
      <c r="C66" s="114">
        <f>+F65</f>
        <v>-1920.7</v>
      </c>
      <c r="D66" s="69">
        <f>+'2'!C11</f>
        <v>0</v>
      </c>
      <c r="E66" s="69">
        <f>+'2'!C12</f>
        <v>0</v>
      </c>
      <c r="F66" s="81">
        <f t="shared" ref="F66:F95" si="24">+C66+D66-E66</f>
        <v>-1920.7</v>
      </c>
      <c r="G66" s="5"/>
      <c r="H66" s="81">
        <f t="shared" ref="H66:H96" si="25">+G66-F66</f>
        <v>1920.7</v>
      </c>
      <c r="I66" s="81">
        <f>+I65+H66</f>
        <v>3841.4</v>
      </c>
      <c r="K66" s="81">
        <f>+N65</f>
        <v>0</v>
      </c>
      <c r="L66" s="69">
        <f>+'2'!E11</f>
        <v>0</v>
      </c>
      <c r="M66" s="69">
        <f>+'2'!E12</f>
        <v>0</v>
      </c>
      <c r="N66" s="81">
        <f t="shared" ref="N66:N95" si="26">+K66+L66-M66</f>
        <v>0</v>
      </c>
      <c r="O66" s="5"/>
      <c r="P66" s="81">
        <f t="shared" ref="P66:P96" si="27">+O66-N66</f>
        <v>0</v>
      </c>
      <c r="Q66" s="81">
        <f>+Q65+P66</f>
        <v>0</v>
      </c>
      <c r="S66" s="117">
        <f>+V65</f>
        <v>-1920.7</v>
      </c>
      <c r="T66" s="43">
        <f t="shared" ref="T66:T95" si="28">+D66+L66</f>
        <v>0</v>
      </c>
      <c r="U66" s="43">
        <f t="shared" ref="U66:U95" si="29">+E66+M66</f>
        <v>0</v>
      </c>
      <c r="V66" s="81">
        <f t="shared" ref="V66:V95" si="30">+S66+T66-U66</f>
        <v>-1920.7</v>
      </c>
      <c r="W66" s="43">
        <f t="shared" ref="W66:W95" si="31">+G66+O66</f>
        <v>0</v>
      </c>
      <c r="X66" s="114">
        <f t="shared" ref="X66:X96" si="32">+W66-V66</f>
        <v>1920.7</v>
      </c>
      <c r="Y66" s="81">
        <f>+Y65+X66</f>
        <v>3841.4</v>
      </c>
    </row>
    <row r="67" spans="1:25" x14ac:dyDescent="0.25">
      <c r="A67" s="121" t="str">
        <f>+Input!B12</f>
        <v>Sunday</v>
      </c>
      <c r="B67" s="108">
        <f>+Input!C12</f>
        <v>46145</v>
      </c>
      <c r="C67" s="114">
        <f t="shared" ref="C67:C95" si="33">+F66</f>
        <v>-1920.7</v>
      </c>
      <c r="D67" s="69">
        <f>+'3'!C11</f>
        <v>0</v>
      </c>
      <c r="E67" s="69">
        <f>+'3'!C12</f>
        <v>0</v>
      </c>
      <c r="F67" s="81">
        <f t="shared" si="24"/>
        <v>-1920.7</v>
      </c>
      <c r="G67" s="5"/>
      <c r="H67" s="81">
        <f t="shared" si="25"/>
        <v>1920.7</v>
      </c>
      <c r="I67" s="81">
        <f t="shared" ref="I67:I95" si="34">+I66+H67</f>
        <v>5762.1</v>
      </c>
      <c r="K67" s="81">
        <f t="shared" ref="K67:K95" si="35">+N66</f>
        <v>0</v>
      </c>
      <c r="L67" s="69">
        <f>+'3'!E11</f>
        <v>0</v>
      </c>
      <c r="M67" s="69">
        <f>+'3'!E12</f>
        <v>0</v>
      </c>
      <c r="N67" s="81">
        <f t="shared" si="26"/>
        <v>0</v>
      </c>
      <c r="O67" s="5"/>
      <c r="P67" s="81">
        <f t="shared" si="27"/>
        <v>0</v>
      </c>
      <c r="Q67" s="81">
        <f t="shared" ref="Q67:Q95" si="36">+Q66+P67</f>
        <v>0</v>
      </c>
      <c r="S67" s="117">
        <f t="shared" ref="S67:S95" si="37">+V66</f>
        <v>-1920.7</v>
      </c>
      <c r="T67" s="43">
        <f t="shared" si="28"/>
        <v>0</v>
      </c>
      <c r="U67" s="43">
        <f t="shared" si="29"/>
        <v>0</v>
      </c>
      <c r="V67" s="81">
        <f t="shared" si="30"/>
        <v>-1920.7</v>
      </c>
      <c r="W67" s="43">
        <f t="shared" si="31"/>
        <v>0</v>
      </c>
      <c r="X67" s="114">
        <f t="shared" si="32"/>
        <v>1920.7</v>
      </c>
      <c r="Y67" s="81">
        <f t="shared" ref="Y67:Y95" si="38">+Y66+X67</f>
        <v>5762.1</v>
      </c>
    </row>
    <row r="68" spans="1:25" x14ac:dyDescent="0.25">
      <c r="A68" s="121" t="str">
        <f>+Input!B13</f>
        <v>Monday</v>
      </c>
      <c r="B68" s="108">
        <f>+Input!C13</f>
        <v>46146</v>
      </c>
      <c r="C68" s="114">
        <f t="shared" si="33"/>
        <v>-1920.7</v>
      </c>
      <c r="D68" s="69">
        <f>+'4'!C11</f>
        <v>0</v>
      </c>
      <c r="E68" s="69">
        <f>+'4'!C12</f>
        <v>0</v>
      </c>
      <c r="F68" s="81">
        <f t="shared" si="24"/>
        <v>-1920.7</v>
      </c>
      <c r="G68" s="5"/>
      <c r="H68" s="81">
        <f t="shared" si="25"/>
        <v>1920.7</v>
      </c>
      <c r="I68" s="81">
        <f t="shared" si="34"/>
        <v>7682.8</v>
      </c>
      <c r="K68" s="81">
        <f t="shared" si="35"/>
        <v>0</v>
      </c>
      <c r="L68" s="69">
        <f>+'4'!E11</f>
        <v>0</v>
      </c>
      <c r="M68" s="69">
        <f>+'4'!E12</f>
        <v>0</v>
      </c>
      <c r="N68" s="81">
        <f t="shared" si="26"/>
        <v>0</v>
      </c>
      <c r="O68" s="5"/>
      <c r="P68" s="81">
        <f t="shared" si="27"/>
        <v>0</v>
      </c>
      <c r="Q68" s="81">
        <f t="shared" si="36"/>
        <v>0</v>
      </c>
      <c r="S68" s="117">
        <f t="shared" si="37"/>
        <v>-1920.7</v>
      </c>
      <c r="T68" s="43">
        <f t="shared" si="28"/>
        <v>0</v>
      </c>
      <c r="U68" s="43">
        <f t="shared" si="29"/>
        <v>0</v>
      </c>
      <c r="V68" s="81">
        <f t="shared" si="30"/>
        <v>-1920.7</v>
      </c>
      <c r="W68" s="43">
        <f t="shared" si="31"/>
        <v>0</v>
      </c>
      <c r="X68" s="114">
        <f t="shared" si="32"/>
        <v>1920.7</v>
      </c>
      <c r="Y68" s="81">
        <f t="shared" si="38"/>
        <v>7682.8</v>
      </c>
    </row>
    <row r="69" spans="1:25" x14ac:dyDescent="0.25">
      <c r="A69" s="121" t="str">
        <f>+Input!B14</f>
        <v>Tuesday</v>
      </c>
      <c r="B69" s="108">
        <f>+Input!C14</f>
        <v>46147</v>
      </c>
      <c r="C69" s="114">
        <f t="shared" si="33"/>
        <v>-1920.7</v>
      </c>
      <c r="D69" s="69">
        <f>+'5'!C11</f>
        <v>0</v>
      </c>
      <c r="E69" s="69">
        <f>+'5'!C12</f>
        <v>0</v>
      </c>
      <c r="F69" s="81">
        <f t="shared" si="24"/>
        <v>-1920.7</v>
      </c>
      <c r="G69" s="5"/>
      <c r="H69" s="81">
        <f t="shared" si="25"/>
        <v>1920.7</v>
      </c>
      <c r="I69" s="81">
        <f t="shared" si="34"/>
        <v>9603.5</v>
      </c>
      <c r="K69" s="81">
        <f t="shared" si="35"/>
        <v>0</v>
      </c>
      <c r="L69" s="69">
        <f>+'5'!E11</f>
        <v>0</v>
      </c>
      <c r="M69" s="69">
        <f>+'5'!E12</f>
        <v>0</v>
      </c>
      <c r="N69" s="81">
        <f t="shared" si="26"/>
        <v>0</v>
      </c>
      <c r="O69" s="5"/>
      <c r="P69" s="81">
        <f t="shared" si="27"/>
        <v>0</v>
      </c>
      <c r="Q69" s="81">
        <f t="shared" si="36"/>
        <v>0</v>
      </c>
      <c r="S69" s="117">
        <f t="shared" si="37"/>
        <v>-1920.7</v>
      </c>
      <c r="T69" s="43">
        <f t="shared" si="28"/>
        <v>0</v>
      </c>
      <c r="U69" s="43">
        <f t="shared" si="29"/>
        <v>0</v>
      </c>
      <c r="V69" s="81">
        <f t="shared" si="30"/>
        <v>-1920.7</v>
      </c>
      <c r="W69" s="43">
        <f t="shared" si="31"/>
        <v>0</v>
      </c>
      <c r="X69" s="114">
        <f t="shared" si="32"/>
        <v>1920.7</v>
      </c>
      <c r="Y69" s="81">
        <f t="shared" si="38"/>
        <v>9603.5</v>
      </c>
    </row>
    <row r="70" spans="1:25" x14ac:dyDescent="0.25">
      <c r="A70" s="121" t="str">
        <f>+Input!B15</f>
        <v>Wednesday</v>
      </c>
      <c r="B70" s="108">
        <f>+Input!C15</f>
        <v>46148</v>
      </c>
      <c r="C70" s="114">
        <f t="shared" si="33"/>
        <v>-1920.7</v>
      </c>
      <c r="D70" s="69">
        <f>+'6'!C11</f>
        <v>0</v>
      </c>
      <c r="E70" s="69">
        <f>+'6'!C12</f>
        <v>0</v>
      </c>
      <c r="F70" s="81">
        <f t="shared" si="24"/>
        <v>-1920.7</v>
      </c>
      <c r="G70" s="5"/>
      <c r="H70" s="81">
        <f t="shared" si="25"/>
        <v>1920.7</v>
      </c>
      <c r="I70" s="81">
        <f t="shared" si="34"/>
        <v>11524.2</v>
      </c>
      <c r="K70" s="81">
        <f t="shared" si="35"/>
        <v>0</v>
      </c>
      <c r="L70" s="69">
        <f>+'6'!E11</f>
        <v>0</v>
      </c>
      <c r="M70" s="69">
        <f>+'6'!E12</f>
        <v>0</v>
      </c>
      <c r="N70" s="81">
        <f t="shared" si="26"/>
        <v>0</v>
      </c>
      <c r="O70" s="5"/>
      <c r="P70" s="81">
        <f t="shared" si="27"/>
        <v>0</v>
      </c>
      <c r="Q70" s="81">
        <f t="shared" si="36"/>
        <v>0</v>
      </c>
      <c r="S70" s="117">
        <f t="shared" si="37"/>
        <v>-1920.7</v>
      </c>
      <c r="T70" s="43">
        <f t="shared" si="28"/>
        <v>0</v>
      </c>
      <c r="U70" s="43">
        <f t="shared" si="29"/>
        <v>0</v>
      </c>
      <c r="V70" s="81">
        <f t="shared" si="30"/>
        <v>-1920.7</v>
      </c>
      <c r="W70" s="43">
        <f t="shared" si="31"/>
        <v>0</v>
      </c>
      <c r="X70" s="114">
        <f t="shared" si="32"/>
        <v>1920.7</v>
      </c>
      <c r="Y70" s="81">
        <f t="shared" si="38"/>
        <v>11524.2</v>
      </c>
    </row>
    <row r="71" spans="1:25" x14ac:dyDescent="0.25">
      <c r="A71" s="121" t="str">
        <f>+Input!B16</f>
        <v>Thursday</v>
      </c>
      <c r="B71" s="108">
        <f>+Input!C16</f>
        <v>46149</v>
      </c>
      <c r="C71" s="114">
        <f t="shared" si="33"/>
        <v>-1920.7</v>
      </c>
      <c r="D71" s="69">
        <f>+'7'!C11</f>
        <v>0</v>
      </c>
      <c r="E71" s="69">
        <f>+'7'!C12</f>
        <v>0</v>
      </c>
      <c r="F71" s="81">
        <f t="shared" si="24"/>
        <v>-1920.7</v>
      </c>
      <c r="G71" s="5"/>
      <c r="H71" s="81">
        <f t="shared" si="25"/>
        <v>1920.7</v>
      </c>
      <c r="I71" s="81">
        <f t="shared" si="34"/>
        <v>13444.900000000001</v>
      </c>
      <c r="K71" s="81">
        <f t="shared" si="35"/>
        <v>0</v>
      </c>
      <c r="L71" s="69">
        <f>+'7'!E11</f>
        <v>0</v>
      </c>
      <c r="M71" s="69">
        <f>+'7'!E12</f>
        <v>0</v>
      </c>
      <c r="N71" s="81">
        <f t="shared" si="26"/>
        <v>0</v>
      </c>
      <c r="O71" s="5"/>
      <c r="P71" s="81">
        <f t="shared" si="27"/>
        <v>0</v>
      </c>
      <c r="Q71" s="81">
        <f t="shared" si="36"/>
        <v>0</v>
      </c>
      <c r="S71" s="117">
        <f t="shared" si="37"/>
        <v>-1920.7</v>
      </c>
      <c r="T71" s="43">
        <f t="shared" si="28"/>
        <v>0</v>
      </c>
      <c r="U71" s="43">
        <f t="shared" si="29"/>
        <v>0</v>
      </c>
      <c r="V71" s="81">
        <f t="shared" si="30"/>
        <v>-1920.7</v>
      </c>
      <c r="W71" s="43">
        <f t="shared" si="31"/>
        <v>0</v>
      </c>
      <c r="X71" s="114">
        <f t="shared" si="32"/>
        <v>1920.7</v>
      </c>
      <c r="Y71" s="81">
        <f t="shared" si="38"/>
        <v>13444.900000000001</v>
      </c>
    </row>
    <row r="72" spans="1:25" x14ac:dyDescent="0.25">
      <c r="A72" s="121" t="str">
        <f>+Input!B17</f>
        <v>Friday</v>
      </c>
      <c r="B72" s="108">
        <f>+Input!C17</f>
        <v>46150</v>
      </c>
      <c r="C72" s="114">
        <f t="shared" si="33"/>
        <v>-1920.7</v>
      </c>
      <c r="D72" s="69">
        <f>+'8'!C11</f>
        <v>0</v>
      </c>
      <c r="E72" s="69">
        <f>+'8'!C12</f>
        <v>0</v>
      </c>
      <c r="F72" s="81">
        <f t="shared" si="24"/>
        <v>-1920.7</v>
      </c>
      <c r="G72" s="5"/>
      <c r="H72" s="81">
        <f t="shared" si="25"/>
        <v>1920.7</v>
      </c>
      <c r="I72" s="81">
        <f t="shared" si="34"/>
        <v>15365.600000000002</v>
      </c>
      <c r="K72" s="81">
        <f t="shared" si="35"/>
        <v>0</v>
      </c>
      <c r="L72" s="69">
        <f>+'8'!E11</f>
        <v>0</v>
      </c>
      <c r="M72" s="69">
        <f>+'8'!E12</f>
        <v>0</v>
      </c>
      <c r="N72" s="81">
        <f t="shared" si="26"/>
        <v>0</v>
      </c>
      <c r="O72" s="5"/>
      <c r="P72" s="81">
        <f t="shared" si="27"/>
        <v>0</v>
      </c>
      <c r="Q72" s="81">
        <f t="shared" si="36"/>
        <v>0</v>
      </c>
      <c r="S72" s="117">
        <f t="shared" si="37"/>
        <v>-1920.7</v>
      </c>
      <c r="T72" s="43">
        <f t="shared" si="28"/>
        <v>0</v>
      </c>
      <c r="U72" s="43">
        <f t="shared" si="29"/>
        <v>0</v>
      </c>
      <c r="V72" s="81">
        <f t="shared" si="30"/>
        <v>-1920.7</v>
      </c>
      <c r="W72" s="43">
        <f t="shared" si="31"/>
        <v>0</v>
      </c>
      <c r="X72" s="114">
        <f t="shared" si="32"/>
        <v>1920.7</v>
      </c>
      <c r="Y72" s="81">
        <f t="shared" si="38"/>
        <v>15365.600000000002</v>
      </c>
    </row>
    <row r="73" spans="1:25" x14ac:dyDescent="0.25">
      <c r="A73" s="121" t="str">
        <f>+Input!B18</f>
        <v>Saturday</v>
      </c>
      <c r="B73" s="108">
        <f>+Input!C18</f>
        <v>46151</v>
      </c>
      <c r="C73" s="114">
        <f t="shared" si="33"/>
        <v>-1920.7</v>
      </c>
      <c r="D73" s="69">
        <f>+'9'!C11</f>
        <v>0</v>
      </c>
      <c r="E73" s="69">
        <f>+'9'!C12</f>
        <v>0</v>
      </c>
      <c r="F73" s="81">
        <f t="shared" si="24"/>
        <v>-1920.7</v>
      </c>
      <c r="G73" s="5"/>
      <c r="H73" s="81">
        <f t="shared" si="25"/>
        <v>1920.7</v>
      </c>
      <c r="I73" s="81">
        <f t="shared" si="34"/>
        <v>17286.300000000003</v>
      </c>
      <c r="K73" s="81">
        <f t="shared" si="35"/>
        <v>0</v>
      </c>
      <c r="L73" s="69">
        <f>+'9'!E11</f>
        <v>0</v>
      </c>
      <c r="M73" s="69">
        <f>+'9'!E12</f>
        <v>0</v>
      </c>
      <c r="N73" s="81">
        <f t="shared" si="26"/>
        <v>0</v>
      </c>
      <c r="O73" s="5"/>
      <c r="P73" s="81">
        <f t="shared" si="27"/>
        <v>0</v>
      </c>
      <c r="Q73" s="81">
        <f t="shared" si="36"/>
        <v>0</v>
      </c>
      <c r="S73" s="117">
        <f t="shared" si="37"/>
        <v>-1920.7</v>
      </c>
      <c r="T73" s="43">
        <f t="shared" si="28"/>
        <v>0</v>
      </c>
      <c r="U73" s="43">
        <f t="shared" si="29"/>
        <v>0</v>
      </c>
      <c r="V73" s="81">
        <f t="shared" si="30"/>
        <v>-1920.7</v>
      </c>
      <c r="W73" s="43">
        <f t="shared" si="31"/>
        <v>0</v>
      </c>
      <c r="X73" s="114">
        <f t="shared" si="32"/>
        <v>1920.7</v>
      </c>
      <c r="Y73" s="81">
        <f t="shared" si="38"/>
        <v>17286.300000000003</v>
      </c>
    </row>
    <row r="74" spans="1:25" x14ac:dyDescent="0.25">
      <c r="A74" s="121" t="str">
        <f>+Input!B19</f>
        <v>Sunday</v>
      </c>
      <c r="B74" s="108">
        <f>+Input!C19</f>
        <v>46152</v>
      </c>
      <c r="C74" s="114">
        <f t="shared" si="33"/>
        <v>-1920.7</v>
      </c>
      <c r="D74" s="69">
        <f>+'10'!C11</f>
        <v>0</v>
      </c>
      <c r="E74" s="69">
        <f>+'10'!C12</f>
        <v>0</v>
      </c>
      <c r="F74" s="81">
        <f t="shared" si="24"/>
        <v>-1920.7</v>
      </c>
      <c r="G74" s="5"/>
      <c r="H74" s="81">
        <f t="shared" si="25"/>
        <v>1920.7</v>
      </c>
      <c r="I74" s="81">
        <f t="shared" si="34"/>
        <v>19207.000000000004</v>
      </c>
      <c r="K74" s="81">
        <f t="shared" si="35"/>
        <v>0</v>
      </c>
      <c r="L74" s="69">
        <f>+'10'!E11</f>
        <v>0</v>
      </c>
      <c r="M74" s="69">
        <f>+'10'!E12</f>
        <v>0</v>
      </c>
      <c r="N74" s="81">
        <f t="shared" si="26"/>
        <v>0</v>
      </c>
      <c r="O74" s="5"/>
      <c r="P74" s="81">
        <f t="shared" si="27"/>
        <v>0</v>
      </c>
      <c r="Q74" s="81">
        <f t="shared" si="36"/>
        <v>0</v>
      </c>
      <c r="S74" s="117">
        <f t="shared" si="37"/>
        <v>-1920.7</v>
      </c>
      <c r="T74" s="43">
        <f t="shared" si="28"/>
        <v>0</v>
      </c>
      <c r="U74" s="43">
        <f t="shared" si="29"/>
        <v>0</v>
      </c>
      <c r="V74" s="81">
        <f t="shared" si="30"/>
        <v>-1920.7</v>
      </c>
      <c r="W74" s="43">
        <f t="shared" si="31"/>
        <v>0</v>
      </c>
      <c r="X74" s="114">
        <f t="shared" si="32"/>
        <v>1920.7</v>
      </c>
      <c r="Y74" s="81">
        <f t="shared" si="38"/>
        <v>19207.000000000004</v>
      </c>
    </row>
    <row r="75" spans="1:25" x14ac:dyDescent="0.25">
      <c r="A75" s="121" t="str">
        <f>+Input!B20</f>
        <v>Monday</v>
      </c>
      <c r="B75" s="108">
        <f>+Input!C20</f>
        <v>46153</v>
      </c>
      <c r="C75" s="114">
        <f t="shared" si="33"/>
        <v>-1920.7</v>
      </c>
      <c r="D75" s="69">
        <f>+'11'!C11</f>
        <v>0</v>
      </c>
      <c r="E75" s="69">
        <f>+'11'!C12</f>
        <v>0</v>
      </c>
      <c r="F75" s="81">
        <f t="shared" si="24"/>
        <v>-1920.7</v>
      </c>
      <c r="G75" s="5"/>
      <c r="H75" s="81">
        <f t="shared" si="25"/>
        <v>1920.7</v>
      </c>
      <c r="I75" s="81">
        <f t="shared" si="34"/>
        <v>21127.700000000004</v>
      </c>
      <c r="K75" s="81">
        <f t="shared" si="35"/>
        <v>0</v>
      </c>
      <c r="L75" s="69">
        <f>+'11'!E11</f>
        <v>0</v>
      </c>
      <c r="M75" s="69">
        <f>+'11'!E12</f>
        <v>0</v>
      </c>
      <c r="N75" s="81">
        <f t="shared" si="26"/>
        <v>0</v>
      </c>
      <c r="O75" s="5"/>
      <c r="P75" s="81">
        <f t="shared" si="27"/>
        <v>0</v>
      </c>
      <c r="Q75" s="81">
        <f t="shared" si="36"/>
        <v>0</v>
      </c>
      <c r="S75" s="117">
        <f t="shared" si="37"/>
        <v>-1920.7</v>
      </c>
      <c r="T75" s="43">
        <f t="shared" si="28"/>
        <v>0</v>
      </c>
      <c r="U75" s="43">
        <f t="shared" si="29"/>
        <v>0</v>
      </c>
      <c r="V75" s="81">
        <f t="shared" si="30"/>
        <v>-1920.7</v>
      </c>
      <c r="W75" s="43">
        <f t="shared" si="31"/>
        <v>0</v>
      </c>
      <c r="X75" s="114">
        <f t="shared" si="32"/>
        <v>1920.7</v>
      </c>
      <c r="Y75" s="81">
        <f t="shared" si="38"/>
        <v>21127.700000000004</v>
      </c>
    </row>
    <row r="76" spans="1:25" x14ac:dyDescent="0.25">
      <c r="A76" s="121" t="str">
        <f>+Input!B21</f>
        <v>Tuesday</v>
      </c>
      <c r="B76" s="108">
        <f>+Input!C21</f>
        <v>46154</v>
      </c>
      <c r="C76" s="114">
        <f t="shared" si="33"/>
        <v>-1920.7</v>
      </c>
      <c r="D76" s="69">
        <f>+'12'!C11</f>
        <v>0</v>
      </c>
      <c r="E76" s="69">
        <f>+'12'!C12</f>
        <v>0</v>
      </c>
      <c r="F76" s="81">
        <f t="shared" si="24"/>
        <v>-1920.7</v>
      </c>
      <c r="G76" s="5"/>
      <c r="H76" s="81">
        <f t="shared" si="25"/>
        <v>1920.7</v>
      </c>
      <c r="I76" s="81">
        <f t="shared" si="34"/>
        <v>23048.400000000005</v>
      </c>
      <c r="K76" s="81">
        <f t="shared" si="35"/>
        <v>0</v>
      </c>
      <c r="L76" s="69">
        <f>+'12'!E11</f>
        <v>0</v>
      </c>
      <c r="M76" s="69">
        <f>+'12'!E12</f>
        <v>0</v>
      </c>
      <c r="N76" s="81">
        <f t="shared" si="26"/>
        <v>0</v>
      </c>
      <c r="O76" s="5"/>
      <c r="P76" s="81">
        <f t="shared" si="27"/>
        <v>0</v>
      </c>
      <c r="Q76" s="81">
        <f t="shared" si="36"/>
        <v>0</v>
      </c>
      <c r="S76" s="117">
        <f t="shared" si="37"/>
        <v>-1920.7</v>
      </c>
      <c r="T76" s="43">
        <f t="shared" si="28"/>
        <v>0</v>
      </c>
      <c r="U76" s="43">
        <f t="shared" si="29"/>
        <v>0</v>
      </c>
      <c r="V76" s="81">
        <f t="shared" si="30"/>
        <v>-1920.7</v>
      </c>
      <c r="W76" s="43">
        <f t="shared" si="31"/>
        <v>0</v>
      </c>
      <c r="X76" s="114">
        <f t="shared" si="32"/>
        <v>1920.7</v>
      </c>
      <c r="Y76" s="81">
        <f t="shared" si="38"/>
        <v>23048.400000000005</v>
      </c>
    </row>
    <row r="77" spans="1:25" x14ac:dyDescent="0.25">
      <c r="A77" s="121" t="str">
        <f>+Input!B22</f>
        <v>Wednesday</v>
      </c>
      <c r="B77" s="108">
        <f>+Input!C22</f>
        <v>46155</v>
      </c>
      <c r="C77" s="114">
        <f t="shared" si="33"/>
        <v>-1920.7</v>
      </c>
      <c r="D77" s="69">
        <f>+'13'!C11</f>
        <v>0</v>
      </c>
      <c r="E77" s="69">
        <f>+'13'!C12</f>
        <v>0</v>
      </c>
      <c r="F77" s="81">
        <f t="shared" si="24"/>
        <v>-1920.7</v>
      </c>
      <c r="G77" s="5"/>
      <c r="H77" s="81">
        <f t="shared" si="25"/>
        <v>1920.7</v>
      </c>
      <c r="I77" s="81">
        <f t="shared" si="34"/>
        <v>24969.100000000006</v>
      </c>
      <c r="K77" s="81">
        <f t="shared" si="35"/>
        <v>0</v>
      </c>
      <c r="L77" s="69">
        <f>+'13'!E11</f>
        <v>0</v>
      </c>
      <c r="M77" s="69">
        <f>+'13'!E12</f>
        <v>0</v>
      </c>
      <c r="N77" s="81">
        <f t="shared" si="26"/>
        <v>0</v>
      </c>
      <c r="O77" s="5"/>
      <c r="P77" s="81">
        <f t="shared" si="27"/>
        <v>0</v>
      </c>
      <c r="Q77" s="81">
        <f t="shared" si="36"/>
        <v>0</v>
      </c>
      <c r="S77" s="117">
        <f t="shared" si="37"/>
        <v>-1920.7</v>
      </c>
      <c r="T77" s="43">
        <f t="shared" si="28"/>
        <v>0</v>
      </c>
      <c r="U77" s="43">
        <f t="shared" si="29"/>
        <v>0</v>
      </c>
      <c r="V77" s="81">
        <f t="shared" si="30"/>
        <v>-1920.7</v>
      </c>
      <c r="W77" s="43">
        <f t="shared" si="31"/>
        <v>0</v>
      </c>
      <c r="X77" s="114">
        <f t="shared" si="32"/>
        <v>1920.7</v>
      </c>
      <c r="Y77" s="81">
        <f t="shared" si="38"/>
        <v>24969.100000000006</v>
      </c>
    </row>
    <row r="78" spans="1:25" x14ac:dyDescent="0.25">
      <c r="A78" s="121" t="str">
        <f>+Input!B23</f>
        <v>Thursday</v>
      </c>
      <c r="B78" s="108">
        <f>+Input!C23</f>
        <v>46156</v>
      </c>
      <c r="C78" s="114">
        <f t="shared" si="33"/>
        <v>-1920.7</v>
      </c>
      <c r="D78" s="69">
        <f>+'14'!C11</f>
        <v>0</v>
      </c>
      <c r="E78" s="69">
        <f>+'14'!C12</f>
        <v>0</v>
      </c>
      <c r="F78" s="81">
        <f t="shared" si="24"/>
        <v>-1920.7</v>
      </c>
      <c r="G78" s="5"/>
      <c r="H78" s="81">
        <f t="shared" si="25"/>
        <v>1920.7</v>
      </c>
      <c r="I78" s="81">
        <f t="shared" si="34"/>
        <v>26889.800000000007</v>
      </c>
      <c r="K78" s="81">
        <f t="shared" si="35"/>
        <v>0</v>
      </c>
      <c r="L78" s="69">
        <f>+'14'!E11</f>
        <v>0</v>
      </c>
      <c r="M78" s="69">
        <f>+'14'!E12</f>
        <v>0</v>
      </c>
      <c r="N78" s="81">
        <f t="shared" si="26"/>
        <v>0</v>
      </c>
      <c r="O78" s="5"/>
      <c r="P78" s="81">
        <f t="shared" si="27"/>
        <v>0</v>
      </c>
      <c r="Q78" s="81">
        <f t="shared" si="36"/>
        <v>0</v>
      </c>
      <c r="S78" s="117">
        <f t="shared" si="37"/>
        <v>-1920.7</v>
      </c>
      <c r="T78" s="43">
        <f t="shared" si="28"/>
        <v>0</v>
      </c>
      <c r="U78" s="43">
        <f t="shared" si="29"/>
        <v>0</v>
      </c>
      <c r="V78" s="81">
        <f t="shared" si="30"/>
        <v>-1920.7</v>
      </c>
      <c r="W78" s="43">
        <f t="shared" si="31"/>
        <v>0</v>
      </c>
      <c r="X78" s="114">
        <f t="shared" si="32"/>
        <v>1920.7</v>
      </c>
      <c r="Y78" s="81">
        <f t="shared" si="38"/>
        <v>26889.800000000007</v>
      </c>
    </row>
    <row r="79" spans="1:25" x14ac:dyDescent="0.25">
      <c r="A79" s="121" t="str">
        <f>+Input!B24</f>
        <v>Friday</v>
      </c>
      <c r="B79" s="108">
        <f>+Input!C24</f>
        <v>46157</v>
      </c>
      <c r="C79" s="114">
        <f t="shared" si="33"/>
        <v>-1920.7</v>
      </c>
      <c r="D79" s="69">
        <f>+'15'!C11</f>
        <v>0</v>
      </c>
      <c r="E79" s="69">
        <f>+'15'!C12</f>
        <v>0</v>
      </c>
      <c r="F79" s="81">
        <f t="shared" si="24"/>
        <v>-1920.7</v>
      </c>
      <c r="G79" s="5"/>
      <c r="H79" s="81">
        <f t="shared" si="25"/>
        <v>1920.7</v>
      </c>
      <c r="I79" s="81">
        <f t="shared" si="34"/>
        <v>28810.500000000007</v>
      </c>
      <c r="K79" s="81">
        <f t="shared" si="35"/>
        <v>0</v>
      </c>
      <c r="L79" s="69">
        <f>+'15'!E11</f>
        <v>0</v>
      </c>
      <c r="M79" s="69">
        <f>+'15'!E12</f>
        <v>0</v>
      </c>
      <c r="N79" s="81">
        <f t="shared" si="26"/>
        <v>0</v>
      </c>
      <c r="O79" s="5"/>
      <c r="P79" s="81">
        <f t="shared" si="27"/>
        <v>0</v>
      </c>
      <c r="Q79" s="81">
        <f t="shared" si="36"/>
        <v>0</v>
      </c>
      <c r="S79" s="117">
        <f t="shared" si="37"/>
        <v>-1920.7</v>
      </c>
      <c r="T79" s="43">
        <f t="shared" si="28"/>
        <v>0</v>
      </c>
      <c r="U79" s="43">
        <f t="shared" si="29"/>
        <v>0</v>
      </c>
      <c r="V79" s="81">
        <f t="shared" si="30"/>
        <v>-1920.7</v>
      </c>
      <c r="W79" s="43">
        <f t="shared" si="31"/>
        <v>0</v>
      </c>
      <c r="X79" s="114">
        <f t="shared" si="32"/>
        <v>1920.7</v>
      </c>
      <c r="Y79" s="81">
        <f t="shared" si="38"/>
        <v>28810.500000000007</v>
      </c>
    </row>
    <row r="80" spans="1:25" x14ac:dyDescent="0.25">
      <c r="A80" s="121" t="str">
        <f>+Input!B25</f>
        <v>Saturday</v>
      </c>
      <c r="B80" s="108">
        <f>+Input!C25</f>
        <v>46158</v>
      </c>
      <c r="C80" s="114">
        <f t="shared" si="33"/>
        <v>-1920.7</v>
      </c>
      <c r="D80" s="69">
        <f>+'16'!C11</f>
        <v>0</v>
      </c>
      <c r="E80" s="69">
        <f>+'16'!C12</f>
        <v>0</v>
      </c>
      <c r="F80" s="81">
        <f t="shared" si="24"/>
        <v>-1920.7</v>
      </c>
      <c r="G80" s="5"/>
      <c r="H80" s="81">
        <f t="shared" si="25"/>
        <v>1920.7</v>
      </c>
      <c r="I80" s="81">
        <f t="shared" si="34"/>
        <v>30731.200000000008</v>
      </c>
      <c r="K80" s="81">
        <f t="shared" si="35"/>
        <v>0</v>
      </c>
      <c r="L80" s="69">
        <f>+'16'!E11</f>
        <v>0</v>
      </c>
      <c r="M80" s="69">
        <f>+'16'!E12</f>
        <v>0</v>
      </c>
      <c r="N80" s="81">
        <f t="shared" si="26"/>
        <v>0</v>
      </c>
      <c r="O80" s="5"/>
      <c r="P80" s="81">
        <f t="shared" si="27"/>
        <v>0</v>
      </c>
      <c r="Q80" s="81">
        <f t="shared" si="36"/>
        <v>0</v>
      </c>
      <c r="S80" s="117">
        <f t="shared" si="37"/>
        <v>-1920.7</v>
      </c>
      <c r="T80" s="43">
        <f t="shared" si="28"/>
        <v>0</v>
      </c>
      <c r="U80" s="43">
        <f t="shared" si="29"/>
        <v>0</v>
      </c>
      <c r="V80" s="81">
        <f t="shared" si="30"/>
        <v>-1920.7</v>
      </c>
      <c r="W80" s="43">
        <f t="shared" si="31"/>
        <v>0</v>
      </c>
      <c r="X80" s="114">
        <f t="shared" si="32"/>
        <v>1920.7</v>
      </c>
      <c r="Y80" s="81">
        <f t="shared" si="38"/>
        <v>30731.200000000008</v>
      </c>
    </row>
    <row r="81" spans="1:25" x14ac:dyDescent="0.25">
      <c r="A81" s="121" t="str">
        <f>+Input!B26</f>
        <v>Sunday</v>
      </c>
      <c r="B81" s="108">
        <f>+Input!C26</f>
        <v>46159</v>
      </c>
      <c r="C81" s="114">
        <f t="shared" si="33"/>
        <v>-1920.7</v>
      </c>
      <c r="D81" s="69">
        <f>+'17'!C11</f>
        <v>0</v>
      </c>
      <c r="E81" s="69">
        <f>+'17'!C12</f>
        <v>0</v>
      </c>
      <c r="F81" s="81">
        <f t="shared" si="24"/>
        <v>-1920.7</v>
      </c>
      <c r="G81" s="5"/>
      <c r="H81" s="81">
        <f t="shared" si="25"/>
        <v>1920.7</v>
      </c>
      <c r="I81" s="81">
        <f t="shared" si="34"/>
        <v>32651.900000000009</v>
      </c>
      <c r="K81" s="81">
        <f t="shared" si="35"/>
        <v>0</v>
      </c>
      <c r="L81" s="69">
        <f>+'17'!E11</f>
        <v>0</v>
      </c>
      <c r="M81" s="69">
        <f>+'17'!E12</f>
        <v>0</v>
      </c>
      <c r="N81" s="81">
        <f t="shared" si="26"/>
        <v>0</v>
      </c>
      <c r="O81" s="5"/>
      <c r="P81" s="81">
        <f t="shared" si="27"/>
        <v>0</v>
      </c>
      <c r="Q81" s="81">
        <f t="shared" si="36"/>
        <v>0</v>
      </c>
      <c r="S81" s="117">
        <f t="shared" si="37"/>
        <v>-1920.7</v>
      </c>
      <c r="T81" s="43">
        <f t="shared" si="28"/>
        <v>0</v>
      </c>
      <c r="U81" s="43">
        <f t="shared" si="29"/>
        <v>0</v>
      </c>
      <c r="V81" s="81">
        <f t="shared" si="30"/>
        <v>-1920.7</v>
      </c>
      <c r="W81" s="43">
        <f t="shared" si="31"/>
        <v>0</v>
      </c>
      <c r="X81" s="114">
        <f t="shared" si="32"/>
        <v>1920.7</v>
      </c>
      <c r="Y81" s="81">
        <f t="shared" si="38"/>
        <v>32651.900000000009</v>
      </c>
    </row>
    <row r="82" spans="1:25" x14ac:dyDescent="0.25">
      <c r="A82" s="121" t="str">
        <f>+Input!B27</f>
        <v>Monday</v>
      </c>
      <c r="B82" s="108">
        <f>+Input!C27</f>
        <v>46160</v>
      </c>
      <c r="C82" s="114">
        <f t="shared" si="33"/>
        <v>-1920.7</v>
      </c>
      <c r="D82" s="69">
        <f>+'18'!C11</f>
        <v>0</v>
      </c>
      <c r="E82" s="69">
        <f>+'18'!C12</f>
        <v>0</v>
      </c>
      <c r="F82" s="81">
        <f t="shared" si="24"/>
        <v>-1920.7</v>
      </c>
      <c r="G82" s="5"/>
      <c r="H82" s="81">
        <f t="shared" si="25"/>
        <v>1920.7</v>
      </c>
      <c r="I82" s="81">
        <f t="shared" si="34"/>
        <v>34572.600000000006</v>
      </c>
      <c r="K82" s="81">
        <f t="shared" si="35"/>
        <v>0</v>
      </c>
      <c r="L82" s="69">
        <f>+'18'!E11</f>
        <v>0</v>
      </c>
      <c r="M82" s="69">
        <f>+'18'!E12</f>
        <v>0</v>
      </c>
      <c r="N82" s="81">
        <f t="shared" si="26"/>
        <v>0</v>
      </c>
      <c r="O82" s="5"/>
      <c r="P82" s="81">
        <f t="shared" si="27"/>
        <v>0</v>
      </c>
      <c r="Q82" s="81">
        <f t="shared" si="36"/>
        <v>0</v>
      </c>
      <c r="S82" s="117">
        <f t="shared" si="37"/>
        <v>-1920.7</v>
      </c>
      <c r="T82" s="43">
        <f t="shared" si="28"/>
        <v>0</v>
      </c>
      <c r="U82" s="43">
        <f t="shared" si="29"/>
        <v>0</v>
      </c>
      <c r="V82" s="81">
        <f t="shared" si="30"/>
        <v>-1920.7</v>
      </c>
      <c r="W82" s="43">
        <f t="shared" si="31"/>
        <v>0</v>
      </c>
      <c r="X82" s="114">
        <f t="shared" si="32"/>
        <v>1920.7</v>
      </c>
      <c r="Y82" s="81">
        <f t="shared" si="38"/>
        <v>34572.600000000006</v>
      </c>
    </row>
    <row r="83" spans="1:25" x14ac:dyDescent="0.25">
      <c r="A83" s="121" t="str">
        <f>+Input!B28</f>
        <v>Tuesday</v>
      </c>
      <c r="B83" s="108">
        <f>+Input!C28</f>
        <v>46161</v>
      </c>
      <c r="C83" s="114">
        <f t="shared" si="33"/>
        <v>-1920.7</v>
      </c>
      <c r="D83" s="69">
        <f>+'19'!C11</f>
        <v>0</v>
      </c>
      <c r="E83" s="69">
        <f>+'19'!C12</f>
        <v>0</v>
      </c>
      <c r="F83" s="81">
        <f t="shared" si="24"/>
        <v>-1920.7</v>
      </c>
      <c r="G83" s="5"/>
      <c r="H83" s="81">
        <f t="shared" si="25"/>
        <v>1920.7</v>
      </c>
      <c r="I83" s="81">
        <f t="shared" si="34"/>
        <v>36493.300000000003</v>
      </c>
      <c r="K83" s="81">
        <f t="shared" si="35"/>
        <v>0</v>
      </c>
      <c r="L83" s="69">
        <f>+'19'!E11</f>
        <v>0</v>
      </c>
      <c r="M83" s="69">
        <f>+'19'!E12</f>
        <v>0</v>
      </c>
      <c r="N83" s="81">
        <f t="shared" si="26"/>
        <v>0</v>
      </c>
      <c r="O83" s="5"/>
      <c r="P83" s="81">
        <f t="shared" si="27"/>
        <v>0</v>
      </c>
      <c r="Q83" s="81">
        <f t="shared" si="36"/>
        <v>0</v>
      </c>
      <c r="S83" s="117">
        <f t="shared" si="37"/>
        <v>-1920.7</v>
      </c>
      <c r="T83" s="43">
        <f t="shared" si="28"/>
        <v>0</v>
      </c>
      <c r="U83" s="43">
        <f t="shared" si="29"/>
        <v>0</v>
      </c>
      <c r="V83" s="81">
        <f t="shared" si="30"/>
        <v>-1920.7</v>
      </c>
      <c r="W83" s="43">
        <f t="shared" si="31"/>
        <v>0</v>
      </c>
      <c r="X83" s="114">
        <f t="shared" si="32"/>
        <v>1920.7</v>
      </c>
      <c r="Y83" s="81">
        <f t="shared" si="38"/>
        <v>36493.300000000003</v>
      </c>
    </row>
    <row r="84" spans="1:25" x14ac:dyDescent="0.25">
      <c r="A84" s="121" t="str">
        <f>+Input!B29</f>
        <v>Wednesday</v>
      </c>
      <c r="B84" s="108">
        <f>+Input!C29</f>
        <v>46162</v>
      </c>
      <c r="C84" s="114">
        <f t="shared" si="33"/>
        <v>-1920.7</v>
      </c>
      <c r="D84" s="69">
        <f>+'20'!C11</f>
        <v>0</v>
      </c>
      <c r="E84" s="69">
        <f>+'20'!C12</f>
        <v>0</v>
      </c>
      <c r="F84" s="81">
        <f t="shared" si="24"/>
        <v>-1920.7</v>
      </c>
      <c r="G84" s="5"/>
      <c r="H84" s="81">
        <f t="shared" si="25"/>
        <v>1920.7</v>
      </c>
      <c r="I84" s="81">
        <f t="shared" si="34"/>
        <v>38414</v>
      </c>
      <c r="K84" s="81">
        <f t="shared" si="35"/>
        <v>0</v>
      </c>
      <c r="L84" s="69">
        <f>+'20'!E11</f>
        <v>0</v>
      </c>
      <c r="M84" s="69">
        <f>+'20'!E12</f>
        <v>0</v>
      </c>
      <c r="N84" s="81">
        <f t="shared" si="26"/>
        <v>0</v>
      </c>
      <c r="O84" s="5"/>
      <c r="P84" s="81">
        <f t="shared" si="27"/>
        <v>0</v>
      </c>
      <c r="Q84" s="81">
        <f t="shared" si="36"/>
        <v>0</v>
      </c>
      <c r="S84" s="117">
        <f t="shared" si="37"/>
        <v>-1920.7</v>
      </c>
      <c r="T84" s="43">
        <f t="shared" si="28"/>
        <v>0</v>
      </c>
      <c r="U84" s="43">
        <f t="shared" si="29"/>
        <v>0</v>
      </c>
      <c r="V84" s="81">
        <f t="shared" si="30"/>
        <v>-1920.7</v>
      </c>
      <c r="W84" s="43">
        <f t="shared" si="31"/>
        <v>0</v>
      </c>
      <c r="X84" s="114">
        <f t="shared" si="32"/>
        <v>1920.7</v>
      </c>
      <c r="Y84" s="81">
        <f t="shared" si="38"/>
        <v>38414</v>
      </c>
    </row>
    <row r="85" spans="1:25" x14ac:dyDescent="0.25">
      <c r="A85" s="121" t="str">
        <f>+Input!B30</f>
        <v>Thursday</v>
      </c>
      <c r="B85" s="108">
        <f>+Input!C30</f>
        <v>46163</v>
      </c>
      <c r="C85" s="114">
        <f t="shared" si="33"/>
        <v>-1920.7</v>
      </c>
      <c r="D85" s="69">
        <f>+'21'!C11</f>
        <v>0</v>
      </c>
      <c r="E85" s="69">
        <f>+'21'!C12</f>
        <v>0</v>
      </c>
      <c r="F85" s="81">
        <f t="shared" si="24"/>
        <v>-1920.7</v>
      </c>
      <c r="G85" s="5"/>
      <c r="H85" s="81">
        <f t="shared" si="25"/>
        <v>1920.7</v>
      </c>
      <c r="I85" s="81">
        <f t="shared" si="34"/>
        <v>40334.699999999997</v>
      </c>
      <c r="K85" s="81">
        <f t="shared" si="35"/>
        <v>0</v>
      </c>
      <c r="L85" s="69">
        <f>+'21'!E11</f>
        <v>0</v>
      </c>
      <c r="M85" s="69">
        <f>+'21'!E12</f>
        <v>0</v>
      </c>
      <c r="N85" s="81">
        <f t="shared" si="26"/>
        <v>0</v>
      </c>
      <c r="O85" s="5"/>
      <c r="P85" s="81">
        <f t="shared" si="27"/>
        <v>0</v>
      </c>
      <c r="Q85" s="81">
        <f t="shared" si="36"/>
        <v>0</v>
      </c>
      <c r="S85" s="117">
        <f t="shared" si="37"/>
        <v>-1920.7</v>
      </c>
      <c r="T85" s="43">
        <f t="shared" si="28"/>
        <v>0</v>
      </c>
      <c r="U85" s="43">
        <f t="shared" si="29"/>
        <v>0</v>
      </c>
      <c r="V85" s="81">
        <f t="shared" si="30"/>
        <v>-1920.7</v>
      </c>
      <c r="W85" s="43">
        <f t="shared" si="31"/>
        <v>0</v>
      </c>
      <c r="X85" s="114">
        <f t="shared" si="32"/>
        <v>1920.7</v>
      </c>
      <c r="Y85" s="81">
        <f t="shared" si="38"/>
        <v>40334.699999999997</v>
      </c>
    </row>
    <row r="86" spans="1:25" x14ac:dyDescent="0.25">
      <c r="A86" s="121" t="str">
        <f>+Input!B31</f>
        <v>Friday</v>
      </c>
      <c r="B86" s="108">
        <f>+Input!C31</f>
        <v>46164</v>
      </c>
      <c r="C86" s="114">
        <f t="shared" si="33"/>
        <v>-1920.7</v>
      </c>
      <c r="D86" s="69">
        <f>+'22'!C11</f>
        <v>0</v>
      </c>
      <c r="E86" s="69">
        <f>+'22'!C12</f>
        <v>0</v>
      </c>
      <c r="F86" s="81">
        <f t="shared" si="24"/>
        <v>-1920.7</v>
      </c>
      <c r="G86" s="5"/>
      <c r="H86" s="81">
        <f t="shared" si="25"/>
        <v>1920.7</v>
      </c>
      <c r="I86" s="81">
        <f t="shared" si="34"/>
        <v>42255.399999999994</v>
      </c>
      <c r="K86" s="81">
        <f t="shared" si="35"/>
        <v>0</v>
      </c>
      <c r="L86" s="69">
        <f>+'22'!E11</f>
        <v>0</v>
      </c>
      <c r="M86" s="69">
        <f>+'22'!E12</f>
        <v>0</v>
      </c>
      <c r="N86" s="81">
        <f t="shared" si="26"/>
        <v>0</v>
      </c>
      <c r="O86" s="5"/>
      <c r="P86" s="81">
        <f t="shared" si="27"/>
        <v>0</v>
      </c>
      <c r="Q86" s="81">
        <f t="shared" si="36"/>
        <v>0</v>
      </c>
      <c r="S86" s="117">
        <f t="shared" si="37"/>
        <v>-1920.7</v>
      </c>
      <c r="T86" s="43">
        <f t="shared" si="28"/>
        <v>0</v>
      </c>
      <c r="U86" s="43">
        <f t="shared" si="29"/>
        <v>0</v>
      </c>
      <c r="V86" s="81">
        <f t="shared" si="30"/>
        <v>-1920.7</v>
      </c>
      <c r="W86" s="43">
        <f t="shared" si="31"/>
        <v>0</v>
      </c>
      <c r="X86" s="114">
        <f t="shared" si="32"/>
        <v>1920.7</v>
      </c>
      <c r="Y86" s="81">
        <f t="shared" si="38"/>
        <v>42255.399999999994</v>
      </c>
    </row>
    <row r="87" spans="1:25" x14ac:dyDescent="0.25">
      <c r="A87" s="121" t="str">
        <f>+Input!B32</f>
        <v>Saturday</v>
      </c>
      <c r="B87" s="108">
        <f>+Input!C32</f>
        <v>46165</v>
      </c>
      <c r="C87" s="114">
        <f t="shared" si="33"/>
        <v>-1920.7</v>
      </c>
      <c r="D87" s="69">
        <f>+'23'!C11</f>
        <v>0</v>
      </c>
      <c r="E87" s="69">
        <f>+'23'!C12</f>
        <v>0</v>
      </c>
      <c r="F87" s="81">
        <f t="shared" si="24"/>
        <v>-1920.7</v>
      </c>
      <c r="G87" s="5"/>
      <c r="H87" s="81">
        <f t="shared" si="25"/>
        <v>1920.7</v>
      </c>
      <c r="I87" s="81">
        <f t="shared" si="34"/>
        <v>44176.099999999991</v>
      </c>
      <c r="K87" s="81">
        <f t="shared" si="35"/>
        <v>0</v>
      </c>
      <c r="L87" s="69">
        <f>+'23'!E11</f>
        <v>0</v>
      </c>
      <c r="M87" s="69">
        <f>+'23'!E12</f>
        <v>0</v>
      </c>
      <c r="N87" s="81">
        <f t="shared" si="26"/>
        <v>0</v>
      </c>
      <c r="O87" s="5"/>
      <c r="P87" s="81">
        <f t="shared" si="27"/>
        <v>0</v>
      </c>
      <c r="Q87" s="81">
        <f t="shared" si="36"/>
        <v>0</v>
      </c>
      <c r="S87" s="117">
        <f t="shared" si="37"/>
        <v>-1920.7</v>
      </c>
      <c r="T87" s="43">
        <f t="shared" si="28"/>
        <v>0</v>
      </c>
      <c r="U87" s="43">
        <f t="shared" si="29"/>
        <v>0</v>
      </c>
      <c r="V87" s="81">
        <f t="shared" si="30"/>
        <v>-1920.7</v>
      </c>
      <c r="W87" s="43">
        <f t="shared" si="31"/>
        <v>0</v>
      </c>
      <c r="X87" s="114">
        <f t="shared" si="32"/>
        <v>1920.7</v>
      </c>
      <c r="Y87" s="81">
        <f t="shared" si="38"/>
        <v>44176.099999999991</v>
      </c>
    </row>
    <row r="88" spans="1:25" x14ac:dyDescent="0.25">
      <c r="A88" s="121" t="str">
        <f>+Input!B33</f>
        <v>Sunday</v>
      </c>
      <c r="B88" s="108">
        <f>+Input!C33</f>
        <v>46166</v>
      </c>
      <c r="C88" s="114">
        <f t="shared" si="33"/>
        <v>-1920.7</v>
      </c>
      <c r="D88" s="69">
        <f>+'24'!C11</f>
        <v>0</v>
      </c>
      <c r="E88" s="69">
        <f>+'24'!C12</f>
        <v>0</v>
      </c>
      <c r="F88" s="81">
        <f t="shared" si="24"/>
        <v>-1920.7</v>
      </c>
      <c r="G88" s="5"/>
      <c r="H88" s="81">
        <f t="shared" si="25"/>
        <v>1920.7</v>
      </c>
      <c r="I88" s="81">
        <f t="shared" si="34"/>
        <v>46096.799999999988</v>
      </c>
      <c r="K88" s="81">
        <f t="shared" si="35"/>
        <v>0</v>
      </c>
      <c r="L88" s="69">
        <f>+'24'!E11</f>
        <v>0</v>
      </c>
      <c r="M88" s="69">
        <f>+'24'!E12</f>
        <v>0</v>
      </c>
      <c r="N88" s="81">
        <f t="shared" si="26"/>
        <v>0</v>
      </c>
      <c r="O88" s="5"/>
      <c r="P88" s="81">
        <f t="shared" si="27"/>
        <v>0</v>
      </c>
      <c r="Q88" s="81">
        <f t="shared" si="36"/>
        <v>0</v>
      </c>
      <c r="S88" s="117">
        <f t="shared" si="37"/>
        <v>-1920.7</v>
      </c>
      <c r="T88" s="43">
        <f t="shared" si="28"/>
        <v>0</v>
      </c>
      <c r="U88" s="43">
        <f t="shared" si="29"/>
        <v>0</v>
      </c>
      <c r="V88" s="81">
        <f t="shared" si="30"/>
        <v>-1920.7</v>
      </c>
      <c r="W88" s="43">
        <f t="shared" si="31"/>
        <v>0</v>
      </c>
      <c r="X88" s="114">
        <f t="shared" si="32"/>
        <v>1920.7</v>
      </c>
      <c r="Y88" s="81">
        <f t="shared" si="38"/>
        <v>46096.799999999988</v>
      </c>
    </row>
    <row r="89" spans="1:25" x14ac:dyDescent="0.25">
      <c r="A89" s="121" t="str">
        <f>+Input!B34</f>
        <v>Monday</v>
      </c>
      <c r="B89" s="108">
        <f>+Input!C34</f>
        <v>46167</v>
      </c>
      <c r="C89" s="114">
        <f t="shared" si="33"/>
        <v>-1920.7</v>
      </c>
      <c r="D89" s="69">
        <f>+'25'!C11</f>
        <v>0</v>
      </c>
      <c r="E89" s="69">
        <f>+'25'!C12</f>
        <v>0</v>
      </c>
      <c r="F89" s="81">
        <f t="shared" si="24"/>
        <v>-1920.7</v>
      </c>
      <c r="G89" s="5"/>
      <c r="H89" s="81">
        <f t="shared" si="25"/>
        <v>1920.7</v>
      </c>
      <c r="I89" s="81">
        <f t="shared" si="34"/>
        <v>48017.499999999985</v>
      </c>
      <c r="K89" s="81">
        <f t="shared" si="35"/>
        <v>0</v>
      </c>
      <c r="L89" s="69">
        <f>+'25'!E11</f>
        <v>0</v>
      </c>
      <c r="M89" s="69">
        <f>+'25'!E12</f>
        <v>0</v>
      </c>
      <c r="N89" s="81">
        <f t="shared" si="26"/>
        <v>0</v>
      </c>
      <c r="O89" s="5"/>
      <c r="P89" s="81">
        <f t="shared" si="27"/>
        <v>0</v>
      </c>
      <c r="Q89" s="81">
        <f t="shared" si="36"/>
        <v>0</v>
      </c>
      <c r="S89" s="117">
        <f t="shared" si="37"/>
        <v>-1920.7</v>
      </c>
      <c r="T89" s="43">
        <f t="shared" si="28"/>
        <v>0</v>
      </c>
      <c r="U89" s="43">
        <f t="shared" si="29"/>
        <v>0</v>
      </c>
      <c r="V89" s="81">
        <f t="shared" si="30"/>
        <v>-1920.7</v>
      </c>
      <c r="W89" s="43">
        <f t="shared" si="31"/>
        <v>0</v>
      </c>
      <c r="X89" s="114">
        <f t="shared" si="32"/>
        <v>1920.7</v>
      </c>
      <c r="Y89" s="81">
        <f t="shared" si="38"/>
        <v>48017.499999999985</v>
      </c>
    </row>
    <row r="90" spans="1:25" x14ac:dyDescent="0.25">
      <c r="A90" s="121" t="str">
        <f>+Input!B35</f>
        <v>Tuesday</v>
      </c>
      <c r="B90" s="108">
        <f>+Input!C35</f>
        <v>46168</v>
      </c>
      <c r="C90" s="114">
        <f t="shared" si="33"/>
        <v>-1920.7</v>
      </c>
      <c r="D90" s="69">
        <f>+'26'!C11</f>
        <v>0</v>
      </c>
      <c r="E90" s="69">
        <f>+'26'!C12</f>
        <v>0</v>
      </c>
      <c r="F90" s="81">
        <f t="shared" si="24"/>
        <v>-1920.7</v>
      </c>
      <c r="G90" s="5"/>
      <c r="H90" s="81">
        <f t="shared" si="25"/>
        <v>1920.7</v>
      </c>
      <c r="I90" s="81">
        <f t="shared" si="34"/>
        <v>49938.199999999983</v>
      </c>
      <c r="K90" s="81">
        <f t="shared" si="35"/>
        <v>0</v>
      </c>
      <c r="L90" s="69">
        <f>+'26'!E11</f>
        <v>0</v>
      </c>
      <c r="M90" s="69">
        <f>+'26'!E12</f>
        <v>0</v>
      </c>
      <c r="N90" s="81">
        <f t="shared" si="26"/>
        <v>0</v>
      </c>
      <c r="O90" s="5"/>
      <c r="P90" s="81">
        <f t="shared" si="27"/>
        <v>0</v>
      </c>
      <c r="Q90" s="81">
        <f t="shared" si="36"/>
        <v>0</v>
      </c>
      <c r="S90" s="117">
        <f t="shared" si="37"/>
        <v>-1920.7</v>
      </c>
      <c r="T90" s="43">
        <f t="shared" si="28"/>
        <v>0</v>
      </c>
      <c r="U90" s="43">
        <f t="shared" si="29"/>
        <v>0</v>
      </c>
      <c r="V90" s="81">
        <f t="shared" si="30"/>
        <v>-1920.7</v>
      </c>
      <c r="W90" s="43">
        <f t="shared" si="31"/>
        <v>0</v>
      </c>
      <c r="X90" s="114">
        <f t="shared" si="32"/>
        <v>1920.7</v>
      </c>
      <c r="Y90" s="81">
        <f t="shared" si="38"/>
        <v>49938.199999999983</v>
      </c>
    </row>
    <row r="91" spans="1:25" x14ac:dyDescent="0.25">
      <c r="A91" s="121" t="str">
        <f>+Input!B36</f>
        <v>Wednesday</v>
      </c>
      <c r="B91" s="108">
        <f>+Input!C36</f>
        <v>46169</v>
      </c>
      <c r="C91" s="114">
        <f t="shared" si="33"/>
        <v>-1920.7</v>
      </c>
      <c r="D91" s="69">
        <f>+'27'!C11</f>
        <v>0</v>
      </c>
      <c r="E91" s="69">
        <f>+'27'!C12</f>
        <v>0</v>
      </c>
      <c r="F91" s="81">
        <f t="shared" si="24"/>
        <v>-1920.7</v>
      </c>
      <c r="G91" s="5"/>
      <c r="H91" s="81">
        <f t="shared" si="25"/>
        <v>1920.7</v>
      </c>
      <c r="I91" s="81">
        <f t="shared" si="34"/>
        <v>51858.89999999998</v>
      </c>
      <c r="K91" s="81">
        <f t="shared" si="35"/>
        <v>0</v>
      </c>
      <c r="L91" s="69">
        <f>+'27'!E11</f>
        <v>0</v>
      </c>
      <c r="M91" s="69">
        <f>+'27'!E12</f>
        <v>0</v>
      </c>
      <c r="N91" s="81">
        <f t="shared" si="26"/>
        <v>0</v>
      </c>
      <c r="O91" s="5"/>
      <c r="P91" s="81">
        <f t="shared" si="27"/>
        <v>0</v>
      </c>
      <c r="Q91" s="81">
        <f t="shared" si="36"/>
        <v>0</v>
      </c>
      <c r="S91" s="117">
        <f t="shared" si="37"/>
        <v>-1920.7</v>
      </c>
      <c r="T91" s="43">
        <f t="shared" si="28"/>
        <v>0</v>
      </c>
      <c r="U91" s="43">
        <f t="shared" si="29"/>
        <v>0</v>
      </c>
      <c r="V91" s="81">
        <f t="shared" si="30"/>
        <v>-1920.7</v>
      </c>
      <c r="W91" s="43">
        <f t="shared" si="31"/>
        <v>0</v>
      </c>
      <c r="X91" s="114">
        <f t="shared" si="32"/>
        <v>1920.7</v>
      </c>
      <c r="Y91" s="81">
        <f t="shared" si="38"/>
        <v>51858.89999999998</v>
      </c>
    </row>
    <row r="92" spans="1:25" x14ac:dyDescent="0.25">
      <c r="A92" s="121" t="str">
        <f>+Input!B37</f>
        <v>Thursday</v>
      </c>
      <c r="B92" s="108">
        <f>+Input!C37</f>
        <v>46170</v>
      </c>
      <c r="C92" s="114">
        <f t="shared" si="33"/>
        <v>-1920.7</v>
      </c>
      <c r="D92" s="69">
        <f>+'28'!C11</f>
        <v>0</v>
      </c>
      <c r="E92" s="69">
        <f>+'28'!C12</f>
        <v>0</v>
      </c>
      <c r="F92" s="81">
        <f t="shared" si="24"/>
        <v>-1920.7</v>
      </c>
      <c r="G92" s="5"/>
      <c r="H92" s="81">
        <f t="shared" si="25"/>
        <v>1920.7</v>
      </c>
      <c r="I92" s="81">
        <f t="shared" si="34"/>
        <v>53779.599999999977</v>
      </c>
      <c r="K92" s="81">
        <f t="shared" si="35"/>
        <v>0</v>
      </c>
      <c r="L92" s="69">
        <f>+'28'!E11</f>
        <v>0</v>
      </c>
      <c r="M92" s="69">
        <f>+'28'!E12</f>
        <v>0</v>
      </c>
      <c r="N92" s="81">
        <f t="shared" si="26"/>
        <v>0</v>
      </c>
      <c r="O92" s="5"/>
      <c r="P92" s="81">
        <f t="shared" si="27"/>
        <v>0</v>
      </c>
      <c r="Q92" s="81">
        <f t="shared" si="36"/>
        <v>0</v>
      </c>
      <c r="S92" s="117">
        <f t="shared" si="37"/>
        <v>-1920.7</v>
      </c>
      <c r="T92" s="43">
        <f t="shared" si="28"/>
        <v>0</v>
      </c>
      <c r="U92" s="43">
        <f t="shared" si="29"/>
        <v>0</v>
      </c>
      <c r="V92" s="81">
        <f t="shared" si="30"/>
        <v>-1920.7</v>
      </c>
      <c r="W92" s="43">
        <f t="shared" si="31"/>
        <v>0</v>
      </c>
      <c r="X92" s="114">
        <f t="shared" si="32"/>
        <v>1920.7</v>
      </c>
      <c r="Y92" s="81">
        <f t="shared" si="38"/>
        <v>53779.599999999977</v>
      </c>
    </row>
    <row r="93" spans="1:25" x14ac:dyDescent="0.25">
      <c r="A93" s="121" t="str">
        <f>+Input!B38</f>
        <v>Friday</v>
      </c>
      <c r="B93" s="108">
        <f>+Input!C38</f>
        <v>46171</v>
      </c>
      <c r="C93" s="114">
        <f t="shared" si="33"/>
        <v>-1920.7</v>
      </c>
      <c r="D93" s="69">
        <f>+'29'!C11</f>
        <v>0</v>
      </c>
      <c r="E93" s="69">
        <f>+'29'!C12</f>
        <v>0</v>
      </c>
      <c r="F93" s="81">
        <f t="shared" si="24"/>
        <v>-1920.7</v>
      </c>
      <c r="G93" s="5"/>
      <c r="H93" s="81">
        <f t="shared" si="25"/>
        <v>1920.7</v>
      </c>
      <c r="I93" s="81">
        <f t="shared" si="34"/>
        <v>55700.299999999974</v>
      </c>
      <c r="K93" s="81">
        <f t="shared" si="35"/>
        <v>0</v>
      </c>
      <c r="L93" s="69">
        <f>+'29'!E11</f>
        <v>0</v>
      </c>
      <c r="M93" s="69">
        <f>+'29'!E12</f>
        <v>0</v>
      </c>
      <c r="N93" s="81">
        <f t="shared" si="26"/>
        <v>0</v>
      </c>
      <c r="O93" s="5"/>
      <c r="P93" s="81">
        <f t="shared" si="27"/>
        <v>0</v>
      </c>
      <c r="Q93" s="81">
        <f t="shared" si="36"/>
        <v>0</v>
      </c>
      <c r="S93" s="117">
        <f t="shared" si="37"/>
        <v>-1920.7</v>
      </c>
      <c r="T93" s="43">
        <f t="shared" si="28"/>
        <v>0</v>
      </c>
      <c r="U93" s="43">
        <f t="shared" si="29"/>
        <v>0</v>
      </c>
      <c r="V93" s="81">
        <f t="shared" si="30"/>
        <v>-1920.7</v>
      </c>
      <c r="W93" s="43">
        <f t="shared" si="31"/>
        <v>0</v>
      </c>
      <c r="X93" s="114">
        <f t="shared" si="32"/>
        <v>1920.7</v>
      </c>
      <c r="Y93" s="81">
        <f t="shared" si="38"/>
        <v>55700.299999999974</v>
      </c>
    </row>
    <row r="94" spans="1:25" x14ac:dyDescent="0.25">
      <c r="A94" s="121" t="str">
        <f>+Input!B39</f>
        <v>Saturday</v>
      </c>
      <c r="B94" s="108">
        <f>+Input!C39</f>
        <v>46172</v>
      </c>
      <c r="C94" s="114">
        <f t="shared" si="33"/>
        <v>-1920.7</v>
      </c>
      <c r="D94" s="69">
        <f>+'30'!C11</f>
        <v>0</v>
      </c>
      <c r="E94" s="69">
        <f>+'30'!C12</f>
        <v>0</v>
      </c>
      <c r="F94" s="81">
        <f t="shared" si="24"/>
        <v>-1920.7</v>
      </c>
      <c r="G94" s="5"/>
      <c r="H94" s="81">
        <f t="shared" si="25"/>
        <v>1920.7</v>
      </c>
      <c r="I94" s="81">
        <f t="shared" si="34"/>
        <v>57620.999999999971</v>
      </c>
      <c r="K94" s="81">
        <f t="shared" si="35"/>
        <v>0</v>
      </c>
      <c r="L94" s="69">
        <f>+'30'!E11</f>
        <v>0</v>
      </c>
      <c r="M94" s="69">
        <f>+'30'!E12</f>
        <v>0</v>
      </c>
      <c r="N94" s="81">
        <f t="shared" si="26"/>
        <v>0</v>
      </c>
      <c r="O94" s="5"/>
      <c r="P94" s="81">
        <f t="shared" si="27"/>
        <v>0</v>
      </c>
      <c r="Q94" s="81">
        <f t="shared" si="36"/>
        <v>0</v>
      </c>
      <c r="S94" s="117">
        <f t="shared" si="37"/>
        <v>-1920.7</v>
      </c>
      <c r="T94" s="43">
        <f t="shared" si="28"/>
        <v>0</v>
      </c>
      <c r="U94" s="43">
        <f t="shared" si="29"/>
        <v>0</v>
      </c>
      <c r="V94" s="81">
        <f t="shared" si="30"/>
        <v>-1920.7</v>
      </c>
      <c r="W94" s="43">
        <f t="shared" si="31"/>
        <v>0</v>
      </c>
      <c r="X94" s="114">
        <f t="shared" si="32"/>
        <v>1920.7</v>
      </c>
      <c r="Y94" s="81">
        <f t="shared" si="38"/>
        <v>57620.999999999971</v>
      </c>
    </row>
    <row r="95" spans="1:25" x14ac:dyDescent="0.25">
      <c r="A95" s="21" t="str">
        <f>+Input!B40</f>
        <v>Sunday</v>
      </c>
      <c r="B95" s="109">
        <f>+Input!C40</f>
        <v>46173</v>
      </c>
      <c r="C95" s="119">
        <f t="shared" si="33"/>
        <v>-1920.7</v>
      </c>
      <c r="D95" s="57">
        <f>+'31'!C11</f>
        <v>0</v>
      </c>
      <c r="E95" s="57">
        <f>+'31'!C12</f>
        <v>0</v>
      </c>
      <c r="F95" s="44">
        <f t="shared" si="24"/>
        <v>-1920.7</v>
      </c>
      <c r="G95" s="58"/>
      <c r="H95" s="44">
        <f t="shared" si="25"/>
        <v>1920.7</v>
      </c>
      <c r="I95" s="44">
        <f t="shared" si="34"/>
        <v>59541.699999999968</v>
      </c>
      <c r="K95" s="44">
        <f t="shared" si="35"/>
        <v>0</v>
      </c>
      <c r="L95" s="57">
        <f>+'31'!E11</f>
        <v>0</v>
      </c>
      <c r="M95" s="57">
        <f>+'31'!E12</f>
        <v>0</v>
      </c>
      <c r="N95" s="44">
        <f t="shared" si="26"/>
        <v>0</v>
      </c>
      <c r="O95" s="58"/>
      <c r="P95" s="44">
        <f t="shared" si="27"/>
        <v>0</v>
      </c>
      <c r="Q95" s="44">
        <f t="shared" si="36"/>
        <v>0</v>
      </c>
      <c r="S95" s="118">
        <f t="shared" si="37"/>
        <v>-1920.7</v>
      </c>
      <c r="T95" s="31">
        <f t="shared" si="28"/>
        <v>0</v>
      </c>
      <c r="U95" s="31">
        <f t="shared" si="29"/>
        <v>0</v>
      </c>
      <c r="V95" s="44">
        <f t="shared" si="30"/>
        <v>-1920.7</v>
      </c>
      <c r="W95" s="31">
        <f t="shared" si="31"/>
        <v>0</v>
      </c>
      <c r="X95" s="119">
        <f t="shared" si="32"/>
        <v>1920.7</v>
      </c>
      <c r="Y95" s="44">
        <f t="shared" si="38"/>
        <v>59541.699999999968</v>
      </c>
    </row>
    <row r="96" spans="1:25" x14ac:dyDescent="0.25">
      <c r="C96" s="29">
        <f>+C65</f>
        <v>0</v>
      </c>
      <c r="D96" s="29">
        <f>SUM(D65:D95)</f>
        <v>0</v>
      </c>
      <c r="E96" s="29">
        <f>SUM(E65:E95)</f>
        <v>1920.7</v>
      </c>
      <c r="F96" s="29">
        <f>+C96+D96-E96</f>
        <v>-1920.7</v>
      </c>
      <c r="G96" s="29">
        <f>+C22</f>
        <v>0</v>
      </c>
      <c r="H96" s="29">
        <f t="shared" si="25"/>
        <v>1920.7</v>
      </c>
      <c r="I96" s="29">
        <f>+G96-F96</f>
        <v>1920.7</v>
      </c>
      <c r="K96" s="29">
        <f>+K65</f>
        <v>0</v>
      </c>
      <c r="L96" s="29">
        <f>SUM(L65:L95)</f>
        <v>0</v>
      </c>
      <c r="M96" s="29">
        <f>SUM(M65:M95)</f>
        <v>0</v>
      </c>
      <c r="N96" s="29">
        <f>+K96+L96-M96</f>
        <v>0</v>
      </c>
      <c r="O96" s="29">
        <f>+E22</f>
        <v>0</v>
      </c>
      <c r="P96" s="29">
        <f t="shared" si="27"/>
        <v>0</v>
      </c>
      <c r="Q96" s="29">
        <f>+O96-N96</f>
        <v>0</v>
      </c>
      <c r="S96" s="29">
        <f>+S65</f>
        <v>0</v>
      </c>
      <c r="T96" s="44">
        <f>SUM(T65:T95)</f>
        <v>0</v>
      </c>
      <c r="U96" s="44">
        <f>SUM(U65:U95)</f>
        <v>1920.7</v>
      </c>
      <c r="V96" s="44">
        <f>+S96+T96-U96</f>
        <v>-1920.7</v>
      </c>
      <c r="W96" s="44">
        <f>+G96+O96</f>
        <v>0</v>
      </c>
      <c r="X96" s="29">
        <f t="shared" si="32"/>
        <v>1920.7</v>
      </c>
      <c r="Y96" s="29">
        <f>+W96-V96</f>
        <v>1920.7</v>
      </c>
    </row>
    <row r="98" spans="1:9" ht="15.75" thickBot="1" x14ac:dyDescent="0.3"/>
    <row r="99" spans="1:9" ht="15.75" thickBot="1" x14ac:dyDescent="0.3">
      <c r="C99" s="254" t="s">
        <v>164</v>
      </c>
      <c r="D99" s="255"/>
      <c r="E99" s="255"/>
      <c r="F99" s="255"/>
      <c r="G99" s="255"/>
      <c r="H99" s="255"/>
      <c r="I99" s="256"/>
    </row>
    <row r="100" spans="1:9" x14ac:dyDescent="0.25">
      <c r="C100" s="110" t="s">
        <v>155</v>
      </c>
      <c r="D100" s="111" t="s">
        <v>156</v>
      </c>
      <c r="E100" s="112" t="s">
        <v>157</v>
      </c>
      <c r="F100" s="113" t="s">
        <v>158</v>
      </c>
      <c r="G100" s="105" t="s">
        <v>159</v>
      </c>
      <c r="H100" s="106" t="s">
        <v>160</v>
      </c>
      <c r="I100" s="106" t="s">
        <v>161</v>
      </c>
    </row>
    <row r="101" spans="1:9" x14ac:dyDescent="0.25">
      <c r="A101" s="120" t="str">
        <f>+Input!B10</f>
        <v>Friday</v>
      </c>
      <c r="B101" s="107">
        <f>+Input!C10</f>
        <v>46143</v>
      </c>
      <c r="C101" s="115">
        <f>+Input!R49</f>
        <v>0</v>
      </c>
      <c r="D101" s="68">
        <f>+'1'!D11</f>
        <v>0</v>
      </c>
      <c r="E101" s="68">
        <f>+'1'!D12</f>
        <v>40.06</v>
      </c>
      <c r="F101" s="66">
        <f>+C101+D101-E101</f>
        <v>-40.06</v>
      </c>
      <c r="G101" s="55"/>
      <c r="H101" s="66">
        <f>+G101-F101</f>
        <v>40.06</v>
      </c>
      <c r="I101" s="66">
        <f>+H101</f>
        <v>40.06</v>
      </c>
    </row>
    <row r="102" spans="1:9" x14ac:dyDescent="0.25">
      <c r="A102" s="121" t="str">
        <f>+Input!B11</f>
        <v>Saturday</v>
      </c>
      <c r="B102" s="108">
        <f>+Input!C11</f>
        <v>46144</v>
      </c>
      <c r="C102" s="114">
        <f>+F101</f>
        <v>-40.06</v>
      </c>
      <c r="D102" s="69">
        <f>+'2'!D11</f>
        <v>0</v>
      </c>
      <c r="E102" s="69">
        <f>+'2'!D12</f>
        <v>0</v>
      </c>
      <c r="F102" s="81">
        <f t="shared" ref="F102:F131" si="39">+C102+D102-E102</f>
        <v>-40.06</v>
      </c>
      <c r="G102" s="5"/>
      <c r="H102" s="81">
        <f t="shared" ref="H102:H132" si="40">+G102-F102</f>
        <v>40.06</v>
      </c>
      <c r="I102" s="81">
        <f>+I101+H102</f>
        <v>80.12</v>
      </c>
    </row>
    <row r="103" spans="1:9" x14ac:dyDescent="0.25">
      <c r="A103" s="121" t="str">
        <f>+Input!B12</f>
        <v>Sunday</v>
      </c>
      <c r="B103" s="108">
        <f>+Input!C12</f>
        <v>46145</v>
      </c>
      <c r="C103" s="114">
        <f t="shared" ref="C103:C131" si="41">+F102</f>
        <v>-40.06</v>
      </c>
      <c r="D103" s="69">
        <f>+'3'!D11</f>
        <v>0</v>
      </c>
      <c r="E103" s="69">
        <f>+'3'!D12</f>
        <v>0</v>
      </c>
      <c r="F103" s="81">
        <f t="shared" si="39"/>
        <v>-40.06</v>
      </c>
      <c r="G103" s="5"/>
      <c r="H103" s="81">
        <f t="shared" si="40"/>
        <v>40.06</v>
      </c>
      <c r="I103" s="81">
        <f t="shared" ref="I103:I131" si="42">+I102+H103</f>
        <v>120.18</v>
      </c>
    </row>
    <row r="104" spans="1:9" x14ac:dyDescent="0.25">
      <c r="A104" s="121" t="str">
        <f>+Input!B13</f>
        <v>Monday</v>
      </c>
      <c r="B104" s="108">
        <f>+Input!C13</f>
        <v>46146</v>
      </c>
      <c r="C104" s="114">
        <f t="shared" si="41"/>
        <v>-40.06</v>
      </c>
      <c r="D104" s="69">
        <f>+'4'!D11</f>
        <v>0</v>
      </c>
      <c r="E104" s="69">
        <f>+'4'!D12</f>
        <v>0</v>
      </c>
      <c r="F104" s="81">
        <f t="shared" si="39"/>
        <v>-40.06</v>
      </c>
      <c r="G104" s="5"/>
      <c r="H104" s="81">
        <f t="shared" si="40"/>
        <v>40.06</v>
      </c>
      <c r="I104" s="81">
        <f t="shared" si="42"/>
        <v>160.24</v>
      </c>
    </row>
    <row r="105" spans="1:9" x14ac:dyDescent="0.25">
      <c r="A105" s="121" t="str">
        <f>+Input!B14</f>
        <v>Tuesday</v>
      </c>
      <c r="B105" s="108">
        <f>+Input!C14</f>
        <v>46147</v>
      </c>
      <c r="C105" s="114">
        <f t="shared" si="41"/>
        <v>-40.06</v>
      </c>
      <c r="D105" s="69">
        <f>+'5'!D11</f>
        <v>0</v>
      </c>
      <c r="E105" s="69">
        <f>+'5'!D12</f>
        <v>0</v>
      </c>
      <c r="F105" s="81">
        <f t="shared" si="39"/>
        <v>-40.06</v>
      </c>
      <c r="G105" s="5"/>
      <c r="H105" s="81">
        <f t="shared" si="40"/>
        <v>40.06</v>
      </c>
      <c r="I105" s="81">
        <f t="shared" si="42"/>
        <v>200.3</v>
      </c>
    </row>
    <row r="106" spans="1:9" x14ac:dyDescent="0.25">
      <c r="A106" s="121" t="str">
        <f>+Input!B15</f>
        <v>Wednesday</v>
      </c>
      <c r="B106" s="108">
        <f>+Input!C15</f>
        <v>46148</v>
      </c>
      <c r="C106" s="114">
        <f t="shared" si="41"/>
        <v>-40.06</v>
      </c>
      <c r="D106" s="69">
        <f>+'6'!D11</f>
        <v>0</v>
      </c>
      <c r="E106" s="69">
        <f>+'6'!D12</f>
        <v>0</v>
      </c>
      <c r="F106" s="81">
        <f t="shared" si="39"/>
        <v>-40.06</v>
      </c>
      <c r="G106" s="5"/>
      <c r="H106" s="81">
        <f t="shared" si="40"/>
        <v>40.06</v>
      </c>
      <c r="I106" s="81">
        <f t="shared" si="42"/>
        <v>240.36</v>
      </c>
    </row>
    <row r="107" spans="1:9" x14ac:dyDescent="0.25">
      <c r="A107" s="121" t="str">
        <f>+Input!B16</f>
        <v>Thursday</v>
      </c>
      <c r="B107" s="108">
        <f>+Input!C16</f>
        <v>46149</v>
      </c>
      <c r="C107" s="114">
        <f t="shared" si="41"/>
        <v>-40.06</v>
      </c>
      <c r="D107" s="69">
        <f>+'7'!D11</f>
        <v>0</v>
      </c>
      <c r="E107" s="69">
        <f>+'7'!D12</f>
        <v>0</v>
      </c>
      <c r="F107" s="81">
        <f t="shared" si="39"/>
        <v>-40.06</v>
      </c>
      <c r="G107" s="5"/>
      <c r="H107" s="81">
        <f t="shared" si="40"/>
        <v>40.06</v>
      </c>
      <c r="I107" s="81">
        <f t="shared" si="42"/>
        <v>280.42</v>
      </c>
    </row>
    <row r="108" spans="1:9" x14ac:dyDescent="0.25">
      <c r="A108" s="121" t="str">
        <f>+Input!B17</f>
        <v>Friday</v>
      </c>
      <c r="B108" s="108">
        <f>+Input!C17</f>
        <v>46150</v>
      </c>
      <c r="C108" s="114">
        <f t="shared" si="41"/>
        <v>-40.06</v>
      </c>
      <c r="D108" s="69">
        <f>+'8'!D11</f>
        <v>0</v>
      </c>
      <c r="E108" s="69">
        <f>+'8'!D12</f>
        <v>0</v>
      </c>
      <c r="F108" s="81">
        <f t="shared" si="39"/>
        <v>-40.06</v>
      </c>
      <c r="G108" s="5"/>
      <c r="H108" s="81">
        <f t="shared" si="40"/>
        <v>40.06</v>
      </c>
      <c r="I108" s="81">
        <f t="shared" si="42"/>
        <v>320.48</v>
      </c>
    </row>
    <row r="109" spans="1:9" x14ac:dyDescent="0.25">
      <c r="A109" s="121" t="str">
        <f>+Input!B18</f>
        <v>Saturday</v>
      </c>
      <c r="B109" s="108">
        <f>+Input!C18</f>
        <v>46151</v>
      </c>
      <c r="C109" s="114">
        <f t="shared" si="41"/>
        <v>-40.06</v>
      </c>
      <c r="D109" s="69">
        <f>+'9'!D11</f>
        <v>0</v>
      </c>
      <c r="E109" s="69">
        <f>+'9'!D12</f>
        <v>0</v>
      </c>
      <c r="F109" s="81">
        <f t="shared" si="39"/>
        <v>-40.06</v>
      </c>
      <c r="G109" s="5"/>
      <c r="H109" s="81">
        <f t="shared" si="40"/>
        <v>40.06</v>
      </c>
      <c r="I109" s="81">
        <f t="shared" si="42"/>
        <v>360.54</v>
      </c>
    </row>
    <row r="110" spans="1:9" x14ac:dyDescent="0.25">
      <c r="A110" s="121" t="str">
        <f>+Input!B19</f>
        <v>Sunday</v>
      </c>
      <c r="B110" s="108">
        <f>+Input!C19</f>
        <v>46152</v>
      </c>
      <c r="C110" s="114">
        <f t="shared" si="41"/>
        <v>-40.06</v>
      </c>
      <c r="D110" s="69">
        <f>+'10'!D11</f>
        <v>0</v>
      </c>
      <c r="E110" s="69">
        <f>+'10'!D12</f>
        <v>0</v>
      </c>
      <c r="F110" s="81">
        <f t="shared" si="39"/>
        <v>-40.06</v>
      </c>
      <c r="G110" s="5"/>
      <c r="H110" s="81">
        <f t="shared" si="40"/>
        <v>40.06</v>
      </c>
      <c r="I110" s="81">
        <f t="shared" si="42"/>
        <v>400.6</v>
      </c>
    </row>
    <row r="111" spans="1:9" x14ac:dyDescent="0.25">
      <c r="A111" s="121" t="str">
        <f>+Input!B20</f>
        <v>Monday</v>
      </c>
      <c r="B111" s="108">
        <f>+Input!C20</f>
        <v>46153</v>
      </c>
      <c r="C111" s="114">
        <f t="shared" si="41"/>
        <v>-40.06</v>
      </c>
      <c r="D111" s="69">
        <f>+'11'!D11</f>
        <v>0</v>
      </c>
      <c r="E111" s="69">
        <f>+'11'!D12</f>
        <v>0</v>
      </c>
      <c r="F111" s="81">
        <f t="shared" si="39"/>
        <v>-40.06</v>
      </c>
      <c r="G111" s="5"/>
      <c r="H111" s="81">
        <f t="shared" si="40"/>
        <v>40.06</v>
      </c>
      <c r="I111" s="81">
        <f t="shared" si="42"/>
        <v>440.66</v>
      </c>
    </row>
    <row r="112" spans="1:9" x14ac:dyDescent="0.25">
      <c r="A112" s="121" t="str">
        <f>+Input!B21</f>
        <v>Tuesday</v>
      </c>
      <c r="B112" s="108">
        <f>+Input!C21</f>
        <v>46154</v>
      </c>
      <c r="C112" s="114">
        <f t="shared" si="41"/>
        <v>-40.06</v>
      </c>
      <c r="D112" s="69">
        <f>+'12'!D11</f>
        <v>0</v>
      </c>
      <c r="E112" s="69">
        <f>+'12'!D12</f>
        <v>0</v>
      </c>
      <c r="F112" s="81">
        <f t="shared" si="39"/>
        <v>-40.06</v>
      </c>
      <c r="G112" s="5"/>
      <c r="H112" s="81">
        <f t="shared" si="40"/>
        <v>40.06</v>
      </c>
      <c r="I112" s="81">
        <f t="shared" si="42"/>
        <v>480.72</v>
      </c>
    </row>
    <row r="113" spans="1:9" x14ac:dyDescent="0.25">
      <c r="A113" s="121" t="str">
        <f>+Input!B22</f>
        <v>Wednesday</v>
      </c>
      <c r="B113" s="108">
        <f>+Input!C22</f>
        <v>46155</v>
      </c>
      <c r="C113" s="114">
        <f t="shared" si="41"/>
        <v>-40.06</v>
      </c>
      <c r="D113" s="69">
        <f>+'13'!D11</f>
        <v>0</v>
      </c>
      <c r="E113" s="69">
        <f>+'13'!D12</f>
        <v>0</v>
      </c>
      <c r="F113" s="81">
        <f t="shared" si="39"/>
        <v>-40.06</v>
      </c>
      <c r="G113" s="5"/>
      <c r="H113" s="81">
        <f t="shared" si="40"/>
        <v>40.06</v>
      </c>
      <c r="I113" s="81">
        <f t="shared" si="42"/>
        <v>520.78</v>
      </c>
    </row>
    <row r="114" spans="1:9" x14ac:dyDescent="0.25">
      <c r="A114" s="121" t="str">
        <f>+Input!B23</f>
        <v>Thursday</v>
      </c>
      <c r="B114" s="108">
        <f>+Input!C23</f>
        <v>46156</v>
      </c>
      <c r="C114" s="114">
        <f t="shared" si="41"/>
        <v>-40.06</v>
      </c>
      <c r="D114" s="69">
        <f>+'14'!D11</f>
        <v>0</v>
      </c>
      <c r="E114" s="69">
        <f>+'14'!D12</f>
        <v>0</v>
      </c>
      <c r="F114" s="81">
        <f t="shared" si="39"/>
        <v>-40.06</v>
      </c>
      <c r="G114" s="5"/>
      <c r="H114" s="81">
        <f t="shared" si="40"/>
        <v>40.06</v>
      </c>
      <c r="I114" s="81">
        <f t="shared" si="42"/>
        <v>560.83999999999992</v>
      </c>
    </row>
    <row r="115" spans="1:9" x14ac:dyDescent="0.25">
      <c r="A115" s="121" t="str">
        <f>+Input!B24</f>
        <v>Friday</v>
      </c>
      <c r="B115" s="108">
        <f>+Input!C24</f>
        <v>46157</v>
      </c>
      <c r="C115" s="114">
        <f t="shared" si="41"/>
        <v>-40.06</v>
      </c>
      <c r="D115" s="69">
        <f>+'15'!D11</f>
        <v>0</v>
      </c>
      <c r="E115" s="69">
        <f>+'15'!D12</f>
        <v>0</v>
      </c>
      <c r="F115" s="81">
        <f t="shared" si="39"/>
        <v>-40.06</v>
      </c>
      <c r="G115" s="5"/>
      <c r="H115" s="81">
        <f t="shared" si="40"/>
        <v>40.06</v>
      </c>
      <c r="I115" s="81">
        <f t="shared" si="42"/>
        <v>600.89999999999986</v>
      </c>
    </row>
    <row r="116" spans="1:9" x14ac:dyDescent="0.25">
      <c r="A116" s="121" t="str">
        <f>+Input!B25</f>
        <v>Saturday</v>
      </c>
      <c r="B116" s="108">
        <f>+Input!C25</f>
        <v>46158</v>
      </c>
      <c r="C116" s="114">
        <f t="shared" si="41"/>
        <v>-40.06</v>
      </c>
      <c r="D116" s="69">
        <f>+'16'!D11</f>
        <v>0</v>
      </c>
      <c r="E116" s="69">
        <f>+'16'!D12</f>
        <v>0</v>
      </c>
      <c r="F116" s="81">
        <f t="shared" si="39"/>
        <v>-40.06</v>
      </c>
      <c r="G116" s="5"/>
      <c r="H116" s="81">
        <f t="shared" si="40"/>
        <v>40.06</v>
      </c>
      <c r="I116" s="81">
        <f t="shared" si="42"/>
        <v>640.95999999999981</v>
      </c>
    </row>
    <row r="117" spans="1:9" x14ac:dyDescent="0.25">
      <c r="A117" s="121" t="str">
        <f>+Input!B26</f>
        <v>Sunday</v>
      </c>
      <c r="B117" s="108">
        <f>+Input!C26</f>
        <v>46159</v>
      </c>
      <c r="C117" s="114">
        <f t="shared" si="41"/>
        <v>-40.06</v>
      </c>
      <c r="D117" s="69">
        <f>+'17'!D11</f>
        <v>0</v>
      </c>
      <c r="E117" s="69">
        <f>+'17'!D12</f>
        <v>0</v>
      </c>
      <c r="F117" s="81">
        <f t="shared" si="39"/>
        <v>-40.06</v>
      </c>
      <c r="G117" s="5"/>
      <c r="H117" s="81">
        <f t="shared" si="40"/>
        <v>40.06</v>
      </c>
      <c r="I117" s="81">
        <f t="shared" si="42"/>
        <v>681.01999999999975</v>
      </c>
    </row>
    <row r="118" spans="1:9" x14ac:dyDescent="0.25">
      <c r="A118" s="121" t="str">
        <f>+Input!B27</f>
        <v>Monday</v>
      </c>
      <c r="B118" s="108">
        <f>+Input!C27</f>
        <v>46160</v>
      </c>
      <c r="C118" s="114">
        <f t="shared" si="41"/>
        <v>-40.06</v>
      </c>
      <c r="D118" s="69">
        <f>+'18'!D11</f>
        <v>0</v>
      </c>
      <c r="E118" s="69">
        <f>+'18'!D12</f>
        <v>0</v>
      </c>
      <c r="F118" s="81">
        <f t="shared" si="39"/>
        <v>-40.06</v>
      </c>
      <c r="G118" s="5"/>
      <c r="H118" s="81">
        <f t="shared" si="40"/>
        <v>40.06</v>
      </c>
      <c r="I118" s="81">
        <f t="shared" si="42"/>
        <v>721.0799999999997</v>
      </c>
    </row>
    <row r="119" spans="1:9" x14ac:dyDescent="0.25">
      <c r="A119" s="121" t="str">
        <f>+Input!B28</f>
        <v>Tuesday</v>
      </c>
      <c r="B119" s="108">
        <f>+Input!C28</f>
        <v>46161</v>
      </c>
      <c r="C119" s="114">
        <f t="shared" si="41"/>
        <v>-40.06</v>
      </c>
      <c r="D119" s="69">
        <f>+'19'!D11</f>
        <v>0</v>
      </c>
      <c r="E119" s="69">
        <f>+'19'!D12</f>
        <v>0</v>
      </c>
      <c r="F119" s="81">
        <f t="shared" si="39"/>
        <v>-40.06</v>
      </c>
      <c r="G119" s="5"/>
      <c r="H119" s="81">
        <f t="shared" si="40"/>
        <v>40.06</v>
      </c>
      <c r="I119" s="81">
        <f t="shared" si="42"/>
        <v>761.13999999999965</v>
      </c>
    </row>
    <row r="120" spans="1:9" x14ac:dyDescent="0.25">
      <c r="A120" s="121" t="str">
        <f>+Input!B29</f>
        <v>Wednesday</v>
      </c>
      <c r="B120" s="108">
        <f>+Input!C29</f>
        <v>46162</v>
      </c>
      <c r="C120" s="114">
        <f t="shared" si="41"/>
        <v>-40.06</v>
      </c>
      <c r="D120" s="69">
        <f>+'20'!D11</f>
        <v>0</v>
      </c>
      <c r="E120" s="69">
        <f>+'20'!D12</f>
        <v>0</v>
      </c>
      <c r="F120" s="81">
        <f t="shared" si="39"/>
        <v>-40.06</v>
      </c>
      <c r="G120" s="5"/>
      <c r="H120" s="81">
        <f t="shared" si="40"/>
        <v>40.06</v>
      </c>
      <c r="I120" s="81">
        <f t="shared" si="42"/>
        <v>801.19999999999959</v>
      </c>
    </row>
    <row r="121" spans="1:9" x14ac:dyDescent="0.25">
      <c r="A121" s="121" t="str">
        <f>+Input!B30</f>
        <v>Thursday</v>
      </c>
      <c r="B121" s="108">
        <f>+Input!C30</f>
        <v>46163</v>
      </c>
      <c r="C121" s="114">
        <f t="shared" si="41"/>
        <v>-40.06</v>
      </c>
      <c r="D121" s="69">
        <f>+'21'!D11</f>
        <v>0</v>
      </c>
      <c r="E121" s="69">
        <f>+'21'!D12</f>
        <v>0</v>
      </c>
      <c r="F121" s="81">
        <f t="shared" si="39"/>
        <v>-40.06</v>
      </c>
      <c r="G121" s="5"/>
      <c r="H121" s="81">
        <f t="shared" si="40"/>
        <v>40.06</v>
      </c>
      <c r="I121" s="81">
        <f t="shared" si="42"/>
        <v>841.25999999999954</v>
      </c>
    </row>
    <row r="122" spans="1:9" x14ac:dyDescent="0.25">
      <c r="A122" s="121" t="str">
        <f>+Input!B31</f>
        <v>Friday</v>
      </c>
      <c r="B122" s="108">
        <f>+Input!C31</f>
        <v>46164</v>
      </c>
      <c r="C122" s="114">
        <f t="shared" si="41"/>
        <v>-40.06</v>
      </c>
      <c r="D122" s="69">
        <f>+'22'!D11</f>
        <v>0</v>
      </c>
      <c r="E122" s="69">
        <f>+'22'!D12</f>
        <v>0</v>
      </c>
      <c r="F122" s="81">
        <f t="shared" si="39"/>
        <v>-40.06</v>
      </c>
      <c r="G122" s="5"/>
      <c r="H122" s="81">
        <f t="shared" si="40"/>
        <v>40.06</v>
      </c>
      <c r="I122" s="81">
        <f t="shared" si="42"/>
        <v>881.31999999999948</v>
      </c>
    </row>
    <row r="123" spans="1:9" x14ac:dyDescent="0.25">
      <c r="A123" s="121" t="str">
        <f>+Input!B32</f>
        <v>Saturday</v>
      </c>
      <c r="B123" s="108">
        <f>+Input!C32</f>
        <v>46165</v>
      </c>
      <c r="C123" s="114">
        <f t="shared" si="41"/>
        <v>-40.06</v>
      </c>
      <c r="D123" s="69">
        <f>+'23'!D11</f>
        <v>0</v>
      </c>
      <c r="E123" s="69">
        <f>+'23'!D12</f>
        <v>0</v>
      </c>
      <c r="F123" s="81">
        <f t="shared" si="39"/>
        <v>-40.06</v>
      </c>
      <c r="G123" s="5"/>
      <c r="H123" s="81">
        <f t="shared" si="40"/>
        <v>40.06</v>
      </c>
      <c r="I123" s="81">
        <f t="shared" si="42"/>
        <v>921.37999999999943</v>
      </c>
    </row>
    <row r="124" spans="1:9" x14ac:dyDescent="0.25">
      <c r="A124" s="121" t="str">
        <f>+Input!B33</f>
        <v>Sunday</v>
      </c>
      <c r="B124" s="108">
        <f>+Input!C33</f>
        <v>46166</v>
      </c>
      <c r="C124" s="114">
        <f t="shared" si="41"/>
        <v>-40.06</v>
      </c>
      <c r="D124" s="69">
        <f>+'24'!D11</f>
        <v>0</v>
      </c>
      <c r="E124" s="69">
        <f>+'24'!D12</f>
        <v>0</v>
      </c>
      <c r="F124" s="81">
        <f t="shared" si="39"/>
        <v>-40.06</v>
      </c>
      <c r="G124" s="5"/>
      <c r="H124" s="81">
        <f t="shared" si="40"/>
        <v>40.06</v>
      </c>
      <c r="I124" s="81">
        <f t="shared" si="42"/>
        <v>961.43999999999937</v>
      </c>
    </row>
    <row r="125" spans="1:9" x14ac:dyDescent="0.25">
      <c r="A125" s="121" t="str">
        <f>+Input!B34</f>
        <v>Monday</v>
      </c>
      <c r="B125" s="108">
        <f>+Input!C34</f>
        <v>46167</v>
      </c>
      <c r="C125" s="114">
        <f t="shared" si="41"/>
        <v>-40.06</v>
      </c>
      <c r="D125" s="69">
        <f>+'25'!D11</f>
        <v>0</v>
      </c>
      <c r="E125" s="69">
        <f>+'25'!D12</f>
        <v>0</v>
      </c>
      <c r="F125" s="81">
        <f t="shared" si="39"/>
        <v>-40.06</v>
      </c>
      <c r="G125" s="5"/>
      <c r="H125" s="81">
        <f t="shared" si="40"/>
        <v>40.06</v>
      </c>
      <c r="I125" s="81">
        <f t="shared" si="42"/>
        <v>1001.4999999999993</v>
      </c>
    </row>
    <row r="126" spans="1:9" x14ac:dyDescent="0.25">
      <c r="A126" s="121" t="str">
        <f>+Input!B35</f>
        <v>Tuesday</v>
      </c>
      <c r="B126" s="108">
        <f>+Input!C35</f>
        <v>46168</v>
      </c>
      <c r="C126" s="114">
        <f t="shared" si="41"/>
        <v>-40.06</v>
      </c>
      <c r="D126" s="69">
        <f>+'26'!D11</f>
        <v>0</v>
      </c>
      <c r="E126" s="69">
        <f>+'26'!D12</f>
        <v>0</v>
      </c>
      <c r="F126" s="81">
        <f t="shared" si="39"/>
        <v>-40.06</v>
      </c>
      <c r="G126" s="5"/>
      <c r="H126" s="81">
        <f t="shared" si="40"/>
        <v>40.06</v>
      </c>
      <c r="I126" s="81">
        <f t="shared" si="42"/>
        <v>1041.5599999999993</v>
      </c>
    </row>
    <row r="127" spans="1:9" x14ac:dyDescent="0.25">
      <c r="A127" s="121" t="str">
        <f>+Input!B36</f>
        <v>Wednesday</v>
      </c>
      <c r="B127" s="108">
        <f>+Input!C36</f>
        <v>46169</v>
      </c>
      <c r="C127" s="114">
        <f t="shared" si="41"/>
        <v>-40.06</v>
      </c>
      <c r="D127" s="69">
        <f>+'27'!D11</f>
        <v>0</v>
      </c>
      <c r="E127" s="69">
        <f>+'27'!D12</f>
        <v>0</v>
      </c>
      <c r="F127" s="81">
        <f t="shared" si="39"/>
        <v>-40.06</v>
      </c>
      <c r="G127" s="5"/>
      <c r="H127" s="81">
        <f t="shared" si="40"/>
        <v>40.06</v>
      </c>
      <c r="I127" s="81">
        <f t="shared" si="42"/>
        <v>1081.6199999999992</v>
      </c>
    </row>
    <row r="128" spans="1:9" x14ac:dyDescent="0.25">
      <c r="A128" s="121" t="str">
        <f>+Input!B37</f>
        <v>Thursday</v>
      </c>
      <c r="B128" s="108">
        <f>+Input!C37</f>
        <v>46170</v>
      </c>
      <c r="C128" s="114">
        <f t="shared" si="41"/>
        <v>-40.06</v>
      </c>
      <c r="D128" s="69">
        <f>+'28'!D11</f>
        <v>0</v>
      </c>
      <c r="E128" s="69">
        <f>+'28'!D12</f>
        <v>0</v>
      </c>
      <c r="F128" s="81">
        <f t="shared" si="39"/>
        <v>-40.06</v>
      </c>
      <c r="G128" s="5"/>
      <c r="H128" s="81">
        <f t="shared" si="40"/>
        <v>40.06</v>
      </c>
      <c r="I128" s="81">
        <f t="shared" si="42"/>
        <v>1121.6799999999992</v>
      </c>
    </row>
    <row r="129" spans="1:9" x14ac:dyDescent="0.25">
      <c r="A129" s="121" t="str">
        <f>+Input!B38</f>
        <v>Friday</v>
      </c>
      <c r="B129" s="108">
        <f>+Input!C38</f>
        <v>46171</v>
      </c>
      <c r="C129" s="114">
        <f t="shared" si="41"/>
        <v>-40.06</v>
      </c>
      <c r="D129" s="69">
        <f>+'29'!D11</f>
        <v>0</v>
      </c>
      <c r="E129" s="69">
        <f>+'29'!D12</f>
        <v>0</v>
      </c>
      <c r="F129" s="81">
        <f t="shared" si="39"/>
        <v>-40.06</v>
      </c>
      <c r="G129" s="5"/>
      <c r="H129" s="81">
        <f t="shared" si="40"/>
        <v>40.06</v>
      </c>
      <c r="I129" s="81">
        <f t="shared" si="42"/>
        <v>1161.7399999999991</v>
      </c>
    </row>
    <row r="130" spans="1:9" x14ac:dyDescent="0.25">
      <c r="A130" s="121" t="str">
        <f>+Input!B39</f>
        <v>Saturday</v>
      </c>
      <c r="B130" s="108">
        <f>+Input!C39</f>
        <v>46172</v>
      </c>
      <c r="C130" s="114">
        <f t="shared" si="41"/>
        <v>-40.06</v>
      </c>
      <c r="D130" s="69">
        <f>+'30'!D11</f>
        <v>0</v>
      </c>
      <c r="E130" s="69">
        <f>+'30'!D12</f>
        <v>0</v>
      </c>
      <c r="F130" s="81">
        <f t="shared" si="39"/>
        <v>-40.06</v>
      </c>
      <c r="G130" s="5"/>
      <c r="H130" s="81">
        <f t="shared" si="40"/>
        <v>40.06</v>
      </c>
      <c r="I130" s="81">
        <f t="shared" si="42"/>
        <v>1201.799999999999</v>
      </c>
    </row>
    <row r="131" spans="1:9" x14ac:dyDescent="0.25">
      <c r="A131" s="21" t="str">
        <f>+Input!B40</f>
        <v>Sunday</v>
      </c>
      <c r="B131" s="109">
        <f>+Input!C40</f>
        <v>46173</v>
      </c>
      <c r="C131" s="119">
        <f t="shared" si="41"/>
        <v>-40.06</v>
      </c>
      <c r="D131" s="57">
        <f>+'31'!D11</f>
        <v>0</v>
      </c>
      <c r="E131" s="57">
        <f>+'31'!D12</f>
        <v>0</v>
      </c>
      <c r="F131" s="44">
        <f t="shared" si="39"/>
        <v>-40.06</v>
      </c>
      <c r="G131" s="58"/>
      <c r="H131" s="44">
        <f t="shared" si="40"/>
        <v>40.06</v>
      </c>
      <c r="I131" s="44">
        <f t="shared" si="42"/>
        <v>1241.859999999999</v>
      </c>
    </row>
    <row r="132" spans="1:9" x14ac:dyDescent="0.25">
      <c r="C132" s="29">
        <f>+C101</f>
        <v>0</v>
      </c>
      <c r="D132" s="29">
        <f>SUM(D101:D131)</f>
        <v>0</v>
      </c>
      <c r="E132" s="29">
        <f>SUM(E101:E131)</f>
        <v>40.06</v>
      </c>
      <c r="F132" s="29">
        <f>+C132+D132-E132</f>
        <v>-40.06</v>
      </c>
      <c r="G132" s="29">
        <f>+D22</f>
        <v>0</v>
      </c>
      <c r="H132" s="29">
        <f t="shared" si="40"/>
        <v>40.06</v>
      </c>
      <c r="I132" s="29">
        <f>+G132-F132</f>
        <v>40.06</v>
      </c>
    </row>
    <row r="199" spans="2:5" ht="15.75" thickBot="1" x14ac:dyDescent="0.3"/>
    <row r="200" spans="2:5" ht="15.75" thickBot="1" x14ac:dyDescent="0.3">
      <c r="C200" s="46" t="s">
        <v>16</v>
      </c>
      <c r="D200" s="47" t="s">
        <v>186</v>
      </c>
      <c r="E200" s="17" t="s">
        <v>185</v>
      </c>
    </row>
    <row r="201" spans="2:5" x14ac:dyDescent="0.25">
      <c r="B201" s="1">
        <v>1</v>
      </c>
      <c r="C201" s="5">
        <f>+X29</f>
        <v>1659.39</v>
      </c>
      <c r="D201" s="5">
        <f>+H101</f>
        <v>40.06</v>
      </c>
      <c r="E201" s="5">
        <f>+X65</f>
        <v>1920.7</v>
      </c>
    </row>
    <row r="202" spans="2:5" x14ac:dyDescent="0.25">
      <c r="B202" s="1">
        <f>+B201+1</f>
        <v>2</v>
      </c>
      <c r="C202" s="5">
        <f t="shared" ref="C202:C231" si="43">+X30</f>
        <v>1659.39</v>
      </c>
      <c r="D202" s="5">
        <f t="shared" ref="D202:D231" si="44">+H102</f>
        <v>40.06</v>
      </c>
      <c r="E202" s="5">
        <f t="shared" ref="E202:E231" si="45">+X66</f>
        <v>1920.7</v>
      </c>
    </row>
    <row r="203" spans="2:5" x14ac:dyDescent="0.25">
      <c r="B203" s="1">
        <f t="shared" ref="B203:B231" si="46">+B202+1</f>
        <v>3</v>
      </c>
      <c r="C203" s="5">
        <f t="shared" si="43"/>
        <v>1659.39</v>
      </c>
      <c r="D203" s="5">
        <f t="shared" si="44"/>
        <v>40.06</v>
      </c>
      <c r="E203" s="5">
        <f t="shared" si="45"/>
        <v>1920.7</v>
      </c>
    </row>
    <row r="204" spans="2:5" x14ac:dyDescent="0.25">
      <c r="B204" s="1">
        <f t="shared" si="46"/>
        <v>4</v>
      </c>
      <c r="C204" s="5">
        <f t="shared" si="43"/>
        <v>1659.39</v>
      </c>
      <c r="D204" s="5">
        <f t="shared" si="44"/>
        <v>40.06</v>
      </c>
      <c r="E204" s="5">
        <f t="shared" si="45"/>
        <v>1920.7</v>
      </c>
    </row>
    <row r="205" spans="2:5" x14ac:dyDescent="0.25">
      <c r="B205" s="1">
        <f t="shared" si="46"/>
        <v>5</v>
      </c>
      <c r="C205" s="5">
        <f t="shared" si="43"/>
        <v>1659.39</v>
      </c>
      <c r="D205" s="5">
        <f t="shared" si="44"/>
        <v>40.06</v>
      </c>
      <c r="E205" s="5">
        <f t="shared" si="45"/>
        <v>1920.7</v>
      </c>
    </row>
    <row r="206" spans="2:5" x14ac:dyDescent="0.25">
      <c r="B206" s="1">
        <f t="shared" si="46"/>
        <v>6</v>
      </c>
      <c r="C206" s="5">
        <f t="shared" si="43"/>
        <v>1659.39</v>
      </c>
      <c r="D206" s="5">
        <f t="shared" si="44"/>
        <v>40.06</v>
      </c>
      <c r="E206" s="5">
        <f t="shared" si="45"/>
        <v>1920.7</v>
      </c>
    </row>
    <row r="207" spans="2:5" x14ac:dyDescent="0.25">
      <c r="B207" s="1">
        <f t="shared" si="46"/>
        <v>7</v>
      </c>
      <c r="C207" s="5">
        <f t="shared" si="43"/>
        <v>1659.39</v>
      </c>
      <c r="D207" s="5">
        <f t="shared" si="44"/>
        <v>40.06</v>
      </c>
      <c r="E207" s="5">
        <f t="shared" si="45"/>
        <v>1920.7</v>
      </c>
    </row>
    <row r="208" spans="2:5" x14ac:dyDescent="0.25">
      <c r="B208" s="1">
        <f t="shared" si="46"/>
        <v>8</v>
      </c>
      <c r="C208" s="5">
        <f t="shared" si="43"/>
        <v>1659.39</v>
      </c>
      <c r="D208" s="5">
        <f t="shared" si="44"/>
        <v>40.06</v>
      </c>
      <c r="E208" s="5">
        <f t="shared" si="45"/>
        <v>1920.7</v>
      </c>
    </row>
    <row r="209" spans="2:5" x14ac:dyDescent="0.25">
      <c r="B209" s="1">
        <f t="shared" si="46"/>
        <v>9</v>
      </c>
      <c r="C209" s="5">
        <f t="shared" si="43"/>
        <v>1659.39</v>
      </c>
      <c r="D209" s="5">
        <f t="shared" si="44"/>
        <v>40.06</v>
      </c>
      <c r="E209" s="5">
        <f t="shared" si="45"/>
        <v>1920.7</v>
      </c>
    </row>
    <row r="210" spans="2:5" x14ac:dyDescent="0.25">
      <c r="B210" s="1">
        <f t="shared" si="46"/>
        <v>10</v>
      </c>
      <c r="C210" s="5">
        <f t="shared" si="43"/>
        <v>1659.39</v>
      </c>
      <c r="D210" s="5">
        <f t="shared" si="44"/>
        <v>40.06</v>
      </c>
      <c r="E210" s="5">
        <f t="shared" si="45"/>
        <v>1920.7</v>
      </c>
    </row>
    <row r="211" spans="2:5" x14ac:dyDescent="0.25">
      <c r="B211" s="1">
        <f t="shared" si="46"/>
        <v>11</v>
      </c>
      <c r="C211" s="5">
        <f t="shared" si="43"/>
        <v>1659.39</v>
      </c>
      <c r="D211" s="5">
        <f t="shared" si="44"/>
        <v>40.06</v>
      </c>
      <c r="E211" s="5">
        <f t="shared" si="45"/>
        <v>1920.7</v>
      </c>
    </row>
    <row r="212" spans="2:5" x14ac:dyDescent="0.25">
      <c r="B212" s="1">
        <f t="shared" si="46"/>
        <v>12</v>
      </c>
      <c r="C212" s="5">
        <f t="shared" si="43"/>
        <v>1659.39</v>
      </c>
      <c r="D212" s="5">
        <f t="shared" si="44"/>
        <v>40.06</v>
      </c>
      <c r="E212" s="5">
        <f t="shared" si="45"/>
        <v>1920.7</v>
      </c>
    </row>
    <row r="213" spans="2:5" x14ac:dyDescent="0.25">
      <c r="B213" s="1">
        <f t="shared" si="46"/>
        <v>13</v>
      </c>
      <c r="C213" s="5">
        <f t="shared" si="43"/>
        <v>1659.39</v>
      </c>
      <c r="D213" s="5">
        <f t="shared" si="44"/>
        <v>40.06</v>
      </c>
      <c r="E213" s="5">
        <f t="shared" si="45"/>
        <v>1920.7</v>
      </c>
    </row>
    <row r="214" spans="2:5" x14ac:dyDescent="0.25">
      <c r="B214" s="1">
        <f t="shared" si="46"/>
        <v>14</v>
      </c>
      <c r="C214" s="5">
        <f t="shared" si="43"/>
        <v>1659.39</v>
      </c>
      <c r="D214" s="5">
        <f t="shared" si="44"/>
        <v>40.06</v>
      </c>
      <c r="E214" s="5">
        <f t="shared" si="45"/>
        <v>1920.7</v>
      </c>
    </row>
    <row r="215" spans="2:5" x14ac:dyDescent="0.25">
      <c r="B215" s="1">
        <f t="shared" si="46"/>
        <v>15</v>
      </c>
      <c r="C215" s="5">
        <f t="shared" si="43"/>
        <v>1659.39</v>
      </c>
      <c r="D215" s="5">
        <f t="shared" si="44"/>
        <v>40.06</v>
      </c>
      <c r="E215" s="5">
        <f t="shared" si="45"/>
        <v>1920.7</v>
      </c>
    </row>
    <row r="216" spans="2:5" x14ac:dyDescent="0.25">
      <c r="B216" s="1">
        <f t="shared" si="46"/>
        <v>16</v>
      </c>
      <c r="C216" s="5">
        <f t="shared" si="43"/>
        <v>1659.39</v>
      </c>
      <c r="D216" s="5">
        <f t="shared" si="44"/>
        <v>40.06</v>
      </c>
      <c r="E216" s="5">
        <f t="shared" si="45"/>
        <v>1920.7</v>
      </c>
    </row>
    <row r="217" spans="2:5" x14ac:dyDescent="0.25">
      <c r="B217" s="1">
        <f t="shared" si="46"/>
        <v>17</v>
      </c>
      <c r="C217" s="5">
        <f t="shared" si="43"/>
        <v>1659.39</v>
      </c>
      <c r="D217" s="5">
        <f t="shared" si="44"/>
        <v>40.06</v>
      </c>
      <c r="E217" s="5">
        <f t="shared" si="45"/>
        <v>1920.7</v>
      </c>
    </row>
    <row r="218" spans="2:5" x14ac:dyDescent="0.25">
      <c r="B218" s="1">
        <f t="shared" si="46"/>
        <v>18</v>
      </c>
      <c r="C218" s="5">
        <f t="shared" si="43"/>
        <v>1659.39</v>
      </c>
      <c r="D218" s="5">
        <f t="shared" si="44"/>
        <v>40.06</v>
      </c>
      <c r="E218" s="5">
        <f t="shared" si="45"/>
        <v>1920.7</v>
      </c>
    </row>
    <row r="219" spans="2:5" x14ac:dyDescent="0.25">
      <c r="B219" s="1">
        <f t="shared" si="46"/>
        <v>19</v>
      </c>
      <c r="C219" s="5">
        <f t="shared" si="43"/>
        <v>1659.39</v>
      </c>
      <c r="D219" s="5">
        <f t="shared" si="44"/>
        <v>40.06</v>
      </c>
      <c r="E219" s="5">
        <f t="shared" si="45"/>
        <v>1920.7</v>
      </c>
    </row>
    <row r="220" spans="2:5" x14ac:dyDescent="0.25">
      <c r="B220" s="1">
        <f t="shared" si="46"/>
        <v>20</v>
      </c>
      <c r="C220" s="5">
        <f t="shared" si="43"/>
        <v>1659.39</v>
      </c>
      <c r="D220" s="5">
        <f t="shared" si="44"/>
        <v>40.06</v>
      </c>
      <c r="E220" s="5">
        <f t="shared" si="45"/>
        <v>1920.7</v>
      </c>
    </row>
    <row r="221" spans="2:5" x14ac:dyDescent="0.25">
      <c r="B221" s="1">
        <f t="shared" si="46"/>
        <v>21</v>
      </c>
      <c r="C221" s="5">
        <f t="shared" si="43"/>
        <v>1659.39</v>
      </c>
      <c r="D221" s="5">
        <f t="shared" si="44"/>
        <v>40.06</v>
      </c>
      <c r="E221" s="5">
        <f t="shared" si="45"/>
        <v>1920.7</v>
      </c>
    </row>
    <row r="222" spans="2:5" x14ac:dyDescent="0.25">
      <c r="B222" s="1">
        <f t="shared" si="46"/>
        <v>22</v>
      </c>
      <c r="C222" s="5">
        <f t="shared" si="43"/>
        <v>1659.39</v>
      </c>
      <c r="D222" s="5">
        <f t="shared" si="44"/>
        <v>40.06</v>
      </c>
      <c r="E222" s="5">
        <f t="shared" si="45"/>
        <v>1920.7</v>
      </c>
    </row>
    <row r="223" spans="2:5" x14ac:dyDescent="0.25">
      <c r="B223" s="1">
        <f t="shared" si="46"/>
        <v>23</v>
      </c>
      <c r="C223" s="5">
        <f t="shared" si="43"/>
        <v>1659.39</v>
      </c>
      <c r="D223" s="5">
        <f t="shared" si="44"/>
        <v>40.06</v>
      </c>
      <c r="E223" s="5">
        <f t="shared" si="45"/>
        <v>1920.7</v>
      </c>
    </row>
    <row r="224" spans="2:5" x14ac:dyDescent="0.25">
      <c r="B224" s="1">
        <f t="shared" si="46"/>
        <v>24</v>
      </c>
      <c r="C224" s="5">
        <f t="shared" si="43"/>
        <v>1659.39</v>
      </c>
      <c r="D224" s="5">
        <f t="shared" si="44"/>
        <v>40.06</v>
      </c>
      <c r="E224" s="5">
        <f t="shared" si="45"/>
        <v>1920.7</v>
      </c>
    </row>
    <row r="225" spans="2:5" x14ac:dyDescent="0.25">
      <c r="B225" s="1">
        <f t="shared" si="46"/>
        <v>25</v>
      </c>
      <c r="C225" s="5">
        <f t="shared" si="43"/>
        <v>1659.39</v>
      </c>
      <c r="D225" s="5">
        <f t="shared" si="44"/>
        <v>40.06</v>
      </c>
      <c r="E225" s="5">
        <f t="shared" si="45"/>
        <v>1920.7</v>
      </c>
    </row>
    <row r="226" spans="2:5" x14ac:dyDescent="0.25">
      <c r="B226" s="1">
        <f t="shared" si="46"/>
        <v>26</v>
      </c>
      <c r="C226" s="5">
        <f t="shared" si="43"/>
        <v>1659.39</v>
      </c>
      <c r="D226" s="5">
        <f t="shared" si="44"/>
        <v>40.06</v>
      </c>
      <c r="E226" s="5">
        <f t="shared" si="45"/>
        <v>1920.7</v>
      </c>
    </row>
    <row r="227" spans="2:5" x14ac:dyDescent="0.25">
      <c r="B227" s="1">
        <f t="shared" si="46"/>
        <v>27</v>
      </c>
      <c r="C227" s="5">
        <f t="shared" si="43"/>
        <v>1659.39</v>
      </c>
      <c r="D227" s="5">
        <f t="shared" si="44"/>
        <v>40.06</v>
      </c>
      <c r="E227" s="5">
        <f t="shared" si="45"/>
        <v>1920.7</v>
      </c>
    </row>
    <row r="228" spans="2:5" x14ac:dyDescent="0.25">
      <c r="B228" s="1">
        <f t="shared" si="46"/>
        <v>28</v>
      </c>
      <c r="C228" s="5">
        <f t="shared" si="43"/>
        <v>1659.39</v>
      </c>
      <c r="D228" s="5">
        <f t="shared" si="44"/>
        <v>40.06</v>
      </c>
      <c r="E228" s="5">
        <f t="shared" si="45"/>
        <v>1920.7</v>
      </c>
    </row>
    <row r="229" spans="2:5" x14ac:dyDescent="0.25">
      <c r="B229" s="1">
        <f t="shared" si="46"/>
        <v>29</v>
      </c>
      <c r="C229" s="5">
        <f t="shared" si="43"/>
        <v>1659.39</v>
      </c>
      <c r="D229" s="5">
        <f t="shared" si="44"/>
        <v>40.06</v>
      </c>
      <c r="E229" s="5">
        <f t="shared" si="45"/>
        <v>1920.7</v>
      </c>
    </row>
    <row r="230" spans="2:5" x14ac:dyDescent="0.25">
      <c r="B230" s="1">
        <f t="shared" si="46"/>
        <v>30</v>
      </c>
      <c r="C230" s="5">
        <f t="shared" si="43"/>
        <v>1659.39</v>
      </c>
      <c r="D230" s="5">
        <f t="shared" si="44"/>
        <v>40.06</v>
      </c>
      <c r="E230" s="5">
        <f t="shared" si="45"/>
        <v>1920.7</v>
      </c>
    </row>
    <row r="231" spans="2:5" x14ac:dyDescent="0.25">
      <c r="B231" s="1">
        <f t="shared" si="46"/>
        <v>31</v>
      </c>
      <c r="C231" s="5">
        <f t="shared" si="43"/>
        <v>1659.39</v>
      </c>
      <c r="D231" s="5">
        <f t="shared" si="44"/>
        <v>40.06</v>
      </c>
      <c r="E231" s="5">
        <f t="shared" si="45"/>
        <v>1920.7</v>
      </c>
    </row>
  </sheetData>
  <mergeCells count="8">
    <mergeCell ref="C99:I99"/>
    <mergeCell ref="C3:D3"/>
    <mergeCell ref="C63:I63"/>
    <mergeCell ref="K63:Q63"/>
    <mergeCell ref="S27:Y27"/>
    <mergeCell ref="S63:Y63"/>
    <mergeCell ref="C27:I27"/>
    <mergeCell ref="K27:Q2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3A10-8E4C-4E61-BDE9-0E0C28207BEF}">
  <dimension ref="A1:AG145"/>
  <sheetViews>
    <sheetView topLeftCell="A116" workbookViewId="0">
      <selection activeCell="B11" sqref="B11"/>
    </sheetView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>
        <v>6</v>
      </c>
      <c r="C6" s="41">
        <v>46148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6" t="s">
        <v>17</v>
      </c>
      <c r="C10" s="25" t="s">
        <v>16</v>
      </c>
      <c r="D10" s="27" t="s">
        <v>18</v>
      </c>
      <c r="E10" s="25" t="s">
        <v>16</v>
      </c>
      <c r="F10" s="26" t="s">
        <v>17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>
        <v>23.36</v>
      </c>
      <c r="C14" s="30">
        <v>29.2</v>
      </c>
      <c r="D14" s="30">
        <v>23.25</v>
      </c>
      <c r="E14" s="32">
        <v>29.2</v>
      </c>
      <c r="F14" s="32">
        <v>23.36</v>
      </c>
    </row>
    <row r="15" spans="1:12" x14ac:dyDescent="0.25">
      <c r="A15" s="37" t="s">
        <v>23</v>
      </c>
      <c r="B15" s="31">
        <v>21.198699999999999</v>
      </c>
      <c r="C15" s="31">
        <v>26.775300000000001</v>
      </c>
      <c r="D15" s="31">
        <v>21.088699999999999</v>
      </c>
      <c r="E15" s="33">
        <v>26.775300000000001</v>
      </c>
      <c r="F15" s="33">
        <f>+B15</f>
        <v>21.198699999999999</v>
      </c>
    </row>
    <row r="16" spans="1:12" x14ac:dyDescent="0.25">
      <c r="A16" s="89" t="s">
        <v>24</v>
      </c>
      <c r="B16" s="124">
        <f>+B14-B15</f>
        <v>2.1613000000000007</v>
      </c>
      <c r="C16" s="124">
        <f>+C14-C15</f>
        <v>2.4246999999999979</v>
      </c>
      <c r="D16" s="124">
        <f>+D14-D15</f>
        <v>2.1613000000000007</v>
      </c>
      <c r="E16" s="124">
        <f>+E14-E15</f>
        <v>2.4246999999999979</v>
      </c>
      <c r="F16" s="124">
        <f>+F14-F15</f>
        <v>2.1613000000000007</v>
      </c>
    </row>
    <row r="17" spans="1:6" x14ac:dyDescent="0.25">
      <c r="A17" s="128" t="s">
        <v>25</v>
      </c>
      <c r="B17" s="129">
        <f>+B16/B14</f>
        <v>9.2521404109589075E-2</v>
      </c>
      <c r="C17" s="129">
        <f>+C16/C14</f>
        <v>8.3037671232876642E-2</v>
      </c>
      <c r="D17" s="129">
        <f>+D16/D14</f>
        <v>9.2959139784946271E-2</v>
      </c>
      <c r="E17" s="129">
        <f>+E16/E14</f>
        <v>8.3037671232876642E-2</v>
      </c>
      <c r="F17" s="129">
        <f>+F16/F14</f>
        <v>9.2521404109589075E-2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G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ref="H59" si="10">SUM(H57:H58)</f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G65" si="11">+C63-C64</f>
        <v>0</v>
      </c>
      <c r="D65" s="79">
        <f t="shared" si="11"/>
        <v>0</v>
      </c>
      <c r="E65" s="79">
        <f t="shared" si="11"/>
        <v>0</v>
      </c>
      <c r="F65" s="79">
        <f t="shared" si="11"/>
        <v>0</v>
      </c>
      <c r="G65" s="80">
        <f t="shared" si="11"/>
        <v>0</v>
      </c>
      <c r="H65" s="44">
        <f t="shared" ref="H65" si="12">+H63-H64</f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3">SUM(C69:C70)</f>
        <v>0</v>
      </c>
      <c r="D68" s="64">
        <f t="shared" si="13"/>
        <v>0</v>
      </c>
      <c r="E68" s="64">
        <f t="shared" si="13"/>
        <v>0</v>
      </c>
      <c r="F68" s="64">
        <f t="shared" si="13"/>
        <v>0</v>
      </c>
      <c r="G68" s="65">
        <f t="shared" si="13"/>
        <v>0</v>
      </c>
      <c r="H68" s="29">
        <f t="shared" si="13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4">SUM(C74:C79)</f>
        <v>0</v>
      </c>
      <c r="D73" s="64">
        <f t="shared" si="14"/>
        <v>0</v>
      </c>
      <c r="E73" s="64">
        <f t="shared" si="14"/>
        <v>0</v>
      </c>
      <c r="F73" s="64">
        <f t="shared" si="14"/>
        <v>0</v>
      </c>
      <c r="G73" s="65">
        <f t="shared" si="14"/>
        <v>0</v>
      </c>
      <c r="H73" s="29">
        <f t="shared" si="14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5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5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5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5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5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5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6">SUM(C83:C98)</f>
        <v>0</v>
      </c>
      <c r="D82" s="64">
        <f t="shared" si="16"/>
        <v>0</v>
      </c>
      <c r="E82" s="64">
        <f t="shared" si="16"/>
        <v>0</v>
      </c>
      <c r="F82" s="64">
        <f t="shared" si="16"/>
        <v>0</v>
      </c>
      <c r="G82" s="65">
        <f t="shared" si="16"/>
        <v>0</v>
      </c>
      <c r="H82" s="29">
        <f t="shared" si="16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7">SUM(B83:G83)</f>
        <v>0</v>
      </c>
    </row>
    <row r="84" spans="1:8" x14ac:dyDescent="0.25">
      <c r="A84" s="36" t="s">
        <v>112</v>
      </c>
      <c r="B84" s="74">
        <f t="shared" ref="B84:G84" si="18">+B101</f>
        <v>0</v>
      </c>
      <c r="C84" s="75">
        <f t="shared" si="18"/>
        <v>0</v>
      </c>
      <c r="D84" s="75">
        <f t="shared" si="18"/>
        <v>0</v>
      </c>
      <c r="E84" s="75">
        <f t="shared" si="18"/>
        <v>0</v>
      </c>
      <c r="F84" s="75">
        <f t="shared" si="18"/>
        <v>0</v>
      </c>
      <c r="G84" s="76">
        <f t="shared" si="18"/>
        <v>0</v>
      </c>
      <c r="H84" s="81">
        <f t="shared" si="17"/>
        <v>0</v>
      </c>
    </row>
    <row r="85" spans="1:8" x14ac:dyDescent="0.25">
      <c r="A85" s="36" t="s">
        <v>113</v>
      </c>
      <c r="B85" s="74">
        <f t="shared" ref="B85:G85" si="19">+B135</f>
        <v>0</v>
      </c>
      <c r="C85" s="75">
        <f t="shared" si="19"/>
        <v>0</v>
      </c>
      <c r="D85" s="75">
        <f t="shared" si="19"/>
        <v>0</v>
      </c>
      <c r="E85" s="75">
        <f t="shared" si="19"/>
        <v>0</v>
      </c>
      <c r="F85" s="75">
        <f t="shared" si="19"/>
        <v>0</v>
      </c>
      <c r="G85" s="76">
        <f t="shared" si="19"/>
        <v>0</v>
      </c>
      <c r="H85" s="81">
        <f t="shared" si="17"/>
        <v>0</v>
      </c>
    </row>
    <row r="86" spans="1:8" x14ac:dyDescent="0.25">
      <c r="A86" s="36" t="s">
        <v>63</v>
      </c>
      <c r="B86" s="69"/>
      <c r="G86" s="70"/>
      <c r="H86" s="81">
        <f t="shared" si="17"/>
        <v>0</v>
      </c>
    </row>
    <row r="87" spans="1:8" x14ac:dyDescent="0.25">
      <c r="A87" s="36" t="s">
        <v>67</v>
      </c>
      <c r="B87" s="69"/>
      <c r="G87" s="70"/>
      <c r="H87" s="81">
        <f t="shared" si="17"/>
        <v>0</v>
      </c>
    </row>
    <row r="88" spans="1:8" x14ac:dyDescent="0.25">
      <c r="A88" s="36" t="s">
        <v>67</v>
      </c>
      <c r="B88" s="69"/>
      <c r="G88" s="70"/>
      <c r="H88" s="81">
        <f t="shared" si="17"/>
        <v>0</v>
      </c>
    </row>
    <row r="89" spans="1:8" x14ac:dyDescent="0.25">
      <c r="A89" s="36" t="s">
        <v>67</v>
      </c>
      <c r="B89" s="69"/>
      <c r="G89" s="70"/>
      <c r="H89" s="81">
        <f t="shared" si="17"/>
        <v>0</v>
      </c>
    </row>
    <row r="90" spans="1:8" x14ac:dyDescent="0.25">
      <c r="A90" s="36" t="s">
        <v>66</v>
      </c>
      <c r="B90" s="69"/>
      <c r="G90" s="70"/>
      <c r="H90" s="81">
        <f t="shared" si="17"/>
        <v>0</v>
      </c>
    </row>
    <row r="91" spans="1:8" x14ac:dyDescent="0.25">
      <c r="A91" s="36" t="s">
        <v>66</v>
      </c>
      <c r="B91" s="69"/>
      <c r="G91" s="70"/>
      <c r="H91" s="81">
        <f t="shared" si="17"/>
        <v>0</v>
      </c>
    </row>
    <row r="92" spans="1:8" x14ac:dyDescent="0.25">
      <c r="A92" s="36" t="s">
        <v>66</v>
      </c>
      <c r="B92" s="69"/>
      <c r="G92" s="70"/>
      <c r="H92" s="81">
        <f t="shared" si="17"/>
        <v>0</v>
      </c>
    </row>
    <row r="93" spans="1:8" x14ac:dyDescent="0.25">
      <c r="A93" s="36" t="s">
        <v>65</v>
      </c>
      <c r="B93" s="69"/>
      <c r="G93" s="70"/>
      <c r="H93" s="81">
        <f t="shared" si="17"/>
        <v>0</v>
      </c>
    </row>
    <row r="94" spans="1:8" x14ac:dyDescent="0.25">
      <c r="A94" s="36" t="s">
        <v>64</v>
      </c>
      <c r="B94" s="69"/>
      <c r="G94" s="70"/>
      <c r="H94" s="81">
        <f t="shared" si="17"/>
        <v>0</v>
      </c>
    </row>
    <row r="95" spans="1:8" x14ac:dyDescent="0.25">
      <c r="A95" s="36" t="s">
        <v>58</v>
      </c>
      <c r="B95" s="69"/>
      <c r="G95" s="70"/>
      <c r="H95" s="81">
        <f t="shared" si="17"/>
        <v>0</v>
      </c>
    </row>
    <row r="96" spans="1:8" x14ac:dyDescent="0.25">
      <c r="A96" s="36" t="s">
        <v>60</v>
      </c>
      <c r="B96" s="69"/>
      <c r="G96" s="70"/>
      <c r="H96" s="81">
        <f t="shared" si="17"/>
        <v>0</v>
      </c>
    </row>
    <row r="97" spans="1:8" x14ac:dyDescent="0.25">
      <c r="A97" s="36" t="s">
        <v>59</v>
      </c>
      <c r="B97" s="69"/>
      <c r="G97" s="70"/>
      <c r="H97" s="81">
        <f t="shared" si="17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7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20">SUM(C102:C132)</f>
        <v>0</v>
      </c>
      <c r="D101" s="64">
        <f t="shared" si="20"/>
        <v>0</v>
      </c>
      <c r="E101" s="64">
        <f t="shared" si="20"/>
        <v>0</v>
      </c>
      <c r="F101" s="64">
        <f t="shared" si="20"/>
        <v>0</v>
      </c>
      <c r="G101" s="65">
        <f t="shared" si="20"/>
        <v>0</v>
      </c>
      <c r="H101" s="29">
        <f t="shared" si="20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21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21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31" si="22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2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2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2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2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2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2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2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2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2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2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2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2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2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2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2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2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2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22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22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22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22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22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22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22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22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22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22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21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3">SUM(C136:C145)</f>
        <v>0</v>
      </c>
      <c r="D135" s="64">
        <f t="shared" si="23"/>
        <v>0</v>
      </c>
      <c r="E135" s="64">
        <f t="shared" si="23"/>
        <v>0</v>
      </c>
      <c r="F135" s="64">
        <f t="shared" si="23"/>
        <v>0</v>
      </c>
      <c r="G135" s="65">
        <f t="shared" si="23"/>
        <v>0</v>
      </c>
      <c r="H135" s="29">
        <f t="shared" si="23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4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4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4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4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4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4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4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4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4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4"/>
        <v>0</v>
      </c>
    </row>
  </sheetData>
  <sortState xmlns:xlrd2="http://schemas.microsoft.com/office/spreadsheetml/2017/richdata2" ref="A57:A58">
    <sortCondition ref="A57:A58"/>
  </sortState>
  <mergeCells count="1">
    <mergeCell ref="I8:L8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BE67-A0DE-453A-AB12-72DA71F1F1F0}">
  <dimension ref="A1:AG145"/>
  <sheetViews>
    <sheetView workbookViewId="0">
      <selection activeCell="B6" sqref="B6"/>
    </sheetView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+Input!B10</f>
        <v>Friday</v>
      </c>
      <c r="C6" s="41">
        <f>+Input!C10</f>
        <v>46143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17</v>
      </c>
      <c r="C10" s="25" t="s">
        <v>16</v>
      </c>
      <c r="D10" s="27" t="s">
        <v>18</v>
      </c>
      <c r="E10" s="25" t="s">
        <v>16</v>
      </c>
      <c r="F10" s="25" t="s">
        <v>17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  <c r="G11" s="29">
        <f>SUM(B11:F11)</f>
        <v>0</v>
      </c>
    </row>
    <row r="12" spans="1:12" x14ac:dyDescent="0.25">
      <c r="A12" s="39" t="s">
        <v>19</v>
      </c>
      <c r="B12" s="22">
        <v>1659.39</v>
      </c>
      <c r="C12" s="22">
        <v>1920.7</v>
      </c>
      <c r="D12" s="22">
        <v>40.06</v>
      </c>
      <c r="E12" s="22"/>
      <c r="F12" s="22"/>
      <c r="G12" s="29">
        <f t="shared" ref="G12:G13" si="0">SUM(B12:F12)</f>
        <v>3620.15</v>
      </c>
      <c r="I12" s="126">
        <f>+B12+F12</f>
        <v>1659.39</v>
      </c>
      <c r="J12" s="126">
        <f>+C12+E12</f>
        <v>1920.7</v>
      </c>
      <c r="K12" s="126">
        <f>+D12</f>
        <v>40.06</v>
      </c>
      <c r="L12" s="126">
        <f>SUM(I12:K12)</f>
        <v>3620.15</v>
      </c>
    </row>
    <row r="13" spans="1:12" x14ac:dyDescent="0.25">
      <c r="A13" s="39" t="s">
        <v>21</v>
      </c>
      <c r="B13" s="22">
        <v>10411</v>
      </c>
      <c r="C13" s="22">
        <v>4101</v>
      </c>
      <c r="D13" s="22">
        <v>2361</v>
      </c>
      <c r="E13" s="22">
        <v>4146</v>
      </c>
      <c r="F13" s="22">
        <v>10341</v>
      </c>
      <c r="G13" s="29">
        <f t="shared" si="0"/>
        <v>31360</v>
      </c>
      <c r="I13" s="129">
        <f>+I12/L12</f>
        <v>0.45837603414223171</v>
      </c>
      <c r="J13" s="129">
        <f>+J12/L12</f>
        <v>0.53055812604450092</v>
      </c>
      <c r="K13" s="129">
        <f>+K12/L12</f>
        <v>1.1065839813267406E-2</v>
      </c>
      <c r="L13" s="129">
        <f>SUM(I13:K13)</f>
        <v>1</v>
      </c>
    </row>
    <row r="14" spans="1:12" x14ac:dyDescent="0.25">
      <c r="A14" s="35" t="s">
        <v>22</v>
      </c>
      <c r="B14" s="30">
        <v>23.36</v>
      </c>
      <c r="C14" s="30">
        <v>29.2</v>
      </c>
      <c r="D14" s="30">
        <v>23.25</v>
      </c>
      <c r="E14" s="32">
        <v>29.2</v>
      </c>
      <c r="F14" s="32">
        <v>23.36</v>
      </c>
    </row>
    <row r="15" spans="1:12" x14ac:dyDescent="0.25">
      <c r="A15" s="37" t="s">
        <v>23</v>
      </c>
      <c r="B15" s="31">
        <v>21.198699999999999</v>
      </c>
      <c r="C15" s="31">
        <v>26.775300000000001</v>
      </c>
      <c r="D15" s="31">
        <v>21.088699999999999</v>
      </c>
      <c r="E15" s="33">
        <v>26.775300000000001</v>
      </c>
      <c r="F15" s="33">
        <f>+B15</f>
        <v>21.198699999999999</v>
      </c>
    </row>
    <row r="16" spans="1:12" x14ac:dyDescent="0.25">
      <c r="A16" s="89" t="s">
        <v>24</v>
      </c>
      <c r="B16" s="124">
        <f>+B14-B15</f>
        <v>2.1613000000000007</v>
      </c>
      <c r="C16" s="124">
        <f>+C14-C15</f>
        <v>2.4246999999999979</v>
      </c>
      <c r="D16" s="124">
        <f>+D14-D15</f>
        <v>2.1613000000000007</v>
      </c>
      <c r="E16" s="124">
        <f>+E14-E15</f>
        <v>2.4246999999999979</v>
      </c>
      <c r="F16" s="124">
        <f>+F14-F15</f>
        <v>2.1613000000000007</v>
      </c>
    </row>
    <row r="17" spans="1:6" x14ac:dyDescent="0.25">
      <c r="A17" s="128" t="s">
        <v>25</v>
      </c>
      <c r="B17" s="129">
        <f>+B16/B14</f>
        <v>9.2521404109589075E-2</v>
      </c>
      <c r="C17" s="129">
        <f>+C16/C14</f>
        <v>8.3037671232876642E-2</v>
      </c>
      <c r="D17" s="129">
        <f>+D16/D14</f>
        <v>9.2959139784946271E-2</v>
      </c>
      <c r="E17" s="129">
        <f>+E16/E14</f>
        <v>8.3037671232876642E-2</v>
      </c>
      <c r="F17" s="129">
        <f>+F16/F14</f>
        <v>9.2521404109589075E-2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>
        <v>32878</v>
      </c>
      <c r="C44" s="55"/>
      <c r="D44" s="55"/>
      <c r="E44" s="55"/>
      <c r="F44" s="55"/>
      <c r="G44" s="56"/>
      <c r="H44" s="66">
        <f>SUM(B44:G44)</f>
        <v>32878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32878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32878</v>
      </c>
      <c r="I46" s="134">
        <f>+B23-H46</f>
        <v>-32878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32878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32878</v>
      </c>
    </row>
    <row r="50" spans="1:8" x14ac:dyDescent="0.25">
      <c r="A50" s="36" t="s">
        <v>74</v>
      </c>
      <c r="B50" s="74">
        <v>0</v>
      </c>
      <c r="C50" s="75">
        <f t="shared" ref="C50:G50" si="4">+C56+C63+C68</f>
        <v>1000</v>
      </c>
      <c r="D50" s="75">
        <f t="shared" si="4"/>
        <v>1000</v>
      </c>
      <c r="E50" s="75">
        <f t="shared" si="4"/>
        <v>1000</v>
      </c>
      <c r="F50" s="75">
        <f t="shared" si="4"/>
        <v>1000</v>
      </c>
      <c r="G50" s="76">
        <f t="shared" si="4"/>
        <v>1000</v>
      </c>
      <c r="H50" s="81">
        <f>SUM(B50:G50)</f>
        <v>5000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v>328.04</v>
      </c>
      <c r="C52" s="79">
        <f t="shared" ref="C52:G52" si="6">-C82</f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328.04</v>
      </c>
    </row>
    <row r="53" spans="1:8" x14ac:dyDescent="0.25">
      <c r="A53" s="130" t="s">
        <v>182</v>
      </c>
      <c r="B53" s="131">
        <f t="shared" ref="B53:H53" si="7">+B49-B50-B51+B52</f>
        <v>33206.04</v>
      </c>
      <c r="C53" s="132">
        <f t="shared" si="7"/>
        <v>-1000</v>
      </c>
      <c r="D53" s="132">
        <f t="shared" si="7"/>
        <v>-1000</v>
      </c>
      <c r="E53" s="132">
        <f t="shared" si="7"/>
        <v>-1000</v>
      </c>
      <c r="F53" s="132">
        <f t="shared" si="7"/>
        <v>-1000</v>
      </c>
      <c r="G53" s="133">
        <f t="shared" si="7"/>
        <v>-1000</v>
      </c>
      <c r="H53" s="126">
        <f t="shared" si="7"/>
        <v>28206.04</v>
      </c>
    </row>
    <row r="56" spans="1:8" x14ac:dyDescent="0.25">
      <c r="A56" s="91" t="s">
        <v>46</v>
      </c>
      <c r="B56" s="63">
        <f>+B59+B60</f>
        <v>11.5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11.5</v>
      </c>
    </row>
    <row r="57" spans="1:8" x14ac:dyDescent="0.25">
      <c r="A57" s="87" t="s">
        <v>117</v>
      </c>
      <c r="B57" s="68">
        <v>11.5</v>
      </c>
      <c r="C57" s="55"/>
      <c r="D57" s="55"/>
      <c r="E57" s="55"/>
      <c r="F57" s="55"/>
      <c r="G57" s="56"/>
      <c r="H57" s="66">
        <f>SUM(B57:G57)</f>
        <v>11.5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11.5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11.5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>
        <v>14855.45</v>
      </c>
      <c r="C63" s="61">
        <v>1000</v>
      </c>
      <c r="D63" s="61">
        <v>1000</v>
      </c>
      <c r="E63" s="61">
        <v>1000</v>
      </c>
      <c r="F63" s="61">
        <v>1000</v>
      </c>
      <c r="G63" s="62">
        <v>1000</v>
      </c>
      <c r="H63" s="29">
        <f>SUM(B63:G63)</f>
        <v>19855.45</v>
      </c>
    </row>
    <row r="64" spans="1:8" x14ac:dyDescent="0.25">
      <c r="A64" s="35" t="s">
        <v>44</v>
      </c>
      <c r="B64" s="68">
        <v>60154.400000000001</v>
      </c>
      <c r="C64" s="55"/>
      <c r="D64" s="55"/>
      <c r="E64" s="55"/>
      <c r="F64" s="55"/>
      <c r="G64" s="56"/>
      <c r="H64" s="66">
        <f>SUM(B64:G64)</f>
        <v>60154.400000000001</v>
      </c>
    </row>
    <row r="65" spans="1:15" x14ac:dyDescent="0.25">
      <c r="A65" s="37" t="s">
        <v>45</v>
      </c>
      <c r="B65" s="78">
        <f>+B63-B64</f>
        <v>-45298.95</v>
      </c>
      <c r="C65" s="79">
        <f t="shared" ref="C65:H65" si="10">+C63-C64</f>
        <v>1000</v>
      </c>
      <c r="D65" s="79">
        <f t="shared" si="10"/>
        <v>1000</v>
      </c>
      <c r="E65" s="79">
        <f t="shared" si="10"/>
        <v>1000</v>
      </c>
      <c r="F65" s="79">
        <f t="shared" si="10"/>
        <v>1000</v>
      </c>
      <c r="G65" s="80">
        <f t="shared" si="10"/>
        <v>1000</v>
      </c>
      <c r="H65" s="44">
        <f t="shared" si="10"/>
        <v>-40298.949999999997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A107-42DA-4974-87D5-CC182A11BF66}">
  <dimension ref="A1:AG145"/>
  <sheetViews>
    <sheetView workbookViewId="0">
      <selection activeCell="A127" sqref="A127"/>
    </sheetView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+Input!B11</f>
        <v>Saturday</v>
      </c>
      <c r="C6" s="41">
        <f>+Input!C11</f>
        <v>46144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B76F-855C-46AC-8901-D7560285596E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+Input!B12</f>
        <v>Sunday</v>
      </c>
      <c r="C6" s="41">
        <f>+Input!C12</f>
        <v>46145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8E25-C5DE-43DC-9AF8-8FA1B9D2E789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+Input!B13</f>
        <v>Monday</v>
      </c>
      <c r="C6" s="41">
        <f>+Input!C13</f>
        <v>46146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6003-9E30-443F-BD49-AF2F505845E3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+Input!B14</f>
        <v>Tuesday</v>
      </c>
      <c r="C6" s="41">
        <f>+Input!C14</f>
        <v>46147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70A2-C717-421F-A5B3-F2EA18161D42}">
  <dimension ref="A1:AG145"/>
  <sheetViews>
    <sheetView workbookViewId="0">
      <selection activeCell="A4" sqref="A4:L19"/>
    </sheetView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">
        <v>246</v>
      </c>
      <c r="C6" s="41">
        <v>46148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8CF2-4040-4603-9D1A-0AFAA14EA0D5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+Input!B16</f>
        <v>Thursday</v>
      </c>
      <c r="C6" s="41">
        <f>+Input!C11</f>
        <v>46144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BABF-F9E8-4968-B107-37ABF7894C76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+Input!B17</f>
        <v>Friday</v>
      </c>
      <c r="C6" s="41">
        <f>+Input!C17</f>
        <v>46150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0371-6DF7-4A5D-B9FE-DCAC231D0FFE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+Input!B18</f>
        <v>Saturday</v>
      </c>
      <c r="C6" s="41">
        <f>+Input!C18</f>
        <v>46151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18E7-BF15-4A33-9F73-7E89332D7539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+Input!B19</f>
        <v>Sunday</v>
      </c>
      <c r="C6" s="41">
        <f>+Input!C19</f>
        <v>46152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C0CE-39C0-40F3-AE8D-BD549A40EF48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+Input!B20</f>
        <v>Monday</v>
      </c>
      <c r="C6" s="41">
        <f>+Input!C20</f>
        <v>46153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A9DD-F017-4C25-B046-2A0B35CB51C1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+Input!B21</f>
        <v>Tuesday</v>
      </c>
      <c r="C6" s="41">
        <f>+Input!C21</f>
        <v>46154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1F98-1D61-4198-95CB-71AAF6F0DA49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+Input!B22</f>
        <v>Wednesday</v>
      </c>
      <c r="C6" s="41">
        <f>+Input!C22</f>
        <v>46155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8C0C-3AB5-40D1-81D2-930BE5C9B127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+Input!B23</f>
        <v>Thursday</v>
      </c>
      <c r="C6" s="41">
        <f>+Input!C23</f>
        <v>46156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7D4-828D-4632-B3FB-7090BD5E0CAE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+Input!B24</f>
        <v>Friday</v>
      </c>
      <c r="C6" s="41">
        <f>+Input!C24</f>
        <v>46157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18A1-2C9C-4D19-B29E-E0328B9AF6EC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+Input!B25</f>
        <v>Saturday</v>
      </c>
      <c r="C6" s="41">
        <f>+Input!C25</f>
        <v>46158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0643-DE3B-4C5B-B672-9BB6ED4415A5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+Input!B26</f>
        <v>Sunday</v>
      </c>
      <c r="C6" s="41">
        <f>+Input!C26</f>
        <v>46159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C560-91AB-4ED9-B1AB-0847C4A60D2D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+Input!B27</f>
        <v>Monday</v>
      </c>
      <c r="C6" s="41">
        <f>+Input!C27</f>
        <v>46160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E053-886C-4E71-A480-38B2261A093C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+Input!B28</f>
        <v>Tuesday</v>
      </c>
      <c r="C6" s="41">
        <f>+Input!C28</f>
        <v>46161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A0CE-C52F-455E-AF32-77BF09E8F6D5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+Input!B29</f>
        <v>Wednesday</v>
      </c>
      <c r="C6" s="41">
        <f>+Input!C29</f>
        <v>46162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5B91-E863-43AF-BB12-93A984CE8211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+Input!B30</f>
        <v>Thursday</v>
      </c>
      <c r="C6" s="41">
        <f>+Input!C30</f>
        <v>46163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42D4-D54B-451F-8195-A6E918C7FBC8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+Input!B31</f>
        <v>Friday</v>
      </c>
      <c r="C6" s="41">
        <f>+Input!C31</f>
        <v>46164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C1F4-2742-48C1-A1F5-6C5BD7DB6662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+Input!B32</f>
        <v>Saturday</v>
      </c>
      <c r="C6" s="41">
        <f>+Input!C32</f>
        <v>46165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BCFF-C702-45A9-AF7D-1F8A4A22BFF2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+Input!B33</f>
        <v>Sunday</v>
      </c>
      <c r="C6" s="103">
        <f>+Input!C33</f>
        <v>46166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17F0-98C9-45A0-A570-6C2A53163629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+Input!B34</f>
        <v>Monday</v>
      </c>
      <c r="C6" s="41">
        <f>+Input!C34</f>
        <v>46167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1EA2-B8A0-43ED-A1CB-35A2847FA7A3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+Input!B35</f>
        <v>Tuesday</v>
      </c>
      <c r="C6" s="41">
        <f>+Input!C35</f>
        <v>46168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693A-A93B-42D4-BC4E-93685CB30395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+Input!B36</f>
        <v>Wednesday</v>
      </c>
      <c r="C6" s="41">
        <f>+Input!C36</f>
        <v>46169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4FEA-F49D-4C29-A211-F96522BDB11F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+Input!B37</f>
        <v>Thursday</v>
      </c>
      <c r="C6" s="41">
        <f>+Input!C37</f>
        <v>46170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6B5E-7D92-4234-A136-4673BC10C8F8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+Input!B38</f>
        <v>Friday</v>
      </c>
      <c r="C6" s="41">
        <f>+Input!C38</f>
        <v>46171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9551-C70E-4E1E-A2C0-91784914603C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+Input!B39</f>
        <v>Saturday</v>
      </c>
      <c r="C6" s="41">
        <f>+Input!C39</f>
        <v>46172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FD80-1997-4B66-892E-9DE13AF4581A}">
  <dimension ref="A1:AG145"/>
  <sheetViews>
    <sheetView workbookViewId="0"/>
  </sheetViews>
  <sheetFormatPr defaultRowHeight="15" x14ac:dyDescent="0.25"/>
  <cols>
    <col min="1" max="1" width="37.85546875" customWidth="1"/>
    <col min="2" max="33" width="10.7109375" style="5" customWidth="1"/>
  </cols>
  <sheetData>
    <row r="1" spans="1:12" ht="26.25" x14ac:dyDescent="0.4">
      <c r="A1" s="9" t="str">
        <f>+Input!B2</f>
        <v>ENGEN JETPARK</v>
      </c>
    </row>
    <row r="3" spans="1:12" ht="24" x14ac:dyDescent="0.4">
      <c r="A3" s="10" t="s">
        <v>171</v>
      </c>
    </row>
    <row r="4" spans="1:12" ht="15.75" thickBot="1" x14ac:dyDescent="0.3"/>
    <row r="5" spans="1:12" ht="15.75" thickBot="1" x14ac:dyDescent="0.3">
      <c r="B5" s="15" t="s">
        <v>8</v>
      </c>
      <c r="C5" s="16" t="s">
        <v>7</v>
      </c>
    </row>
    <row r="6" spans="1:12" x14ac:dyDescent="0.25">
      <c r="A6" s="40" t="s">
        <v>180</v>
      </c>
      <c r="B6" s="24" t="str">
        <f>+Input!B40</f>
        <v>Sunday</v>
      </c>
      <c r="C6" s="41">
        <f>+Input!C40</f>
        <v>46173</v>
      </c>
    </row>
    <row r="7" spans="1:12" ht="15.75" thickBot="1" x14ac:dyDescent="0.3"/>
    <row r="8" spans="1:12" ht="15.75" thickBot="1" x14ac:dyDescent="0.3">
      <c r="I8" s="263" t="s">
        <v>72</v>
      </c>
      <c r="J8" s="264"/>
      <c r="K8" s="264"/>
      <c r="L8" s="265"/>
    </row>
    <row r="9" spans="1:12" ht="15.75" thickBot="1" x14ac:dyDescent="0.3">
      <c r="B9" s="46" t="s">
        <v>175</v>
      </c>
      <c r="C9" s="17" t="s">
        <v>176</v>
      </c>
      <c r="D9" s="47" t="s">
        <v>177</v>
      </c>
      <c r="E9" s="17" t="s">
        <v>178</v>
      </c>
      <c r="F9" s="46" t="s">
        <v>179</v>
      </c>
      <c r="G9" s="28" t="s">
        <v>68</v>
      </c>
      <c r="H9" s="6"/>
      <c r="I9" s="46" t="s">
        <v>16</v>
      </c>
      <c r="J9" s="17" t="s">
        <v>185</v>
      </c>
      <c r="K9" s="47" t="s">
        <v>186</v>
      </c>
      <c r="L9" s="28" t="s">
        <v>68</v>
      </c>
    </row>
    <row r="10" spans="1:12" x14ac:dyDescent="0.25">
      <c r="A10" s="40" t="s">
        <v>27</v>
      </c>
      <c r="B10" s="25" t="s">
        <v>16</v>
      </c>
      <c r="C10" s="26" t="s">
        <v>17</v>
      </c>
      <c r="D10" s="27" t="s">
        <v>18</v>
      </c>
      <c r="E10" s="26" t="s">
        <v>17</v>
      </c>
      <c r="F10" s="25" t="s">
        <v>16</v>
      </c>
      <c r="H10" s="6"/>
      <c r="I10" s="6"/>
      <c r="J10" s="6"/>
      <c r="K10" s="6"/>
      <c r="L10" s="6"/>
    </row>
    <row r="11" spans="1:12" x14ac:dyDescent="0.25">
      <c r="A11" s="39" t="s">
        <v>20</v>
      </c>
      <c r="B11" s="22"/>
      <c r="C11" s="22"/>
      <c r="D11" s="22"/>
      <c r="E11" s="22"/>
      <c r="F11" s="22"/>
      <c r="G11" s="29">
        <f>SUM(B11:F11)</f>
        <v>0</v>
      </c>
    </row>
    <row r="12" spans="1:12" x14ac:dyDescent="0.25">
      <c r="A12" s="39" t="s">
        <v>19</v>
      </c>
      <c r="B12" s="22"/>
      <c r="C12" s="22"/>
      <c r="D12" s="22"/>
      <c r="E12" s="22"/>
      <c r="F12" s="22"/>
      <c r="G12" s="29">
        <f t="shared" ref="G12:G13" si="0">SUM(B12:F12)</f>
        <v>0</v>
      </c>
      <c r="I12" s="126">
        <f>+B12+F12</f>
        <v>0</v>
      </c>
      <c r="J12" s="126">
        <f>+C12+E12</f>
        <v>0</v>
      </c>
      <c r="K12" s="126">
        <f>+D12</f>
        <v>0</v>
      </c>
      <c r="L12" s="126">
        <f>SUM(I12:K12)</f>
        <v>0</v>
      </c>
    </row>
    <row r="13" spans="1:12" x14ac:dyDescent="0.25">
      <c r="A13" s="39" t="s">
        <v>21</v>
      </c>
      <c r="B13" s="22"/>
      <c r="C13" s="22"/>
      <c r="D13" s="22"/>
      <c r="E13" s="22"/>
      <c r="F13" s="22"/>
      <c r="G13" s="29">
        <f t="shared" si="0"/>
        <v>0</v>
      </c>
      <c r="I13" s="129" t="e">
        <f>+I12/L12</f>
        <v>#DIV/0!</v>
      </c>
      <c r="J13" s="129" t="e">
        <f>+J12/L12</f>
        <v>#DIV/0!</v>
      </c>
      <c r="K13" s="129" t="e">
        <f>+K12/L12</f>
        <v>#DIV/0!</v>
      </c>
      <c r="L13" s="129" t="e">
        <f>SUM(I13:K13)</f>
        <v>#DIV/0!</v>
      </c>
    </row>
    <row r="14" spans="1:12" x14ac:dyDescent="0.25">
      <c r="A14" s="35" t="s">
        <v>22</v>
      </c>
      <c r="B14" s="30"/>
      <c r="C14" s="30"/>
      <c r="D14" s="30"/>
      <c r="E14" s="32">
        <f>+C14</f>
        <v>0</v>
      </c>
      <c r="F14" s="32">
        <f>+B14</f>
        <v>0</v>
      </c>
    </row>
    <row r="15" spans="1:12" x14ac:dyDescent="0.25">
      <c r="A15" s="37" t="s">
        <v>23</v>
      </c>
      <c r="B15" s="31"/>
      <c r="C15" s="31"/>
      <c r="D15" s="31"/>
      <c r="E15" s="33">
        <f>+C15</f>
        <v>0</v>
      </c>
      <c r="F15" s="33">
        <f>+B15</f>
        <v>0</v>
      </c>
    </row>
    <row r="16" spans="1:12" x14ac:dyDescent="0.25">
      <c r="A16" s="89" t="s">
        <v>24</v>
      </c>
      <c r="B16" s="124">
        <f>+B14-B15</f>
        <v>0</v>
      </c>
      <c r="C16" s="124">
        <f>+C14-C15</f>
        <v>0</v>
      </c>
      <c r="D16" s="124">
        <f>+D14-D15</f>
        <v>0</v>
      </c>
      <c r="E16" s="124">
        <f>+E14-E15</f>
        <v>0</v>
      </c>
      <c r="F16" s="124">
        <f>+F14-F15</f>
        <v>0</v>
      </c>
    </row>
    <row r="17" spans="1:6" x14ac:dyDescent="0.25">
      <c r="A17" s="128" t="s">
        <v>25</v>
      </c>
      <c r="B17" s="129" t="e">
        <f>+B16/B14</f>
        <v>#DIV/0!</v>
      </c>
      <c r="C17" s="129" t="e">
        <f>+C16/C14</f>
        <v>#DIV/0!</v>
      </c>
      <c r="D17" s="129" t="e">
        <f>+D16/D14</f>
        <v>#DIV/0!</v>
      </c>
      <c r="E17" s="129" t="e">
        <f>+E16/E14</f>
        <v>#DIV/0!</v>
      </c>
      <c r="F17" s="129" t="e">
        <f>+F16/F14</f>
        <v>#DIV/0!</v>
      </c>
    </row>
    <row r="20" spans="1:6" x14ac:dyDescent="0.25">
      <c r="A20" s="40" t="s">
        <v>26</v>
      </c>
    </row>
    <row r="21" spans="1:6" x14ac:dyDescent="0.25">
      <c r="A21" s="42" t="s">
        <v>28</v>
      </c>
      <c r="B21" s="34"/>
    </row>
    <row r="22" spans="1:6" x14ac:dyDescent="0.25">
      <c r="A22" s="37" t="s">
        <v>70</v>
      </c>
      <c r="B22" s="31"/>
    </row>
    <row r="23" spans="1:6" x14ac:dyDescent="0.25">
      <c r="A23" s="89" t="s">
        <v>30</v>
      </c>
      <c r="B23" s="124">
        <f>SUM(B21:B22)</f>
        <v>0</v>
      </c>
    </row>
    <row r="26" spans="1:6" x14ac:dyDescent="0.25">
      <c r="A26" s="40" t="s">
        <v>31</v>
      </c>
      <c r="B26" s="124">
        <f>SUM(B27:B33)</f>
        <v>0</v>
      </c>
      <c r="C26" s="135" t="e">
        <f>SUM(C27:C33)</f>
        <v>#DIV/0!</v>
      </c>
    </row>
    <row r="27" spans="1:6" x14ac:dyDescent="0.25">
      <c r="A27" s="35" t="s">
        <v>32</v>
      </c>
      <c r="B27" s="30"/>
      <c r="C27" s="99" t="e">
        <f>+B27/$B$26</f>
        <v>#DIV/0!</v>
      </c>
    </row>
    <row r="28" spans="1:6" x14ac:dyDescent="0.25">
      <c r="A28" s="36" t="s">
        <v>33</v>
      </c>
      <c r="B28" s="43"/>
      <c r="C28" s="100" t="e">
        <f t="shared" ref="C28:C33" si="1">+B28/$B$26</f>
        <v>#DIV/0!</v>
      </c>
    </row>
    <row r="29" spans="1:6" x14ac:dyDescent="0.25">
      <c r="A29" s="36" t="s">
        <v>34</v>
      </c>
      <c r="B29" s="43"/>
      <c r="C29" s="100" t="e">
        <f t="shared" si="1"/>
        <v>#DIV/0!</v>
      </c>
    </row>
    <row r="30" spans="1:6" x14ac:dyDescent="0.25">
      <c r="A30" s="36" t="s">
        <v>35</v>
      </c>
      <c r="B30" s="43"/>
      <c r="C30" s="100" t="e">
        <f t="shared" si="1"/>
        <v>#DIV/0!</v>
      </c>
    </row>
    <row r="31" spans="1:6" x14ac:dyDescent="0.25">
      <c r="A31" s="36" t="s">
        <v>36</v>
      </c>
      <c r="B31" s="43"/>
      <c r="C31" s="100" t="e">
        <f t="shared" si="1"/>
        <v>#DIV/0!</v>
      </c>
    </row>
    <row r="32" spans="1:6" x14ac:dyDescent="0.25">
      <c r="A32" s="36" t="s">
        <v>37</v>
      </c>
      <c r="B32" s="43"/>
      <c r="C32" s="100" t="e">
        <f t="shared" si="1"/>
        <v>#DIV/0!</v>
      </c>
    </row>
    <row r="33" spans="1:10" x14ac:dyDescent="0.25">
      <c r="A33" s="37" t="s">
        <v>38</v>
      </c>
      <c r="B33" s="44">
        <f>+B23-B27-B28-B29-B30-B31-B32</f>
        <v>0</v>
      </c>
      <c r="C33" s="101" t="e">
        <f t="shared" si="1"/>
        <v>#DIV/0!</v>
      </c>
    </row>
    <row r="35" spans="1:10" x14ac:dyDescent="0.25">
      <c r="A35" s="40" t="s">
        <v>39</v>
      </c>
      <c r="B35" s="45">
        <f>+B23-B26</f>
        <v>0</v>
      </c>
      <c r="C35" s="4" t="s">
        <v>40</v>
      </c>
    </row>
    <row r="38" spans="1:10" x14ac:dyDescent="0.25">
      <c r="A38" s="40" t="s">
        <v>41</v>
      </c>
    </row>
    <row r="39" spans="1:10" ht="15.75" thickBot="1" x14ac:dyDescent="0.3"/>
    <row r="40" spans="1:10" ht="15.75" thickBot="1" x14ac:dyDescent="0.3">
      <c r="A40" s="98" t="s">
        <v>69</v>
      </c>
      <c r="B40" s="15" t="str">
        <f>+Input!B44</f>
        <v>Mandla</v>
      </c>
      <c r="C40" s="16" t="str">
        <f>+Input!C44</f>
        <v>Caroline</v>
      </c>
      <c r="D40" s="17" t="str">
        <f>+Input!D44</f>
        <v>Siyabonga</v>
      </c>
      <c r="E40" s="18" t="str">
        <f>+Input!E44</f>
        <v>Thumelo</v>
      </c>
      <c r="F40" s="19" t="str">
        <f>+Input!F44</f>
        <v>Cashier 5</v>
      </c>
      <c r="G40" s="20" t="str">
        <f>+Input!G44</f>
        <v>Cashier 6</v>
      </c>
      <c r="H40" s="49" t="s">
        <v>68</v>
      </c>
      <c r="I40" s="50" t="s">
        <v>71</v>
      </c>
    </row>
    <row r="41" spans="1:10" ht="15.75" thickBot="1" x14ac:dyDescent="0.3">
      <c r="A41" s="98" t="s">
        <v>42</v>
      </c>
      <c r="B41" s="102"/>
      <c r="C41" s="21"/>
      <c r="D41" s="21"/>
      <c r="E41" s="21"/>
      <c r="F41" s="21"/>
      <c r="G41" s="21"/>
    </row>
    <row r="43" spans="1:10" x14ac:dyDescent="0.25">
      <c r="A43" s="51" t="s">
        <v>26</v>
      </c>
    </row>
    <row r="44" spans="1:10" x14ac:dyDescent="0.25">
      <c r="A44" s="52" t="s">
        <v>28</v>
      </c>
      <c r="B44" s="54"/>
      <c r="C44" s="55"/>
      <c r="D44" s="55"/>
      <c r="E44" s="55"/>
      <c r="F44" s="55"/>
      <c r="G44" s="56"/>
      <c r="H44" s="66">
        <f>SUM(B44:G44)</f>
        <v>0</v>
      </c>
    </row>
    <row r="45" spans="1:10" x14ac:dyDescent="0.25">
      <c r="A45" s="53" t="s">
        <v>70</v>
      </c>
      <c r="B45" s="57"/>
      <c r="C45" s="58"/>
      <c r="D45" s="58"/>
      <c r="E45" s="58"/>
      <c r="F45" s="58"/>
      <c r="G45" s="59"/>
      <c r="H45" s="44">
        <f>SUM(B45:G45)</f>
        <v>0</v>
      </c>
    </row>
    <row r="46" spans="1:10" x14ac:dyDescent="0.25">
      <c r="A46" s="130" t="s">
        <v>30</v>
      </c>
      <c r="B46" s="131">
        <f>SUM(B44:B45)</f>
        <v>0</v>
      </c>
      <c r="C46" s="132">
        <f t="shared" ref="C46:H46" si="2">SUM(C44:C45)</f>
        <v>0</v>
      </c>
      <c r="D46" s="132">
        <f t="shared" si="2"/>
        <v>0</v>
      </c>
      <c r="E46" s="132">
        <f t="shared" si="2"/>
        <v>0</v>
      </c>
      <c r="F46" s="132">
        <f t="shared" si="2"/>
        <v>0</v>
      </c>
      <c r="G46" s="133">
        <f t="shared" si="2"/>
        <v>0</v>
      </c>
      <c r="H46" s="126">
        <f t="shared" si="2"/>
        <v>0</v>
      </c>
      <c r="I46" s="134">
        <f>+B23-H46</f>
        <v>0</v>
      </c>
      <c r="J46" s="7" t="s">
        <v>181</v>
      </c>
    </row>
    <row r="48" spans="1:10" x14ac:dyDescent="0.25">
      <c r="A48" s="67" t="s">
        <v>72</v>
      </c>
    </row>
    <row r="49" spans="1:8" x14ac:dyDescent="0.25">
      <c r="A49" s="35" t="s">
        <v>73</v>
      </c>
      <c r="B49" s="71">
        <f>+B46</f>
        <v>0</v>
      </c>
      <c r="C49" s="72">
        <f t="shared" ref="C49:G49" si="3">+C46</f>
        <v>0</v>
      </c>
      <c r="D49" s="72">
        <f t="shared" si="3"/>
        <v>0</v>
      </c>
      <c r="E49" s="72">
        <f t="shared" si="3"/>
        <v>0</v>
      </c>
      <c r="F49" s="72">
        <f t="shared" si="3"/>
        <v>0</v>
      </c>
      <c r="G49" s="73">
        <f t="shared" si="3"/>
        <v>0</v>
      </c>
      <c r="H49" s="66">
        <f>SUM(B49:G49)</f>
        <v>0</v>
      </c>
    </row>
    <row r="50" spans="1:8" x14ac:dyDescent="0.25">
      <c r="A50" s="36" t="s">
        <v>74</v>
      </c>
      <c r="B50" s="74">
        <f t="shared" ref="B50:G50" si="4">+B56+B63+B68</f>
        <v>0</v>
      </c>
      <c r="C50" s="75">
        <f t="shared" si="4"/>
        <v>0</v>
      </c>
      <c r="D50" s="75">
        <f t="shared" si="4"/>
        <v>0</v>
      </c>
      <c r="E50" s="75">
        <f t="shared" si="4"/>
        <v>0</v>
      </c>
      <c r="F50" s="75">
        <f t="shared" si="4"/>
        <v>0</v>
      </c>
      <c r="G50" s="76">
        <f t="shared" si="4"/>
        <v>0</v>
      </c>
      <c r="H50" s="81">
        <f>SUM(B50:G50)</f>
        <v>0</v>
      </c>
    </row>
    <row r="51" spans="1:8" x14ac:dyDescent="0.25">
      <c r="A51" s="36" t="s">
        <v>75</v>
      </c>
      <c r="B51" s="74">
        <f t="shared" ref="B51:G51" si="5">+B73</f>
        <v>0</v>
      </c>
      <c r="C51" s="75">
        <f t="shared" si="5"/>
        <v>0</v>
      </c>
      <c r="D51" s="75">
        <f t="shared" si="5"/>
        <v>0</v>
      </c>
      <c r="E51" s="75">
        <f t="shared" si="5"/>
        <v>0</v>
      </c>
      <c r="F51" s="75">
        <f t="shared" si="5"/>
        <v>0</v>
      </c>
      <c r="G51" s="76">
        <f t="shared" si="5"/>
        <v>0</v>
      </c>
      <c r="H51" s="81">
        <f>SUM(B51:G51)</f>
        <v>0</v>
      </c>
    </row>
    <row r="52" spans="1:8" x14ac:dyDescent="0.25">
      <c r="A52" s="37" t="s">
        <v>76</v>
      </c>
      <c r="B52" s="78">
        <f t="shared" ref="B52:G52" si="6">-B82</f>
        <v>0</v>
      </c>
      <c r="C52" s="79">
        <f t="shared" si="6"/>
        <v>0</v>
      </c>
      <c r="D52" s="79">
        <f t="shared" si="6"/>
        <v>0</v>
      </c>
      <c r="E52" s="79">
        <f t="shared" si="6"/>
        <v>0</v>
      </c>
      <c r="F52" s="79">
        <f t="shared" si="6"/>
        <v>0</v>
      </c>
      <c r="G52" s="80">
        <f t="shared" si="6"/>
        <v>0</v>
      </c>
      <c r="H52" s="44">
        <f>SUM(B52:G52)</f>
        <v>0</v>
      </c>
    </row>
    <row r="53" spans="1:8" x14ac:dyDescent="0.25">
      <c r="A53" s="130" t="s">
        <v>182</v>
      </c>
      <c r="B53" s="131">
        <f t="shared" ref="B53:H53" si="7">+B49-B50-B51+B52</f>
        <v>0</v>
      </c>
      <c r="C53" s="132">
        <f t="shared" si="7"/>
        <v>0</v>
      </c>
      <c r="D53" s="132">
        <f t="shared" si="7"/>
        <v>0</v>
      </c>
      <c r="E53" s="132">
        <f t="shared" si="7"/>
        <v>0</v>
      </c>
      <c r="F53" s="132">
        <f t="shared" si="7"/>
        <v>0</v>
      </c>
      <c r="G53" s="133">
        <f t="shared" si="7"/>
        <v>0</v>
      </c>
      <c r="H53" s="126">
        <f t="shared" si="7"/>
        <v>0</v>
      </c>
    </row>
    <row r="56" spans="1:8" x14ac:dyDescent="0.25">
      <c r="A56" s="91" t="s">
        <v>46</v>
      </c>
      <c r="B56" s="63">
        <f>+B59+B60</f>
        <v>0</v>
      </c>
      <c r="C56" s="64">
        <f t="shared" ref="C56:H56" si="8">+C59+C60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5">
        <f t="shared" si="8"/>
        <v>0</v>
      </c>
      <c r="H56" s="29">
        <f t="shared" si="8"/>
        <v>0</v>
      </c>
    </row>
    <row r="57" spans="1:8" x14ac:dyDescent="0.25">
      <c r="A57" s="87" t="s">
        <v>117</v>
      </c>
      <c r="B57" s="68"/>
      <c r="C57" s="55"/>
      <c r="D57" s="55"/>
      <c r="E57" s="55"/>
      <c r="F57" s="55"/>
      <c r="G57" s="56"/>
      <c r="H57" s="66">
        <f>SUM(B57:G57)</f>
        <v>0</v>
      </c>
    </row>
    <row r="58" spans="1:8" x14ac:dyDescent="0.25">
      <c r="A58" s="53" t="s">
        <v>116</v>
      </c>
      <c r="B58" s="57"/>
      <c r="C58" s="58"/>
      <c r="D58" s="58"/>
      <c r="E58" s="58"/>
      <c r="F58" s="58"/>
      <c r="G58" s="59"/>
      <c r="H58" s="44">
        <f>SUM(B58:G58)</f>
        <v>0</v>
      </c>
    </row>
    <row r="59" spans="1:8" x14ac:dyDescent="0.25">
      <c r="A59" s="48" t="s">
        <v>29</v>
      </c>
      <c r="B59" s="63">
        <f>SUM(B57:B58)</f>
        <v>0</v>
      </c>
      <c r="C59" s="64">
        <f t="shared" ref="C59:H59" si="9">SUM(C57:C58)</f>
        <v>0</v>
      </c>
      <c r="D59" s="64">
        <f t="shared" si="9"/>
        <v>0</v>
      </c>
      <c r="E59" s="64">
        <f t="shared" si="9"/>
        <v>0</v>
      </c>
      <c r="F59" s="64">
        <f t="shared" si="9"/>
        <v>0</v>
      </c>
      <c r="G59" s="65">
        <f t="shared" si="9"/>
        <v>0</v>
      </c>
      <c r="H59" s="29">
        <f t="shared" si="9"/>
        <v>0</v>
      </c>
    </row>
    <row r="60" spans="1:8" x14ac:dyDescent="0.25">
      <c r="A60" s="88" t="s">
        <v>43</v>
      </c>
      <c r="B60" s="82"/>
      <c r="C60" s="83"/>
      <c r="D60" s="83"/>
      <c r="E60" s="83"/>
      <c r="F60" s="83"/>
      <c r="G60" s="84"/>
      <c r="H60" s="29">
        <f>SUM(B60:G60)</f>
        <v>0</v>
      </c>
    </row>
    <row r="63" spans="1:8" x14ac:dyDescent="0.25">
      <c r="A63" s="92" t="s">
        <v>183</v>
      </c>
      <c r="B63" s="60"/>
      <c r="C63" s="61"/>
      <c r="D63" s="61"/>
      <c r="E63" s="61"/>
      <c r="F63" s="61"/>
      <c r="G63" s="62"/>
      <c r="H63" s="29">
        <f>SUM(B63:G63)</f>
        <v>0</v>
      </c>
    </row>
    <row r="64" spans="1:8" x14ac:dyDescent="0.25">
      <c r="A64" s="35" t="s">
        <v>44</v>
      </c>
      <c r="B64" s="68"/>
      <c r="C64" s="55"/>
      <c r="D64" s="55"/>
      <c r="E64" s="55"/>
      <c r="F64" s="55"/>
      <c r="G64" s="56"/>
      <c r="H64" s="66">
        <f>SUM(B64:G64)</f>
        <v>0</v>
      </c>
    </row>
    <row r="65" spans="1:15" x14ac:dyDescent="0.25">
      <c r="A65" s="37" t="s">
        <v>45</v>
      </c>
      <c r="B65" s="78">
        <f>+B63-B64</f>
        <v>0</v>
      </c>
      <c r="C65" s="79">
        <f t="shared" ref="C65:H65" si="10">+C63-C64</f>
        <v>0</v>
      </c>
      <c r="D65" s="79">
        <f t="shared" si="10"/>
        <v>0</v>
      </c>
      <c r="E65" s="79">
        <f t="shared" si="10"/>
        <v>0</v>
      </c>
      <c r="F65" s="79">
        <f t="shared" si="10"/>
        <v>0</v>
      </c>
      <c r="G65" s="80">
        <f t="shared" si="10"/>
        <v>0</v>
      </c>
      <c r="H65" s="44">
        <f t="shared" si="10"/>
        <v>0</v>
      </c>
    </row>
    <row r="68" spans="1:15" x14ac:dyDescent="0.25">
      <c r="A68" s="93" t="s">
        <v>47</v>
      </c>
      <c r="B68" s="63">
        <f>SUM(B69:B70)</f>
        <v>0</v>
      </c>
      <c r="C68" s="64">
        <f t="shared" ref="C68:H68" si="11">SUM(C69:C70)</f>
        <v>0</v>
      </c>
      <c r="D68" s="64">
        <f t="shared" si="11"/>
        <v>0</v>
      </c>
      <c r="E68" s="64">
        <f t="shared" si="11"/>
        <v>0</v>
      </c>
      <c r="F68" s="64">
        <f t="shared" si="11"/>
        <v>0</v>
      </c>
      <c r="G68" s="65">
        <f t="shared" si="11"/>
        <v>0</v>
      </c>
      <c r="H68" s="29">
        <f t="shared" si="11"/>
        <v>0</v>
      </c>
    </row>
    <row r="69" spans="1:15" x14ac:dyDescent="0.25">
      <c r="A69" s="35" t="s">
        <v>48</v>
      </c>
      <c r="B69" s="68"/>
      <c r="C69" s="55"/>
      <c r="D69" s="55"/>
      <c r="E69" s="55"/>
      <c r="F69" s="55"/>
      <c r="G69" s="56"/>
      <c r="H69" s="66">
        <f>SUM(B69:G69)</f>
        <v>0</v>
      </c>
    </row>
    <row r="70" spans="1:15" x14ac:dyDescent="0.25">
      <c r="A70" s="37" t="s">
        <v>77</v>
      </c>
      <c r="B70" s="57"/>
      <c r="C70" s="58"/>
      <c r="D70" s="58"/>
      <c r="E70" s="58"/>
      <c r="F70" s="58"/>
      <c r="G70" s="59"/>
      <c r="H70" s="44">
        <f>SUM(B70:G70)</f>
        <v>0</v>
      </c>
    </row>
    <row r="73" spans="1:15" x14ac:dyDescent="0.25">
      <c r="A73" s="94" t="s">
        <v>49</v>
      </c>
      <c r="B73" s="63">
        <f>SUM(B74:B79)</f>
        <v>0</v>
      </c>
      <c r="C73" s="64">
        <f t="shared" ref="C73:H73" si="12">SUM(C74:C79)</f>
        <v>0</v>
      </c>
      <c r="D73" s="64">
        <f t="shared" si="12"/>
        <v>0</v>
      </c>
      <c r="E73" s="64">
        <f t="shared" si="12"/>
        <v>0</v>
      </c>
      <c r="F73" s="64">
        <f t="shared" si="12"/>
        <v>0</v>
      </c>
      <c r="G73" s="65">
        <f t="shared" si="12"/>
        <v>0</v>
      </c>
      <c r="H73" s="29">
        <f t="shared" si="12"/>
        <v>0</v>
      </c>
      <c r="J73" s="90" t="s">
        <v>146</v>
      </c>
      <c r="K73" s="85"/>
      <c r="L73" s="85"/>
      <c r="M73" s="85"/>
      <c r="N73" s="85"/>
      <c r="O73" s="86"/>
    </row>
    <row r="74" spans="1:15" x14ac:dyDescent="0.25">
      <c r="A74" s="35" t="s">
        <v>50</v>
      </c>
      <c r="B74" s="68"/>
      <c r="C74" s="55"/>
      <c r="D74" s="55"/>
      <c r="E74" s="55"/>
      <c r="F74" s="55"/>
      <c r="G74" s="56"/>
      <c r="H74" s="66">
        <f t="shared" ref="H74:H79" si="13">SUM(B74:G74)</f>
        <v>0</v>
      </c>
      <c r="J74" s="82"/>
      <c r="K74" s="83"/>
      <c r="L74" s="83"/>
      <c r="M74" s="83"/>
      <c r="N74" s="83"/>
      <c r="O74" s="84"/>
    </row>
    <row r="75" spans="1:15" x14ac:dyDescent="0.25">
      <c r="A75" s="36" t="s">
        <v>52</v>
      </c>
      <c r="B75" s="69"/>
      <c r="G75" s="70"/>
      <c r="H75" s="81">
        <f t="shared" si="13"/>
        <v>0</v>
      </c>
      <c r="J75" s="82"/>
      <c r="K75" s="83"/>
      <c r="L75" s="83"/>
      <c r="M75" s="83"/>
      <c r="N75" s="83"/>
      <c r="O75" s="84"/>
    </row>
    <row r="76" spans="1:15" x14ac:dyDescent="0.25">
      <c r="A76" s="36" t="s">
        <v>51</v>
      </c>
      <c r="B76" s="69"/>
      <c r="G76" s="70"/>
      <c r="H76" s="81">
        <f t="shared" si="13"/>
        <v>0</v>
      </c>
      <c r="J76" s="82"/>
      <c r="K76" s="83"/>
      <c r="L76" s="83"/>
      <c r="M76" s="83"/>
      <c r="N76" s="83"/>
      <c r="O76" s="84"/>
    </row>
    <row r="77" spans="1:15" x14ac:dyDescent="0.25">
      <c r="A77" s="36" t="s">
        <v>55</v>
      </c>
      <c r="B77" s="69"/>
      <c r="G77" s="70"/>
      <c r="H77" s="81">
        <f t="shared" si="13"/>
        <v>0</v>
      </c>
      <c r="J77" s="82"/>
      <c r="K77" s="83"/>
      <c r="L77" s="83"/>
      <c r="M77" s="83"/>
      <c r="N77" s="83"/>
      <c r="O77" s="84"/>
    </row>
    <row r="78" spans="1:15" x14ac:dyDescent="0.25">
      <c r="A78" s="36" t="s">
        <v>54</v>
      </c>
      <c r="B78" s="69"/>
      <c r="G78" s="70"/>
      <c r="H78" s="81">
        <f t="shared" si="13"/>
        <v>0</v>
      </c>
      <c r="J78" s="82"/>
      <c r="K78" s="83"/>
      <c r="L78" s="83"/>
      <c r="M78" s="83"/>
      <c r="N78" s="83"/>
      <c r="O78" s="84"/>
    </row>
    <row r="79" spans="1:15" x14ac:dyDescent="0.25">
      <c r="A79" s="37" t="s">
        <v>53</v>
      </c>
      <c r="B79" s="57"/>
      <c r="C79" s="58"/>
      <c r="D79" s="58"/>
      <c r="E79" s="58"/>
      <c r="F79" s="58"/>
      <c r="G79" s="59"/>
      <c r="H79" s="44">
        <f t="shared" si="13"/>
        <v>0</v>
      </c>
      <c r="J79" s="82"/>
      <c r="K79" s="83"/>
      <c r="L79" s="83"/>
      <c r="M79" s="83"/>
      <c r="N79" s="83"/>
      <c r="O79" s="84"/>
    </row>
    <row r="82" spans="1:8" x14ac:dyDescent="0.25">
      <c r="A82" s="95" t="s">
        <v>56</v>
      </c>
      <c r="B82" s="63">
        <f>SUM(B83:B98)</f>
        <v>0</v>
      </c>
      <c r="C82" s="64">
        <f t="shared" ref="C82:H82" si="14">SUM(C83:C98)</f>
        <v>0</v>
      </c>
      <c r="D82" s="64">
        <f t="shared" si="14"/>
        <v>0</v>
      </c>
      <c r="E82" s="64">
        <f t="shared" si="14"/>
        <v>0</v>
      </c>
      <c r="F82" s="64">
        <f t="shared" si="14"/>
        <v>0</v>
      </c>
      <c r="G82" s="65">
        <f t="shared" si="14"/>
        <v>0</v>
      </c>
      <c r="H82" s="29">
        <f t="shared" si="14"/>
        <v>0</v>
      </c>
    </row>
    <row r="83" spans="1:8" x14ac:dyDescent="0.25">
      <c r="A83" s="35" t="s">
        <v>62</v>
      </c>
      <c r="B83" s="68"/>
      <c r="C83" s="55"/>
      <c r="D83" s="55"/>
      <c r="E83" s="55"/>
      <c r="F83" s="55"/>
      <c r="G83" s="56"/>
      <c r="H83" s="66">
        <f t="shared" ref="H83:H98" si="15">SUM(B83:G83)</f>
        <v>0</v>
      </c>
    </row>
    <row r="84" spans="1:8" x14ac:dyDescent="0.25">
      <c r="A84" s="36" t="s">
        <v>112</v>
      </c>
      <c r="B84" s="74">
        <f t="shared" ref="B84:G84" si="16">+B101</f>
        <v>0</v>
      </c>
      <c r="C84" s="75">
        <f t="shared" si="16"/>
        <v>0</v>
      </c>
      <c r="D84" s="75">
        <f t="shared" si="16"/>
        <v>0</v>
      </c>
      <c r="E84" s="75">
        <f t="shared" si="16"/>
        <v>0</v>
      </c>
      <c r="F84" s="75">
        <f t="shared" si="16"/>
        <v>0</v>
      </c>
      <c r="G84" s="76">
        <f t="shared" si="16"/>
        <v>0</v>
      </c>
      <c r="H84" s="81">
        <f t="shared" si="15"/>
        <v>0</v>
      </c>
    </row>
    <row r="85" spans="1:8" x14ac:dyDescent="0.25">
      <c r="A85" s="36" t="s">
        <v>113</v>
      </c>
      <c r="B85" s="74">
        <f t="shared" ref="B85:G85" si="17">+B135</f>
        <v>0</v>
      </c>
      <c r="C85" s="75">
        <f t="shared" si="17"/>
        <v>0</v>
      </c>
      <c r="D85" s="75">
        <f t="shared" si="17"/>
        <v>0</v>
      </c>
      <c r="E85" s="75">
        <f t="shared" si="17"/>
        <v>0</v>
      </c>
      <c r="F85" s="75">
        <f t="shared" si="17"/>
        <v>0</v>
      </c>
      <c r="G85" s="76">
        <f t="shared" si="17"/>
        <v>0</v>
      </c>
      <c r="H85" s="81">
        <f t="shared" si="15"/>
        <v>0</v>
      </c>
    </row>
    <row r="86" spans="1:8" x14ac:dyDescent="0.25">
      <c r="A86" s="36" t="s">
        <v>63</v>
      </c>
      <c r="B86" s="69"/>
      <c r="G86" s="70"/>
      <c r="H86" s="81">
        <f t="shared" si="15"/>
        <v>0</v>
      </c>
    </row>
    <row r="87" spans="1:8" x14ac:dyDescent="0.25">
      <c r="A87" s="36" t="s">
        <v>67</v>
      </c>
      <c r="B87" s="69"/>
      <c r="G87" s="70"/>
      <c r="H87" s="81">
        <f t="shared" si="15"/>
        <v>0</v>
      </c>
    </row>
    <row r="88" spans="1:8" x14ac:dyDescent="0.25">
      <c r="A88" s="36" t="s">
        <v>67</v>
      </c>
      <c r="B88" s="69"/>
      <c r="G88" s="70"/>
      <c r="H88" s="81">
        <f t="shared" si="15"/>
        <v>0</v>
      </c>
    </row>
    <row r="89" spans="1:8" x14ac:dyDescent="0.25">
      <c r="A89" s="36" t="s">
        <v>67</v>
      </c>
      <c r="B89" s="69"/>
      <c r="G89" s="70"/>
      <c r="H89" s="81">
        <f t="shared" si="15"/>
        <v>0</v>
      </c>
    </row>
    <row r="90" spans="1:8" x14ac:dyDescent="0.25">
      <c r="A90" s="36" t="s">
        <v>66</v>
      </c>
      <c r="B90" s="69"/>
      <c r="G90" s="70"/>
      <c r="H90" s="81">
        <f t="shared" si="15"/>
        <v>0</v>
      </c>
    </row>
    <row r="91" spans="1:8" x14ac:dyDescent="0.25">
      <c r="A91" s="36" t="s">
        <v>66</v>
      </c>
      <c r="B91" s="69"/>
      <c r="G91" s="70"/>
      <c r="H91" s="81">
        <f t="shared" si="15"/>
        <v>0</v>
      </c>
    </row>
    <row r="92" spans="1:8" x14ac:dyDescent="0.25">
      <c r="A92" s="36" t="s">
        <v>66</v>
      </c>
      <c r="B92" s="69"/>
      <c r="G92" s="70"/>
      <c r="H92" s="81">
        <f t="shared" si="15"/>
        <v>0</v>
      </c>
    </row>
    <row r="93" spans="1:8" x14ac:dyDescent="0.25">
      <c r="A93" s="36" t="s">
        <v>65</v>
      </c>
      <c r="B93" s="69"/>
      <c r="G93" s="70"/>
      <c r="H93" s="81">
        <f t="shared" si="15"/>
        <v>0</v>
      </c>
    </row>
    <row r="94" spans="1:8" x14ac:dyDescent="0.25">
      <c r="A94" s="36" t="s">
        <v>64</v>
      </c>
      <c r="B94" s="69"/>
      <c r="G94" s="70"/>
      <c r="H94" s="81">
        <f t="shared" si="15"/>
        <v>0</v>
      </c>
    </row>
    <row r="95" spans="1:8" x14ac:dyDescent="0.25">
      <c r="A95" s="36" t="s">
        <v>58</v>
      </c>
      <c r="B95" s="69"/>
      <c r="G95" s="70"/>
      <c r="H95" s="81">
        <f t="shared" si="15"/>
        <v>0</v>
      </c>
    </row>
    <row r="96" spans="1:8" x14ac:dyDescent="0.25">
      <c r="A96" s="36" t="s">
        <v>60</v>
      </c>
      <c r="B96" s="69"/>
      <c r="G96" s="70"/>
      <c r="H96" s="81">
        <f t="shared" si="15"/>
        <v>0</v>
      </c>
    </row>
    <row r="97" spans="1:8" x14ac:dyDescent="0.25">
      <c r="A97" s="36" t="s">
        <v>59</v>
      </c>
      <c r="B97" s="69"/>
      <c r="G97" s="70"/>
      <c r="H97" s="81">
        <f t="shared" si="15"/>
        <v>0</v>
      </c>
    </row>
    <row r="98" spans="1:8" x14ac:dyDescent="0.25">
      <c r="A98" s="37" t="s">
        <v>57</v>
      </c>
      <c r="B98" s="57"/>
      <c r="C98" s="58"/>
      <c r="D98" s="58"/>
      <c r="E98" s="58"/>
      <c r="F98" s="58"/>
      <c r="G98" s="59"/>
      <c r="H98" s="44">
        <f t="shared" si="15"/>
        <v>0</v>
      </c>
    </row>
    <row r="101" spans="1:8" x14ac:dyDescent="0.25">
      <c r="A101" s="96" t="s">
        <v>111</v>
      </c>
      <c r="B101" s="63">
        <f>SUM(B102:B132)</f>
        <v>0</v>
      </c>
      <c r="C101" s="64">
        <f t="shared" ref="C101:H101" si="18">SUM(C102:C132)</f>
        <v>0</v>
      </c>
      <c r="D101" s="64">
        <f t="shared" si="18"/>
        <v>0</v>
      </c>
      <c r="E101" s="64">
        <f t="shared" si="18"/>
        <v>0</v>
      </c>
      <c r="F101" s="64">
        <f t="shared" si="18"/>
        <v>0</v>
      </c>
      <c r="G101" s="65">
        <f t="shared" si="18"/>
        <v>0</v>
      </c>
      <c r="H101" s="29">
        <f t="shared" si="18"/>
        <v>0</v>
      </c>
    </row>
    <row r="102" spans="1:8" x14ac:dyDescent="0.25">
      <c r="A102" s="35" t="str">
        <f>+Input!A55</f>
        <v xml:space="preserve"> - Aksia Sales</v>
      </c>
      <c r="B102" s="55"/>
      <c r="C102" s="55"/>
      <c r="D102" s="55"/>
      <c r="E102" s="55"/>
      <c r="F102" s="55"/>
      <c r="G102" s="56"/>
      <c r="H102" s="66">
        <f t="shared" ref="H102:H132" si="19">SUM(B102:G102)</f>
        <v>0</v>
      </c>
    </row>
    <row r="103" spans="1:8" x14ac:dyDescent="0.25">
      <c r="A103" s="36" t="str">
        <f>+Input!A56</f>
        <v xml:space="preserve"> - Albany</v>
      </c>
      <c r="G103" s="70"/>
      <c r="H103" s="81">
        <f t="shared" si="19"/>
        <v>0</v>
      </c>
    </row>
    <row r="104" spans="1:8" x14ac:dyDescent="0.25">
      <c r="A104" s="36" t="str">
        <f>+Input!A57</f>
        <v xml:space="preserve"> - Atlantic Ice</v>
      </c>
      <c r="G104" s="70"/>
      <c r="H104" s="81">
        <f t="shared" ref="H104:H121" si="20">SUM(B104:G104)</f>
        <v>0</v>
      </c>
    </row>
    <row r="105" spans="1:8" x14ac:dyDescent="0.25">
      <c r="A105" s="36" t="str">
        <f>+Input!A58</f>
        <v xml:space="preserve"> - Bake It Easy</v>
      </c>
      <c r="G105" s="70"/>
      <c r="H105" s="81">
        <f t="shared" si="20"/>
        <v>0</v>
      </c>
    </row>
    <row r="106" spans="1:8" x14ac:dyDescent="0.25">
      <c r="A106" s="36" t="str">
        <f>+Input!A59</f>
        <v xml:space="preserve"> - Bamco Tabacco</v>
      </c>
      <c r="G106" s="70"/>
      <c r="H106" s="81">
        <f t="shared" si="20"/>
        <v>0</v>
      </c>
    </row>
    <row r="107" spans="1:8" x14ac:dyDescent="0.25">
      <c r="A107" s="36" t="str">
        <f>+Input!A60</f>
        <v xml:space="preserve"> - Blue Ribbon</v>
      </c>
      <c r="G107" s="70"/>
      <c r="H107" s="81">
        <f t="shared" si="20"/>
        <v>0</v>
      </c>
    </row>
    <row r="108" spans="1:8" x14ac:dyDescent="0.25">
      <c r="A108" s="36" t="str">
        <f>+Input!A61</f>
        <v xml:space="preserve"> - Catercorp</v>
      </c>
      <c r="G108" s="70"/>
      <c r="H108" s="81">
        <f t="shared" si="20"/>
        <v>0</v>
      </c>
    </row>
    <row r="109" spans="1:8" x14ac:dyDescent="0.25">
      <c r="A109" s="36" t="str">
        <f>+Input!A62</f>
        <v xml:space="preserve"> - Checkers</v>
      </c>
      <c r="G109" s="70"/>
      <c r="H109" s="81">
        <f t="shared" si="20"/>
        <v>0</v>
      </c>
    </row>
    <row r="110" spans="1:8" x14ac:dyDescent="0.25">
      <c r="A110" s="36" t="str">
        <f>+Input!A63</f>
        <v xml:space="preserve"> - Clover</v>
      </c>
      <c r="G110" s="70"/>
      <c r="H110" s="81">
        <f t="shared" si="20"/>
        <v>0</v>
      </c>
    </row>
    <row r="111" spans="1:8" x14ac:dyDescent="0.25">
      <c r="A111" s="36" t="str">
        <f>+Input!A64</f>
        <v xml:space="preserve"> - Cool Runnings</v>
      </c>
      <c r="G111" s="70"/>
      <c r="H111" s="81">
        <f t="shared" si="20"/>
        <v>0</v>
      </c>
    </row>
    <row r="112" spans="1:8" x14ac:dyDescent="0.25">
      <c r="A112" s="36" t="str">
        <f>+Input!A65</f>
        <v xml:space="preserve"> - Deep Frozen</v>
      </c>
      <c r="G112" s="70"/>
      <c r="H112" s="81">
        <f t="shared" si="20"/>
        <v>0</v>
      </c>
    </row>
    <row r="113" spans="1:8" x14ac:dyDescent="0.25">
      <c r="A113" s="36" t="str">
        <f>+Input!A66</f>
        <v xml:space="preserve"> - Digistics</v>
      </c>
      <c r="G113" s="70"/>
      <c r="H113" s="81">
        <f t="shared" si="20"/>
        <v>0</v>
      </c>
    </row>
    <row r="114" spans="1:8" x14ac:dyDescent="0.25">
      <c r="A114" s="36" t="str">
        <f>+Input!A67</f>
        <v xml:space="preserve"> - Engen Fuel</v>
      </c>
      <c r="G114" s="70"/>
      <c r="H114" s="81">
        <f t="shared" si="20"/>
        <v>0</v>
      </c>
    </row>
    <row r="115" spans="1:8" x14ac:dyDescent="0.25">
      <c r="A115" s="36" t="str">
        <f>+Input!A68</f>
        <v xml:space="preserve"> - Engen Lubes</v>
      </c>
      <c r="G115" s="70"/>
      <c r="H115" s="81">
        <f t="shared" si="20"/>
        <v>0</v>
      </c>
    </row>
    <row r="116" spans="1:8" x14ac:dyDescent="0.25">
      <c r="A116" s="36" t="str">
        <f>+Input!A69</f>
        <v xml:space="preserve"> - F1 Packaging</v>
      </c>
      <c r="G116" s="70"/>
      <c r="H116" s="81">
        <f t="shared" si="20"/>
        <v>0</v>
      </c>
    </row>
    <row r="117" spans="1:8" x14ac:dyDescent="0.25">
      <c r="A117" s="36" t="str">
        <f>+Input!A70</f>
        <v xml:space="preserve"> - Hazard</v>
      </c>
      <c r="G117" s="70"/>
      <c r="H117" s="81">
        <f t="shared" si="20"/>
        <v>0</v>
      </c>
    </row>
    <row r="118" spans="1:8" x14ac:dyDescent="0.25">
      <c r="A118" s="36" t="str">
        <f>+Input!A71</f>
        <v xml:space="preserve"> - JM Foods</v>
      </c>
      <c r="G118" s="70"/>
      <c r="H118" s="81">
        <f t="shared" si="20"/>
        <v>0</v>
      </c>
    </row>
    <row r="119" spans="1:8" x14ac:dyDescent="0.25">
      <c r="A119" s="36" t="str">
        <f>+Input!A72</f>
        <v xml:space="preserve"> - Key Distributors</v>
      </c>
      <c r="G119" s="70"/>
      <c r="H119" s="81">
        <f t="shared" si="20"/>
        <v>0</v>
      </c>
    </row>
    <row r="120" spans="1:8" x14ac:dyDescent="0.25">
      <c r="A120" s="36" t="str">
        <f>+Input!A73</f>
        <v xml:space="preserve"> - La Concord</v>
      </c>
      <c r="G120" s="70"/>
      <c r="H120" s="81">
        <f t="shared" si="20"/>
        <v>0</v>
      </c>
    </row>
    <row r="121" spans="1:8" x14ac:dyDescent="0.25">
      <c r="A121" s="36" t="str">
        <f>+Input!A74</f>
        <v xml:space="preserve"> - Lasaffre</v>
      </c>
      <c r="G121" s="70"/>
      <c r="H121" s="81">
        <f t="shared" si="20"/>
        <v>0</v>
      </c>
    </row>
    <row r="122" spans="1:8" x14ac:dyDescent="0.25">
      <c r="A122" s="36" t="str">
        <f>+Input!A75</f>
        <v xml:space="preserve"> - Lettuse Eat</v>
      </c>
      <c r="G122" s="70"/>
      <c r="H122" s="81">
        <f t="shared" si="19"/>
        <v>0</v>
      </c>
    </row>
    <row r="123" spans="1:8" x14ac:dyDescent="0.25">
      <c r="A123" s="36" t="str">
        <f>+Input!A76</f>
        <v xml:space="preserve"> - Makro</v>
      </c>
      <c r="G123" s="70"/>
      <c r="H123" s="81">
        <f t="shared" si="19"/>
        <v>0</v>
      </c>
    </row>
    <row r="124" spans="1:8" x14ac:dyDescent="0.25">
      <c r="A124" s="36" t="str">
        <f>+Input!A77</f>
        <v xml:space="preserve"> - Ola</v>
      </c>
      <c r="G124" s="70"/>
      <c r="H124" s="81">
        <f t="shared" si="19"/>
        <v>0</v>
      </c>
    </row>
    <row r="125" spans="1:8" x14ac:dyDescent="0.25">
      <c r="A125" s="36" t="str">
        <f>+Input!A78</f>
        <v xml:space="preserve"> - RFP Distributors</v>
      </c>
      <c r="G125" s="70"/>
      <c r="H125" s="81">
        <f t="shared" si="19"/>
        <v>0</v>
      </c>
    </row>
    <row r="126" spans="1:8" x14ac:dyDescent="0.25">
      <c r="A126" s="36" t="str">
        <f>+Input!A79</f>
        <v xml:space="preserve"> - Rulerite</v>
      </c>
      <c r="G126" s="70"/>
      <c r="H126" s="81">
        <f t="shared" si="19"/>
        <v>0</v>
      </c>
    </row>
    <row r="127" spans="1:8" x14ac:dyDescent="0.25">
      <c r="A127" s="36" t="str">
        <f>+Input!A80</f>
        <v xml:space="preserve"> - Sasko</v>
      </c>
      <c r="G127" s="70"/>
      <c r="H127" s="81">
        <f t="shared" si="19"/>
        <v>0</v>
      </c>
    </row>
    <row r="128" spans="1:8" x14ac:dyDescent="0.25">
      <c r="A128" s="36" t="str">
        <f>+Input!A81</f>
        <v xml:space="preserve"> - Sondela Eggs</v>
      </c>
      <c r="G128" s="70"/>
      <c r="H128" s="81">
        <f t="shared" si="19"/>
        <v>0</v>
      </c>
    </row>
    <row r="129" spans="1:8" x14ac:dyDescent="0.25">
      <c r="A129" s="36" t="str">
        <f>+Input!A82</f>
        <v xml:space="preserve"> - Spar</v>
      </c>
      <c r="G129" s="70"/>
      <c r="H129" s="81">
        <f t="shared" si="19"/>
        <v>0</v>
      </c>
    </row>
    <row r="130" spans="1:8" x14ac:dyDescent="0.25">
      <c r="A130" s="36" t="str">
        <f>+Input!A83</f>
        <v xml:space="preserve"> - Sunbake</v>
      </c>
      <c r="G130" s="70"/>
      <c r="H130" s="81">
        <f t="shared" si="19"/>
        <v>0</v>
      </c>
    </row>
    <row r="131" spans="1:8" x14ac:dyDescent="0.25">
      <c r="A131" s="36" t="str">
        <f>+Input!A84</f>
        <v xml:space="preserve"> - Super Group (SG)</v>
      </c>
      <c r="G131" s="70"/>
      <c r="H131" s="81">
        <f t="shared" si="19"/>
        <v>0</v>
      </c>
    </row>
    <row r="132" spans="1:8" x14ac:dyDescent="0.25">
      <c r="A132" s="37" t="str">
        <f>+Input!A85</f>
        <v xml:space="preserve"> - W Convenience</v>
      </c>
      <c r="B132" s="58"/>
      <c r="C132" s="58"/>
      <c r="D132" s="58"/>
      <c r="E132" s="58"/>
      <c r="F132" s="58"/>
      <c r="G132" s="59"/>
      <c r="H132" s="44">
        <f t="shared" si="19"/>
        <v>0</v>
      </c>
    </row>
    <row r="135" spans="1:8" x14ac:dyDescent="0.25">
      <c r="A135" s="97" t="s">
        <v>184</v>
      </c>
      <c r="B135" s="63">
        <f>SUM(B136:B145)</f>
        <v>0</v>
      </c>
      <c r="C135" s="64">
        <f t="shared" ref="C135:H135" si="21">SUM(C136:C145)</f>
        <v>0</v>
      </c>
      <c r="D135" s="64">
        <f t="shared" si="21"/>
        <v>0</v>
      </c>
      <c r="E135" s="64">
        <f t="shared" si="21"/>
        <v>0</v>
      </c>
      <c r="F135" s="64">
        <f t="shared" si="21"/>
        <v>0</v>
      </c>
      <c r="G135" s="65">
        <f t="shared" si="21"/>
        <v>0</v>
      </c>
      <c r="H135" s="29">
        <f t="shared" si="21"/>
        <v>0</v>
      </c>
    </row>
    <row r="136" spans="1:8" x14ac:dyDescent="0.25">
      <c r="A136" s="35" t="str">
        <f>+Input!A88</f>
        <v xml:space="preserve"> - Other 1</v>
      </c>
      <c r="B136" s="68"/>
      <c r="C136" s="55"/>
      <c r="D136" s="55"/>
      <c r="E136" s="55"/>
      <c r="F136" s="55"/>
      <c r="G136" s="56"/>
      <c r="H136" s="66">
        <f t="shared" ref="H136:H145" si="22">SUM(B136:G136)</f>
        <v>0</v>
      </c>
    </row>
    <row r="137" spans="1:8" x14ac:dyDescent="0.25">
      <c r="A137" s="36" t="str">
        <f>+Input!A89</f>
        <v xml:space="preserve"> - Other 2</v>
      </c>
      <c r="B137" s="69"/>
      <c r="G137" s="70"/>
      <c r="H137" s="81">
        <f t="shared" si="22"/>
        <v>0</v>
      </c>
    </row>
    <row r="138" spans="1:8" x14ac:dyDescent="0.25">
      <c r="A138" s="36" t="str">
        <f>+Input!A90</f>
        <v xml:space="preserve"> - Other 3</v>
      </c>
      <c r="B138" s="69"/>
      <c r="G138" s="70"/>
      <c r="H138" s="81">
        <f t="shared" si="22"/>
        <v>0</v>
      </c>
    </row>
    <row r="139" spans="1:8" x14ac:dyDescent="0.25">
      <c r="A139" s="36" t="str">
        <f>+Input!A91</f>
        <v xml:space="preserve"> - Other 4</v>
      </c>
      <c r="B139" s="69"/>
      <c r="G139" s="70"/>
      <c r="H139" s="81">
        <f t="shared" si="22"/>
        <v>0</v>
      </c>
    </row>
    <row r="140" spans="1:8" x14ac:dyDescent="0.25">
      <c r="A140" s="36" t="str">
        <f>+Input!A92</f>
        <v xml:space="preserve"> - Other 5</v>
      </c>
      <c r="B140" s="69"/>
      <c r="G140" s="70"/>
      <c r="H140" s="81">
        <f t="shared" si="22"/>
        <v>0</v>
      </c>
    </row>
    <row r="141" spans="1:8" x14ac:dyDescent="0.25">
      <c r="A141" s="36" t="str">
        <f>+Input!A93</f>
        <v xml:space="preserve"> - Other 6</v>
      </c>
      <c r="B141" s="69"/>
      <c r="G141" s="70"/>
      <c r="H141" s="81">
        <f t="shared" si="22"/>
        <v>0</v>
      </c>
    </row>
    <row r="142" spans="1:8" x14ac:dyDescent="0.25">
      <c r="A142" s="36" t="str">
        <f>+Input!A94</f>
        <v xml:space="preserve"> - Other 7</v>
      </c>
      <c r="B142" s="69"/>
      <c r="G142" s="70"/>
      <c r="H142" s="81">
        <f t="shared" si="22"/>
        <v>0</v>
      </c>
    </row>
    <row r="143" spans="1:8" x14ac:dyDescent="0.25">
      <c r="A143" s="36" t="str">
        <f>+Input!A95</f>
        <v xml:space="preserve"> - Other 8</v>
      </c>
      <c r="B143" s="69"/>
      <c r="G143" s="70"/>
      <c r="H143" s="81">
        <f t="shared" si="22"/>
        <v>0</v>
      </c>
    </row>
    <row r="144" spans="1:8" x14ac:dyDescent="0.25">
      <c r="A144" s="36" t="str">
        <f>+Input!A96</f>
        <v xml:space="preserve"> - Other 9</v>
      </c>
      <c r="B144" s="69"/>
      <c r="G144" s="70"/>
      <c r="H144" s="81">
        <f t="shared" si="22"/>
        <v>0</v>
      </c>
    </row>
    <row r="145" spans="1:8" x14ac:dyDescent="0.25">
      <c r="A145" s="37" t="str">
        <f>+Input!A97</f>
        <v xml:space="preserve"> - Other 10</v>
      </c>
      <c r="B145" s="57"/>
      <c r="C145" s="58"/>
      <c r="D145" s="58"/>
      <c r="E145" s="58"/>
      <c r="F145" s="58"/>
      <c r="G145" s="59"/>
      <c r="H145" s="44">
        <f t="shared" si="22"/>
        <v>0</v>
      </c>
    </row>
  </sheetData>
  <mergeCells count="1">
    <mergeCell ref="I8:L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D8DC-2B57-48ED-B3C9-849FE61CA8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f0d992-3f05-43be-bc85-0e52f12dd06d" xsi:nil="true"/>
    <lcf76f155ced4ddcb4097134ff3c332f xmlns="d65ac218-5726-450a-b136-2fadaae2f75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EF317102B8554FA30FE6D1D65D88D7" ma:contentTypeVersion="17" ma:contentTypeDescription="Create a new document." ma:contentTypeScope="" ma:versionID="4fa150a3ac164c499a9bf9013804d29e">
  <xsd:schema xmlns:xsd="http://www.w3.org/2001/XMLSchema" xmlns:xs="http://www.w3.org/2001/XMLSchema" xmlns:p="http://schemas.microsoft.com/office/2006/metadata/properties" xmlns:ns2="d65ac218-5726-450a-b136-2fadaae2f754" xmlns:ns3="a0f0d992-3f05-43be-bc85-0e52f12dd06d" targetNamespace="http://schemas.microsoft.com/office/2006/metadata/properties" ma:root="true" ma:fieldsID="5d6f92a65179aedd21b29d18d2c29c6a" ns2:_="" ns3:_="">
    <xsd:import namespace="d65ac218-5726-450a-b136-2fadaae2f754"/>
    <xsd:import namespace="a0f0d992-3f05-43be-bc85-0e52f12dd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ac218-5726-450a-b136-2fadaae2f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fb0c0ef-f30e-4518-8de8-71e3ab0fb5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0d992-3f05-43be-bc85-0e52f12dd06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3d7d507-d2aa-4b62-a053-9d6fd9f521be}" ma:internalName="TaxCatchAll" ma:showField="CatchAllData" ma:web="a0f0d992-3f05-43be-bc85-0e52f12dd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FBDCB0-7743-43CD-9D9F-802DA1D356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661F6-6FF2-4C95-B5D1-F4D6AEAA1510}">
  <ds:schemaRefs>
    <ds:schemaRef ds:uri="http://schemas.microsoft.com/office/2006/metadata/properties"/>
    <ds:schemaRef ds:uri="http://schemas.microsoft.com/office/infopath/2007/PartnerControls"/>
    <ds:schemaRef ds:uri="a0f0d992-3f05-43be-bc85-0e52f12dd06d"/>
    <ds:schemaRef ds:uri="d65ac218-5726-450a-b136-2fadaae2f754"/>
  </ds:schemaRefs>
</ds:datastoreItem>
</file>

<file path=customXml/itemProps3.xml><?xml version="1.0" encoding="utf-8"?>
<ds:datastoreItem xmlns:ds="http://schemas.openxmlformats.org/officeDocument/2006/customXml" ds:itemID="{8619017A-EAF1-4350-AA59-528DC8F44D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5ac218-5726-450a-b136-2fadaae2f754"/>
    <ds:schemaRef ds:uri="a0f0d992-3f05-43be-bc85-0e52f12dd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Input</vt:lpstr>
      <vt:lpstr>Summary</vt:lpstr>
      <vt:lpstr>Dashboard-Performance</vt:lpstr>
      <vt:lpstr>Dashboard-Fuel</vt:lpstr>
      <vt:lpstr>Dashboard-Retail</vt:lpstr>
      <vt:lpstr>Cashiers Report</vt:lpstr>
      <vt:lpstr>Petty Cash Report</vt:lpstr>
      <vt:lpstr>Bank</vt:lpstr>
      <vt:lpstr>SS26</vt:lpstr>
      <vt:lpstr>Daily Template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Merrick</dc:creator>
  <cp:lastModifiedBy>Admin</cp:lastModifiedBy>
  <cp:lastPrinted>2026-05-18T07:52:26Z</cp:lastPrinted>
  <dcterms:created xsi:type="dcterms:W3CDTF">2026-03-09T12:08:14Z</dcterms:created>
  <dcterms:modified xsi:type="dcterms:W3CDTF">2026-05-24T10:20:30Z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0x01010070EF317102B8554FA30FE6D1D65D88D7</vt:lpwstr>
  </property>
  <property fmtid="{D5CDD505-2E9C-101B-9397-08002B2CF9AE}" pid="3" name="MediaServiceImageTags">
    <vt:lpwstr/>
  </property>
</Properties>
</file>