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ngenjp-my.sharepoint.com/personal/admin_engenjp_co_za/Documents/Desktop/"/>
    </mc:Choice>
  </mc:AlternateContent>
  <xr:revisionPtr revIDLastSave="5629" documentId="13_ncr:1_{14825A12-55E2-400A-B3B9-9167C74C248D}" xr6:coauthVersionLast="47" xr6:coauthVersionMax="47" xr10:uidLastSave="{1EB5E58E-875C-472E-B537-E1ED9D69FCCB}"/>
  <bookViews>
    <workbookView xWindow="-120" yWindow="-120" windowWidth="29040" windowHeight="15720" firstSheet="3" activeTab="10" xr2:uid="{00000000-000D-0000-FFFF-FFFF00000000}"/>
  </bookViews>
  <sheets>
    <sheet name="January" sheetId="22" r:id="rId1"/>
    <sheet name="Sheet3" sheetId="29" r:id="rId2"/>
    <sheet name="Jan Expenses" sheetId="23" r:id="rId3"/>
    <sheet name="February" sheetId="25" r:id="rId4"/>
    <sheet name="Feb Expenses" sheetId="26" r:id="rId5"/>
    <sheet name="March" sheetId="31" r:id="rId6"/>
    <sheet name="Mar Expenses" sheetId="32" r:id="rId7"/>
    <sheet name="April" sheetId="36" r:id="rId8"/>
    <sheet name="Apr Expenses" sheetId="37" r:id="rId9"/>
    <sheet name="MAY" sheetId="38" r:id="rId10"/>
    <sheet name="MAY EXP" sheetId="39" r:id="rId11"/>
    <sheet name="Supplier Banking Details " sheetId="27" r:id="rId12"/>
    <sheet name="Supplier Details " sheetId="28" r:id="rId13"/>
    <sheet name="Engen deliverys" sheetId="30" r:id="rId14"/>
    <sheet name="Sheet4" sheetId="35" r:id="rId15"/>
    <sheet name="Sheet1" sheetId="33" r:id="rId16"/>
    <sheet name="MAY 25 OTHER" sheetId="10" state="hidden" r:id="rId17"/>
    <sheet name="SHOP MASTER" sheetId="13" state="hidden" r:id="rId18"/>
    <sheet name="OTHER MASTER" sheetId="14" state="hidden" r:id="rId19"/>
  </sheets>
  <definedNames>
    <definedName name="_xlnm._FilterDatabase" localSheetId="7" hidden="1">April!$A$6:$O$101</definedName>
    <definedName name="_xlnm._FilterDatabase" localSheetId="4" hidden="1">'Feb Expenses'!$B$7:$M$7</definedName>
    <definedName name="_xlnm._FilterDatabase" localSheetId="3" hidden="1">February!$B$5:$M$5</definedName>
    <definedName name="_xlnm._FilterDatabase" localSheetId="2" hidden="1">'Jan Expenses'!$B$6:$M$6</definedName>
    <definedName name="_xlnm._FilterDatabase" localSheetId="0" hidden="1">January!$B$8:$L$119</definedName>
    <definedName name="_xlnm._FilterDatabase" localSheetId="6" hidden="1">'Mar Expenses'!$B$7:$N$7</definedName>
    <definedName name="_xlnm._FilterDatabase" localSheetId="5" hidden="1">March!$B$6:$M$6</definedName>
    <definedName name="_xlnm._FilterDatabase" localSheetId="9" hidden="1">MAY!$A$6:$O$72</definedName>
    <definedName name="_xlnm._FilterDatabase" localSheetId="16" hidden="1">'MAY 25 OTHER'!#REF!</definedName>
    <definedName name="_xlnm._FilterDatabase" localSheetId="18" hidden="1">'OTHER MASTER'!#REF!</definedName>
    <definedName name="_xlnm._FilterDatabase" localSheetId="17" hidden="1">'SHOP MASTER'!#REF!</definedName>
    <definedName name="_xlnm.Print_Area" localSheetId="8">'Apr Expenses'!$B$3:$L$70</definedName>
    <definedName name="_xlnm.Print_Area" localSheetId="7">April!$A$1:$K$100</definedName>
    <definedName name="_xlnm.Print_Area" localSheetId="9">MAY!$B$63:$K$89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39" l="1"/>
  <c r="G29" i="39"/>
  <c r="G27" i="39"/>
  <c r="I121" i="39"/>
  <c r="H116" i="38"/>
  <c r="G116" i="38"/>
  <c r="G69" i="37"/>
  <c r="G84" i="36"/>
  <c r="I84" i="36" s="1"/>
  <c r="I86" i="36"/>
  <c r="I87" i="36"/>
  <c r="I88" i="36"/>
  <c r="I89" i="36"/>
  <c r="I65" i="37"/>
  <c r="I66" i="37"/>
  <c r="I67" i="37"/>
  <c r="I63" i="37"/>
  <c r="H62" i="37"/>
  <c r="G62" i="37"/>
  <c r="I78" i="36"/>
  <c r="I82" i="36"/>
  <c r="I83" i="36"/>
  <c r="I85" i="36"/>
  <c r="I90" i="36"/>
  <c r="I91" i="36"/>
  <c r="I92" i="36"/>
  <c r="I93" i="36"/>
  <c r="I98" i="36"/>
  <c r="I79" i="36"/>
  <c r="I80" i="36"/>
  <c r="I81" i="36"/>
  <c r="L39" i="36"/>
  <c r="L37" i="36"/>
  <c r="I116" i="38" l="1"/>
  <c r="H121" i="39"/>
  <c r="G121" i="39"/>
  <c r="I56" i="36"/>
  <c r="H56" i="36"/>
  <c r="G56" i="36"/>
  <c r="I34" i="36" l="1"/>
  <c r="H34" i="36"/>
  <c r="G34" i="36"/>
  <c r="I13" i="36" l="1"/>
  <c r="H13" i="36"/>
  <c r="H99" i="36" s="1"/>
  <c r="G13" i="36"/>
  <c r="G99" i="36" s="1"/>
  <c r="I70" i="32"/>
  <c r="H121" i="37"/>
  <c r="G121" i="37"/>
  <c r="I120" i="37"/>
  <c r="I119" i="37"/>
  <c r="I118" i="37"/>
  <c r="I117" i="37"/>
  <c r="I116" i="37"/>
  <c r="I115" i="37"/>
  <c r="I114" i="37"/>
  <c r="I113" i="37"/>
  <c r="I112" i="37"/>
  <c r="I111" i="37"/>
  <c r="I110" i="37"/>
  <c r="I109" i="37"/>
  <c r="I108" i="37"/>
  <c r="I107" i="37"/>
  <c r="I106" i="37"/>
  <c r="I105" i="37"/>
  <c r="I104" i="37"/>
  <c r="I103" i="37"/>
  <c r="I102" i="37"/>
  <c r="I101" i="37"/>
  <c r="I100" i="37"/>
  <c r="I99" i="37"/>
  <c r="I98" i="37"/>
  <c r="I97" i="37"/>
  <c r="I96" i="37"/>
  <c r="I95" i="37"/>
  <c r="I94" i="37"/>
  <c r="I93" i="37"/>
  <c r="I92" i="37"/>
  <c r="I91" i="37"/>
  <c r="I90" i="37"/>
  <c r="I89" i="37"/>
  <c r="I88" i="37"/>
  <c r="I87" i="37"/>
  <c r="I86" i="37"/>
  <c r="I85" i="37"/>
  <c r="I84" i="37"/>
  <c r="I83" i="37"/>
  <c r="I82" i="37"/>
  <c r="I81" i="37"/>
  <c r="I80" i="37"/>
  <c r="I79" i="37"/>
  <c r="I78" i="37"/>
  <c r="I77" i="37"/>
  <c r="I76" i="37"/>
  <c r="I75" i="37"/>
  <c r="I74" i="37"/>
  <c r="I73" i="37"/>
  <c r="I72" i="37"/>
  <c r="I71" i="37"/>
  <c r="I70" i="37"/>
  <c r="I69" i="37"/>
  <c r="I68" i="37"/>
  <c r="L101" i="36"/>
  <c r="I121" i="37" l="1"/>
  <c r="I99" i="36"/>
  <c r="I50" i="32"/>
  <c r="I82" i="31"/>
  <c r="H82" i="31"/>
  <c r="G82" i="31"/>
  <c r="I61" i="31" l="1"/>
  <c r="H61" i="31"/>
  <c r="G61" i="31"/>
  <c r="I42" i="31" l="1"/>
  <c r="H42" i="31"/>
  <c r="G42" i="31"/>
  <c r="I37" i="32" l="1"/>
  <c r="I38" i="32"/>
  <c r="I39" i="32"/>
  <c r="I40" i="32"/>
  <c r="I41" i="32"/>
  <c r="I42" i="32"/>
  <c r="I43" i="32"/>
  <c r="I44" i="32"/>
  <c r="I45" i="32"/>
  <c r="I46" i="32"/>
  <c r="I47" i="32"/>
  <c r="I49" i="32"/>
  <c r="I51" i="32"/>
  <c r="I52" i="32"/>
  <c r="I53" i="32"/>
  <c r="I54" i="32"/>
  <c r="I55" i="32"/>
  <c r="I56" i="32"/>
  <c r="I57" i="32"/>
  <c r="I58" i="32"/>
  <c r="I59" i="32"/>
  <c r="I60" i="32"/>
  <c r="I61" i="32"/>
  <c r="I62" i="32"/>
  <c r="I63" i="32"/>
  <c r="I64" i="32"/>
  <c r="I65" i="32"/>
  <c r="I66" i="32"/>
  <c r="I67" i="32"/>
  <c r="I68" i="32"/>
  <c r="I69" i="32"/>
  <c r="I71" i="32"/>
  <c r="I72" i="32"/>
  <c r="M31" i="32" l="1"/>
  <c r="L63" i="26"/>
  <c r="H122" i="32"/>
  <c r="G122" i="32"/>
  <c r="I121" i="32"/>
  <c r="I120" i="32"/>
  <c r="I119" i="32"/>
  <c r="I118" i="32"/>
  <c r="I117" i="32"/>
  <c r="I116" i="32"/>
  <c r="I115" i="32"/>
  <c r="I114" i="32"/>
  <c r="I113" i="32"/>
  <c r="I112" i="32"/>
  <c r="I111" i="32"/>
  <c r="I110" i="32"/>
  <c r="I109" i="32"/>
  <c r="I108" i="32"/>
  <c r="I107" i="32"/>
  <c r="I106" i="32"/>
  <c r="I105" i="32"/>
  <c r="I104" i="32"/>
  <c r="I103" i="32"/>
  <c r="I102" i="32"/>
  <c r="I101" i="32"/>
  <c r="I100" i="32"/>
  <c r="I99" i="32"/>
  <c r="I98" i="32"/>
  <c r="I97" i="32"/>
  <c r="I96" i="32"/>
  <c r="I95" i="32"/>
  <c r="I94" i="32"/>
  <c r="I93" i="32"/>
  <c r="I92" i="32"/>
  <c r="I91" i="32"/>
  <c r="I90" i="32"/>
  <c r="I89" i="32"/>
  <c r="I88" i="32"/>
  <c r="I87" i="32"/>
  <c r="I86" i="32"/>
  <c r="I85" i="32"/>
  <c r="I84" i="32"/>
  <c r="I83" i="32"/>
  <c r="I82" i="32"/>
  <c r="I81" i="32"/>
  <c r="I80" i="32"/>
  <c r="I79" i="32"/>
  <c r="I78" i="32"/>
  <c r="I77" i="32"/>
  <c r="I76" i="32"/>
  <c r="I75" i="32"/>
  <c r="I74" i="32"/>
  <c r="I120" i="31"/>
  <c r="I119" i="31"/>
  <c r="I118" i="31"/>
  <c r="I117" i="31"/>
  <c r="I116" i="31"/>
  <c r="I115" i="31"/>
  <c r="I114" i="31"/>
  <c r="I113" i="31"/>
  <c r="I112" i="31"/>
  <c r="I111" i="31"/>
  <c r="I110" i="31"/>
  <c r="I109" i="31"/>
  <c r="I108" i="31"/>
  <c r="I107" i="31"/>
  <c r="I106" i="31"/>
  <c r="I105" i="31"/>
  <c r="I104" i="31"/>
  <c r="I103" i="31"/>
  <c r="I102" i="31"/>
  <c r="G121" i="31"/>
  <c r="L123" i="31"/>
  <c r="S41" i="30"/>
  <c r="I122" i="32" l="1"/>
  <c r="H121" i="31"/>
  <c r="I121" i="31"/>
  <c r="H80" i="25"/>
  <c r="I80" i="25" s="1"/>
  <c r="H81" i="25"/>
  <c r="H82" i="25"/>
  <c r="H83" i="25"/>
  <c r="H84" i="25"/>
  <c r="H78" i="25"/>
  <c r="L46" i="26"/>
  <c r="L44" i="26"/>
  <c r="L42" i="26"/>
  <c r="L40" i="26"/>
  <c r="I40" i="26" l="1"/>
  <c r="I39" i="26"/>
  <c r="H58" i="25"/>
  <c r="G58" i="25"/>
  <c r="G56" i="25"/>
  <c r="I56" i="25" s="1"/>
  <c r="L38" i="26"/>
  <c r="H28" i="29"/>
  <c r="T33" i="30" l="1"/>
  <c r="T31" i="30"/>
  <c r="R31" i="30"/>
  <c r="S33" i="30"/>
  <c r="T35" i="30"/>
  <c r="T29" i="30"/>
  <c r="S29" i="30"/>
  <c r="S38" i="30" s="1"/>
  <c r="R27" i="30"/>
  <c r="Q27" i="30"/>
  <c r="Q38" i="30" s="1"/>
  <c r="T25" i="30"/>
  <c r="R25" i="30"/>
  <c r="P25" i="30"/>
  <c r="S25" i="30"/>
  <c r="Q25" i="30"/>
  <c r="O25" i="30"/>
  <c r="I24" i="25" l="1"/>
  <c r="I34" i="22"/>
  <c r="I35" i="22"/>
  <c r="J35" i="22" s="1"/>
  <c r="L34" i="26"/>
  <c r="L36" i="26" s="1"/>
  <c r="H40" i="25"/>
  <c r="G40" i="25"/>
  <c r="L51" i="23"/>
  <c r="J34" i="22" l="1"/>
  <c r="E19" i="30"/>
  <c r="I17" i="25"/>
  <c r="H18" i="25"/>
  <c r="G28" i="30"/>
  <c r="E27" i="30"/>
  <c r="N4" i="30"/>
  <c r="N5" i="30"/>
  <c r="N3" i="30"/>
  <c r="C26" i="30" l="1"/>
  <c r="I14" i="25" l="1"/>
  <c r="I15" i="25"/>
  <c r="I16" i="25"/>
  <c r="I18" i="25"/>
  <c r="I20" i="25"/>
  <c r="I21" i="25"/>
  <c r="I23" i="25"/>
  <c r="I25" i="25"/>
  <c r="I27" i="25"/>
  <c r="I28" i="25"/>
  <c r="I29" i="25"/>
  <c r="I30" i="25"/>
  <c r="I31" i="25"/>
  <c r="I32" i="25"/>
  <c r="I33" i="25"/>
  <c r="I36" i="25"/>
  <c r="I37" i="25"/>
  <c r="I38" i="25"/>
  <c r="I40" i="25"/>
  <c r="I41" i="25"/>
  <c r="I43" i="25"/>
  <c r="I44" i="25"/>
  <c r="I45" i="25"/>
  <c r="I46" i="25"/>
  <c r="I47" i="25"/>
  <c r="I48" i="25"/>
  <c r="I49" i="25"/>
  <c r="I50" i="25"/>
  <c r="I13" i="25"/>
  <c r="I24" i="30"/>
  <c r="E24" i="30" l="1"/>
  <c r="D23" i="30"/>
  <c r="B19" i="30"/>
  <c r="D19" i="30"/>
  <c r="C19" i="30"/>
  <c r="H6" i="29"/>
  <c r="H5" i="29"/>
  <c r="H4" i="29"/>
  <c r="H3" i="29"/>
  <c r="H2" i="29"/>
  <c r="H1" i="29"/>
  <c r="J44" i="22"/>
  <c r="J10" i="22"/>
  <c r="I52" i="26"/>
  <c r="I53" i="26"/>
  <c r="I54" i="26"/>
  <c r="I48" i="26"/>
  <c r="I43" i="26"/>
  <c r="I13" i="26"/>
  <c r="I14" i="26"/>
  <c r="I15" i="26"/>
  <c r="I16" i="26"/>
  <c r="I17" i="26"/>
  <c r="I18" i="26"/>
  <c r="I19" i="26"/>
  <c r="I20" i="26"/>
  <c r="I22" i="26"/>
  <c r="I24" i="26"/>
  <c r="I25" i="26"/>
  <c r="I26" i="26"/>
  <c r="I29" i="26"/>
  <c r="I30" i="26"/>
  <c r="I31" i="26"/>
  <c r="I32" i="26"/>
  <c r="I33" i="26"/>
  <c r="I34" i="26"/>
  <c r="I36" i="26"/>
  <c r="I37" i="26"/>
  <c r="I38" i="26"/>
  <c r="H121" i="26"/>
  <c r="G121" i="26"/>
  <c r="I120" i="26"/>
  <c r="I119" i="26"/>
  <c r="I118" i="26"/>
  <c r="I117" i="26"/>
  <c r="I116" i="26"/>
  <c r="I115" i="26"/>
  <c r="I114" i="26"/>
  <c r="I113" i="26"/>
  <c r="I112" i="26"/>
  <c r="I111" i="26"/>
  <c r="I110" i="26"/>
  <c r="I109" i="26"/>
  <c r="I108" i="26"/>
  <c r="I107" i="26"/>
  <c r="I106" i="26"/>
  <c r="I105" i="26"/>
  <c r="I104" i="26"/>
  <c r="I103" i="26"/>
  <c r="I102" i="26"/>
  <c r="I101" i="26"/>
  <c r="I100" i="26"/>
  <c r="I99" i="26"/>
  <c r="I98" i="26"/>
  <c r="I97" i="26"/>
  <c r="I96" i="26"/>
  <c r="I95" i="26"/>
  <c r="I94" i="26"/>
  <c r="I93" i="26"/>
  <c r="I92" i="26"/>
  <c r="I91" i="26"/>
  <c r="I90" i="26"/>
  <c r="I89" i="26"/>
  <c r="I88" i="26"/>
  <c r="I87" i="26"/>
  <c r="I86" i="26"/>
  <c r="I85" i="26"/>
  <c r="I84" i="26"/>
  <c r="I83" i="26"/>
  <c r="I82" i="26"/>
  <c r="I81" i="26"/>
  <c r="I80" i="26"/>
  <c r="I79" i="26"/>
  <c r="I78" i="26"/>
  <c r="I77" i="26"/>
  <c r="I76" i="26"/>
  <c r="I75" i="26"/>
  <c r="I74" i="26"/>
  <c r="I73" i="26"/>
  <c r="I72" i="26"/>
  <c r="I71" i="26"/>
  <c r="I70" i="26"/>
  <c r="I69" i="26"/>
  <c r="I68" i="26"/>
  <c r="I67" i="26"/>
  <c r="I66" i="26"/>
  <c r="I65" i="26"/>
  <c r="I64" i="26"/>
  <c r="I63" i="26"/>
  <c r="I62" i="26"/>
  <c r="I61" i="26"/>
  <c r="I60" i="26"/>
  <c r="I59" i="26"/>
  <c r="I58" i="26"/>
  <c r="I57" i="26"/>
  <c r="I56" i="26"/>
  <c r="I55" i="26"/>
  <c r="I51" i="26"/>
  <c r="I50" i="26"/>
  <c r="I49" i="26"/>
  <c r="I46" i="26"/>
  <c r="I45" i="26"/>
  <c r="I44" i="26"/>
  <c r="I42" i="26"/>
  <c r="H117" i="25"/>
  <c r="G117" i="25"/>
  <c r="I116" i="25"/>
  <c r="I115" i="25"/>
  <c r="I114" i="25"/>
  <c r="I113" i="25"/>
  <c r="I112" i="25"/>
  <c r="I111" i="25"/>
  <c r="I110" i="25"/>
  <c r="I109" i="25"/>
  <c r="I108" i="25"/>
  <c r="I107" i="25"/>
  <c r="I106" i="25"/>
  <c r="I105" i="25"/>
  <c r="I104" i="25"/>
  <c r="I103" i="25"/>
  <c r="I102" i="25"/>
  <c r="I101" i="25"/>
  <c r="I100" i="25"/>
  <c r="I99" i="25"/>
  <c r="I98" i="25"/>
  <c r="I97" i="25"/>
  <c r="I96" i="25"/>
  <c r="I95" i="25"/>
  <c r="I94" i="25"/>
  <c r="I93" i="25"/>
  <c r="I92" i="25"/>
  <c r="I91" i="25"/>
  <c r="I90" i="25"/>
  <c r="I89" i="25"/>
  <c r="I88" i="25"/>
  <c r="I87" i="25"/>
  <c r="I6" i="25"/>
  <c r="I86" i="25"/>
  <c r="I85" i="25"/>
  <c r="I84" i="25"/>
  <c r="I83" i="25"/>
  <c r="I82" i="25"/>
  <c r="I81" i="25"/>
  <c r="I79" i="25"/>
  <c r="I78" i="25"/>
  <c r="I77" i="25"/>
  <c r="I76" i="25"/>
  <c r="I75" i="25"/>
  <c r="I74" i="25"/>
  <c r="I73" i="25"/>
  <c r="I72" i="25"/>
  <c r="I71" i="25"/>
  <c r="I70" i="25"/>
  <c r="I69" i="25"/>
  <c r="I68" i="25"/>
  <c r="I67" i="25"/>
  <c r="I66" i="25"/>
  <c r="I65" i="25"/>
  <c r="I64" i="25"/>
  <c r="I63" i="25"/>
  <c r="I62" i="25"/>
  <c r="I61" i="25"/>
  <c r="I60" i="25"/>
  <c r="I59" i="25"/>
  <c r="I58" i="25"/>
  <c r="I55" i="25"/>
  <c r="I54" i="25"/>
  <c r="I53" i="25"/>
  <c r="I51" i="25"/>
  <c r="L119" i="25" l="1"/>
  <c r="I117" i="25"/>
  <c r="F27" i="30"/>
  <c r="G27" i="30" s="1"/>
  <c r="E23" i="30"/>
  <c r="I121" i="26"/>
  <c r="L45" i="23"/>
  <c r="L38" i="23"/>
  <c r="I39" i="22" l="1"/>
  <c r="J39" i="22" s="1"/>
  <c r="G8" i="23"/>
  <c r="L32" i="23"/>
  <c r="L29" i="23"/>
  <c r="I25" i="23"/>
  <c r="I48" i="22" l="1"/>
  <c r="I24" i="22"/>
  <c r="J24" i="22" s="1"/>
  <c r="I11" i="23"/>
  <c r="I10" i="23"/>
  <c r="I17" i="23"/>
  <c r="H117" i="23"/>
  <c r="G117" i="23"/>
  <c r="I116" i="23"/>
  <c r="I115" i="23"/>
  <c r="I114" i="23"/>
  <c r="I113" i="23"/>
  <c r="I112" i="23"/>
  <c r="I111" i="23"/>
  <c r="I110" i="23"/>
  <c r="I109" i="23"/>
  <c r="I108" i="23"/>
  <c r="I107" i="23"/>
  <c r="I106" i="23"/>
  <c r="I105" i="23"/>
  <c r="I104" i="23"/>
  <c r="I103" i="23"/>
  <c r="I102" i="23"/>
  <c r="I101" i="23"/>
  <c r="I100" i="23"/>
  <c r="I99" i="23"/>
  <c r="I98" i="23"/>
  <c r="I97" i="23"/>
  <c r="I96" i="23"/>
  <c r="I95" i="23"/>
  <c r="I94" i="23"/>
  <c r="I93" i="23"/>
  <c r="I92" i="23"/>
  <c r="I91" i="23"/>
  <c r="I90" i="23"/>
  <c r="I89" i="23"/>
  <c r="I88" i="23"/>
  <c r="I87" i="23"/>
  <c r="I86" i="23"/>
  <c r="I85" i="23"/>
  <c r="I84" i="23"/>
  <c r="I83" i="23"/>
  <c r="I82" i="23"/>
  <c r="I81" i="23"/>
  <c r="I80" i="23"/>
  <c r="I79" i="23"/>
  <c r="I78" i="23"/>
  <c r="I77" i="23"/>
  <c r="I76" i="23"/>
  <c r="I75" i="23"/>
  <c r="I74" i="23"/>
  <c r="I73" i="23"/>
  <c r="I72" i="23"/>
  <c r="I71" i="23"/>
  <c r="I70" i="23"/>
  <c r="I69" i="23"/>
  <c r="I68" i="23"/>
  <c r="I67" i="23"/>
  <c r="I66" i="23"/>
  <c r="I65" i="23"/>
  <c r="I64" i="23"/>
  <c r="I63" i="23"/>
  <c r="I62" i="23"/>
  <c r="I61" i="23"/>
  <c r="I60" i="23"/>
  <c r="I59" i="23"/>
  <c r="I58" i="23"/>
  <c r="I57" i="23"/>
  <c r="I56" i="23"/>
  <c r="I54" i="23"/>
  <c r="I53" i="23"/>
  <c r="I52" i="23"/>
  <c r="I51" i="23"/>
  <c r="I48" i="23"/>
  <c r="I47" i="23"/>
  <c r="I46" i="23"/>
  <c r="I45" i="23"/>
  <c r="I44" i="23"/>
  <c r="I43" i="23"/>
  <c r="I42" i="23"/>
  <c r="I41" i="23"/>
  <c r="I39" i="23"/>
  <c r="I38" i="23"/>
  <c r="I37" i="23"/>
  <c r="I36" i="23"/>
  <c r="I35" i="23"/>
  <c r="I34" i="23"/>
  <c r="I33" i="23"/>
  <c r="I32" i="23"/>
  <c r="I31" i="23"/>
  <c r="I30" i="23"/>
  <c r="I29" i="23"/>
  <c r="I28" i="23"/>
  <c r="I27" i="23"/>
  <c r="I26" i="23"/>
  <c r="I24" i="23"/>
  <c r="I23" i="23"/>
  <c r="I22" i="23"/>
  <c r="I16" i="23"/>
  <c r="I14" i="23"/>
  <c r="I12" i="23"/>
  <c r="I20" i="22"/>
  <c r="J20" i="22" s="1"/>
  <c r="I26" i="22"/>
  <c r="J26" i="22" s="1"/>
  <c r="I51" i="22"/>
  <c r="J51" i="22" s="1"/>
  <c r="I33" i="22"/>
  <c r="I12" i="22"/>
  <c r="J12" i="22" s="1"/>
  <c r="I21" i="22"/>
  <c r="J21" i="22" s="1"/>
  <c r="I43" i="22"/>
  <c r="J43" i="22" s="1"/>
  <c r="I42" i="22"/>
  <c r="J42" i="22" s="1"/>
  <c r="I50" i="22"/>
  <c r="J50" i="22" s="1"/>
  <c r="I19" i="22"/>
  <c r="J19" i="22" s="1"/>
  <c r="I11" i="22"/>
  <c r="J11" i="22" s="1"/>
  <c r="I9" i="22"/>
  <c r="J9" i="22" s="1"/>
  <c r="I29" i="22"/>
  <c r="J29" i="22" s="1"/>
  <c r="I25" i="22"/>
  <c r="J25" i="22" s="1"/>
  <c r="I32" i="22"/>
  <c r="J32" i="22" s="1"/>
  <c r="I49" i="22"/>
  <c r="J49" i="22" s="1"/>
  <c r="I30" i="22"/>
  <c r="J30" i="22" s="1"/>
  <c r="I41" i="22"/>
  <c r="J41" i="22" s="1"/>
  <c r="I16" i="22"/>
  <c r="J16" i="22" s="1"/>
  <c r="I40" i="22"/>
  <c r="J40" i="22" s="1"/>
  <c r="I55" i="22"/>
  <c r="J55" i="22" s="1"/>
  <c r="I8" i="22"/>
  <c r="J8" i="22" s="1"/>
  <c r="H119" i="22"/>
  <c r="G119" i="22"/>
  <c r="I118" i="22"/>
  <c r="J118" i="22" s="1"/>
  <c r="I117" i="22"/>
  <c r="J117" i="22" s="1"/>
  <c r="I116" i="22"/>
  <c r="J116" i="22" s="1"/>
  <c r="I115" i="22"/>
  <c r="J115" i="22" s="1"/>
  <c r="I114" i="22"/>
  <c r="J114" i="22" s="1"/>
  <c r="I113" i="22"/>
  <c r="J113" i="22" s="1"/>
  <c r="I112" i="22"/>
  <c r="J112" i="22" s="1"/>
  <c r="I111" i="22"/>
  <c r="J111" i="22" s="1"/>
  <c r="I110" i="22"/>
  <c r="J110" i="22" s="1"/>
  <c r="I109" i="22"/>
  <c r="J109" i="22" s="1"/>
  <c r="I108" i="22"/>
  <c r="J108" i="22" s="1"/>
  <c r="I107" i="22"/>
  <c r="J107" i="22" s="1"/>
  <c r="I106" i="22"/>
  <c r="J106" i="22" s="1"/>
  <c r="I105" i="22"/>
  <c r="J105" i="22" s="1"/>
  <c r="I104" i="22"/>
  <c r="J104" i="22" s="1"/>
  <c r="I103" i="22"/>
  <c r="J103" i="22" s="1"/>
  <c r="I102" i="22"/>
  <c r="J102" i="22" s="1"/>
  <c r="I101" i="22"/>
  <c r="J101" i="22" s="1"/>
  <c r="I100" i="22"/>
  <c r="J100" i="22" s="1"/>
  <c r="I99" i="22"/>
  <c r="J99" i="22" s="1"/>
  <c r="I98" i="22"/>
  <c r="J98" i="22" s="1"/>
  <c r="I97" i="22"/>
  <c r="J97" i="22" s="1"/>
  <c r="I96" i="22"/>
  <c r="J96" i="22" s="1"/>
  <c r="I95" i="22"/>
  <c r="J95" i="22" s="1"/>
  <c r="I94" i="22"/>
  <c r="J94" i="22" s="1"/>
  <c r="I93" i="22"/>
  <c r="J93" i="22" s="1"/>
  <c r="I92" i="22"/>
  <c r="J92" i="22" s="1"/>
  <c r="I91" i="22"/>
  <c r="J91" i="22" s="1"/>
  <c r="I90" i="22"/>
  <c r="J90" i="22" s="1"/>
  <c r="I89" i="22"/>
  <c r="J89" i="22" s="1"/>
  <c r="I88" i="22"/>
  <c r="J88" i="22" s="1"/>
  <c r="I87" i="22"/>
  <c r="J87" i="22" s="1"/>
  <c r="I86" i="22"/>
  <c r="J86" i="22" s="1"/>
  <c r="I85" i="22"/>
  <c r="J85" i="22" s="1"/>
  <c r="I84" i="22"/>
  <c r="J84" i="22" s="1"/>
  <c r="I83" i="22"/>
  <c r="J83" i="22" s="1"/>
  <c r="I82" i="22"/>
  <c r="J82" i="22" s="1"/>
  <c r="I81" i="22"/>
  <c r="J81" i="22" s="1"/>
  <c r="I80" i="22"/>
  <c r="J80" i="22" s="1"/>
  <c r="I79" i="22"/>
  <c r="J79" i="22" s="1"/>
  <c r="I78" i="22"/>
  <c r="J78" i="22" s="1"/>
  <c r="I77" i="22"/>
  <c r="J77" i="22" s="1"/>
  <c r="I76" i="22"/>
  <c r="J76" i="22" s="1"/>
  <c r="I75" i="22"/>
  <c r="J75" i="22" s="1"/>
  <c r="I74" i="22"/>
  <c r="J74" i="22" s="1"/>
  <c r="I73" i="22"/>
  <c r="J73" i="22" s="1"/>
  <c r="I72" i="22"/>
  <c r="J72" i="22" s="1"/>
  <c r="I71" i="22"/>
  <c r="J71" i="22" s="1"/>
  <c r="I70" i="22"/>
  <c r="J70" i="22" s="1"/>
  <c r="I69" i="22"/>
  <c r="J69" i="22" s="1"/>
  <c r="I68" i="22"/>
  <c r="J68" i="22" s="1"/>
  <c r="I67" i="22"/>
  <c r="J67" i="22" s="1"/>
  <c r="I66" i="22"/>
  <c r="J66" i="22" s="1"/>
  <c r="I65" i="22"/>
  <c r="J65" i="22" s="1"/>
  <c r="I64" i="22"/>
  <c r="J64" i="22" s="1"/>
  <c r="I63" i="22"/>
  <c r="J63" i="22" s="1"/>
  <c r="I62" i="22"/>
  <c r="J62" i="22" s="1"/>
  <c r="I61" i="22"/>
  <c r="J61" i="22" s="1"/>
  <c r="I60" i="22"/>
  <c r="J60" i="22" s="1"/>
  <c r="I59" i="22"/>
  <c r="J59" i="22" s="1"/>
  <c r="I58" i="22"/>
  <c r="J58" i="22" s="1"/>
  <c r="I57" i="22"/>
  <c r="J57" i="22" s="1"/>
  <c r="I56" i="22"/>
  <c r="J56" i="22" s="1"/>
  <c r="I23" i="22"/>
  <c r="J23" i="22" s="1"/>
  <c r="I37" i="22"/>
  <c r="J37" i="22" s="1"/>
  <c r="I31" i="22"/>
  <c r="J31" i="22" s="1"/>
  <c r="I15" i="22"/>
  <c r="J15" i="22" s="1"/>
  <c r="I14" i="22"/>
  <c r="J14" i="22" s="1"/>
  <c r="I18" i="22"/>
  <c r="J18" i="22" s="1"/>
  <c r="I38" i="22"/>
  <c r="J38" i="22" s="1"/>
  <c r="I27" i="22"/>
  <c r="J27" i="22" s="1"/>
  <c r="I17" i="22"/>
  <c r="J17" i="22" s="1"/>
  <c r="I36" i="22"/>
  <c r="I28" i="22"/>
  <c r="J28" i="22" s="1"/>
  <c r="I47" i="22"/>
  <c r="J47" i="22" s="1"/>
  <c r="I54" i="22"/>
  <c r="J54" i="22" s="1"/>
  <c r="I53" i="22"/>
  <c r="J53" i="22" s="1"/>
  <c r="I46" i="22"/>
  <c r="J46" i="22" s="1"/>
  <c r="I45" i="22"/>
  <c r="J45" i="22" s="1"/>
  <c r="I52" i="22"/>
  <c r="J52" i="22" s="1"/>
  <c r="I13" i="22"/>
  <c r="J13" i="22" s="1"/>
  <c r="I22" i="22"/>
  <c r="J22" i="22" s="1"/>
  <c r="J36" i="22" l="1"/>
  <c r="H8" i="29" a="1"/>
  <c r="H8" i="29" s="1"/>
  <c r="J33" i="22"/>
  <c r="I117" i="23"/>
  <c r="I119" i="22"/>
  <c r="I451" i="14"/>
  <c r="H451" i="14"/>
  <c r="J450" i="14"/>
  <c r="J451" i="14" s="1"/>
  <c r="K256" i="14"/>
  <c r="K215" i="14"/>
  <c r="J451" i="13"/>
  <c r="I451" i="13"/>
  <c r="H451" i="13"/>
  <c r="J450" i="13"/>
  <c r="K256" i="13"/>
  <c r="K215" i="13"/>
  <c r="I451" i="10"/>
  <c r="H451" i="10"/>
  <c r="J450" i="10"/>
  <c r="J451" i="10" s="1"/>
  <c r="K256" i="10"/>
  <c r="K215" i="10"/>
  <c r="J119" i="2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<sst xmlns="http://schemas.openxmlformats.org/spreadsheetml/2006/main" count="4239" uniqueCount="698">
  <si>
    <t>MONTH</t>
  </si>
  <si>
    <t xml:space="preserve">DATE </t>
  </si>
  <si>
    <t>GRV - YES/NO</t>
  </si>
  <si>
    <t xml:space="preserve">SUPPLIER NAME </t>
  </si>
  <si>
    <t xml:space="preserve">INV / NUMBER </t>
  </si>
  <si>
    <t xml:space="preserve">DEPARTMENT </t>
  </si>
  <si>
    <t>AMOUNT EXCL</t>
  </si>
  <si>
    <t>VAT</t>
  </si>
  <si>
    <t>AMOUNT INCL</t>
  </si>
  <si>
    <t>PAID</t>
  </si>
  <si>
    <t>Week:</t>
  </si>
  <si>
    <t>Repairs</t>
  </si>
  <si>
    <t>Pest Control</t>
  </si>
  <si>
    <t>SAFFI LAM PTY LTD</t>
  </si>
  <si>
    <t>2025/05/01  -  2025/05/31</t>
  </si>
  <si>
    <t>GRV NUMBER</t>
  </si>
  <si>
    <t>READY TO PAY - IF CAPTURED</t>
  </si>
  <si>
    <t>Cleaning</t>
  </si>
  <si>
    <t>Printing</t>
  </si>
  <si>
    <t>Advertising</t>
  </si>
  <si>
    <t>Small Assets</t>
  </si>
  <si>
    <t>Refuse Removal</t>
  </si>
  <si>
    <t>Casual Wages</t>
  </si>
  <si>
    <t>Transport</t>
  </si>
  <si>
    <t>Consulting Fees</t>
  </si>
  <si>
    <t>Labour Brokers</t>
  </si>
  <si>
    <t>Shop</t>
  </si>
  <si>
    <t>Bakery</t>
  </si>
  <si>
    <t>Coffee</t>
  </si>
  <si>
    <t>Forecourt</t>
  </si>
  <si>
    <t>Woolworths</t>
  </si>
  <si>
    <t>Any other not for store</t>
  </si>
  <si>
    <t xml:space="preserve"> JANUARY 2026</t>
  </si>
  <si>
    <t>Reference on BS</t>
  </si>
  <si>
    <t>SG Convenience</t>
  </si>
  <si>
    <t>YES</t>
  </si>
  <si>
    <t>02/01/2026</t>
  </si>
  <si>
    <t>Takis</t>
  </si>
  <si>
    <t>CD32-3493</t>
  </si>
  <si>
    <t>05/01/2026</t>
  </si>
  <si>
    <t>RFP Distributors</t>
  </si>
  <si>
    <t>06/01/2026</t>
  </si>
  <si>
    <t>NO</t>
  </si>
  <si>
    <t>09/01/2026</t>
  </si>
  <si>
    <t>Cardoso</t>
  </si>
  <si>
    <t>07/01/2026</t>
  </si>
  <si>
    <t>CITY OF EKURHULENI</t>
  </si>
  <si>
    <t>R4000,00 DEPOSIT IN MY ACCOUNT</t>
  </si>
  <si>
    <t>BUILDERS</t>
  </si>
  <si>
    <t>FROM TILL</t>
  </si>
  <si>
    <t>SAFETY SHOES</t>
  </si>
  <si>
    <t>PICK A PAY</t>
  </si>
  <si>
    <t>COFFEE/MILK</t>
  </si>
  <si>
    <t>SWIGIDI GROUP</t>
  </si>
  <si>
    <t>SHELF STRIPS</t>
  </si>
  <si>
    <t>WINPRO CHEMICALS</t>
  </si>
  <si>
    <t>F/C CLEANER/WLE</t>
  </si>
  <si>
    <t>GARDEN CLEANING MICHEAL</t>
  </si>
  <si>
    <t>GARDEN CLEAN</t>
  </si>
  <si>
    <t>DOOM</t>
  </si>
  <si>
    <t>OFFICE</t>
  </si>
  <si>
    <t xml:space="preserve">PAID </t>
  </si>
  <si>
    <t>08/01/2026</t>
  </si>
  <si>
    <t>BLUE RIBBON</t>
  </si>
  <si>
    <t>SHOP</t>
  </si>
  <si>
    <t>BAKERY</t>
  </si>
  <si>
    <t>11/01/2026</t>
  </si>
  <si>
    <t>WESTPACK</t>
  </si>
  <si>
    <t>DINA BANK</t>
  </si>
  <si>
    <t>TOTAL</t>
  </si>
  <si>
    <t>ENGEN JETPARK - SCHEDULE OF ACCOUNTS</t>
  </si>
  <si>
    <t>GASLINK</t>
  </si>
  <si>
    <t>F1 PACKAGING</t>
  </si>
  <si>
    <t>12/01/2026</t>
  </si>
  <si>
    <t>EFT</t>
  </si>
  <si>
    <t>13/01/2026</t>
  </si>
  <si>
    <t>Key Distributors</t>
  </si>
  <si>
    <t>F/C</t>
  </si>
  <si>
    <t>ATLANTIC ICE</t>
  </si>
  <si>
    <t>Lettuce eat</t>
  </si>
  <si>
    <t>Engen Fuel</t>
  </si>
  <si>
    <t>24/12/2025</t>
  </si>
  <si>
    <t>29/12/2025</t>
  </si>
  <si>
    <t>Engen Plain rd</t>
  </si>
  <si>
    <t>Uniforms</t>
  </si>
  <si>
    <t>14/01/2026</t>
  </si>
  <si>
    <t>Hazard</t>
  </si>
  <si>
    <t>Aksia sales</t>
  </si>
  <si>
    <t>15/01/2025</t>
  </si>
  <si>
    <t>Bamco</t>
  </si>
  <si>
    <t>Coolrunners</t>
  </si>
  <si>
    <t>15/01/2026</t>
  </si>
  <si>
    <t>HYCHEM</t>
  </si>
  <si>
    <t>16,01,2026</t>
  </si>
  <si>
    <t>16/01/2026</t>
  </si>
  <si>
    <t>DEEP FROZEN</t>
  </si>
  <si>
    <t>STEEL TABLE BAKERY</t>
  </si>
  <si>
    <t>L&amp;M BAKERY</t>
  </si>
  <si>
    <t>19/01/2026</t>
  </si>
  <si>
    <t>19/012026</t>
  </si>
  <si>
    <t>RULERITE</t>
  </si>
  <si>
    <t>CASH TATUM</t>
  </si>
  <si>
    <t>20/01/2026</t>
  </si>
  <si>
    <t>Crackly</t>
  </si>
  <si>
    <t>164-4827</t>
  </si>
  <si>
    <t>SASKO</t>
  </si>
  <si>
    <t>Digistics</t>
  </si>
  <si>
    <t>29/12/2026</t>
  </si>
  <si>
    <t>MICHEAL</t>
  </si>
  <si>
    <t>21/01/2026</t>
  </si>
  <si>
    <t>22/01/2026</t>
  </si>
  <si>
    <t>23/01/2026</t>
  </si>
  <si>
    <t>26/01/2026</t>
  </si>
  <si>
    <t>27/01/2026</t>
  </si>
  <si>
    <t>MAKRO</t>
  </si>
  <si>
    <t>28/01/2026</t>
  </si>
  <si>
    <t>CATERING SHOP</t>
  </si>
  <si>
    <t>19/12/2026</t>
  </si>
  <si>
    <t>VENTURA</t>
  </si>
  <si>
    <t>EFT GOT CREDIT OF R25141,44</t>
  </si>
  <si>
    <t>ENGEN OIL</t>
  </si>
  <si>
    <t>CATERCORP</t>
  </si>
  <si>
    <t>LIFESTYLE</t>
  </si>
  <si>
    <t>CHANGE</t>
  </si>
  <si>
    <t>DISCHEM</t>
  </si>
  <si>
    <t>FIRST AID KITS</t>
  </si>
  <si>
    <t>HOME ESSENTIALS</t>
  </si>
  <si>
    <t>TOOLS/LOCK</t>
  </si>
  <si>
    <t>JETPARK OWES DINA TAKEN FROM THE CHANGE</t>
  </si>
  <si>
    <t>RFP</t>
  </si>
  <si>
    <t>ENGEN FUEL</t>
  </si>
  <si>
    <t>LAST DROPS</t>
  </si>
  <si>
    <t>DINA FROM MAKRO</t>
  </si>
  <si>
    <t>TATUM FOR MAKRO</t>
  </si>
  <si>
    <t>PUT BACK IN CHANGE BOX</t>
  </si>
  <si>
    <t>LITTLE FAIRY GARDEN SERVICE</t>
  </si>
  <si>
    <t>LF001</t>
  </si>
  <si>
    <t xml:space="preserve"> FEBRUARY 2026</t>
  </si>
  <si>
    <t>GARDEN</t>
  </si>
  <si>
    <t>29/01/2026</t>
  </si>
  <si>
    <t>CLOVER</t>
  </si>
  <si>
    <t>TATUM CASH</t>
  </si>
  <si>
    <t>BAKE IT EASY</t>
  </si>
  <si>
    <t>30/01/2026</t>
  </si>
  <si>
    <t>ALBANY</t>
  </si>
  <si>
    <t>F/O</t>
  </si>
  <si>
    <t xml:space="preserve">Bank </t>
  </si>
  <si>
    <t>Account Num</t>
  </si>
  <si>
    <t>Sort Code</t>
  </si>
  <si>
    <t>Supplier</t>
  </si>
  <si>
    <t>FNB</t>
  </si>
  <si>
    <t>NEDBANK BUSINESS</t>
  </si>
  <si>
    <t>BAMCO</t>
  </si>
  <si>
    <t>REF</t>
  </si>
  <si>
    <t>1200 FUEL ROCK</t>
  </si>
  <si>
    <t>ENG315</t>
  </si>
  <si>
    <t>KEY DISTRIBUTORS</t>
  </si>
  <si>
    <t>FCE146</t>
  </si>
  <si>
    <t>ENG154</t>
  </si>
  <si>
    <t>SG CONVENIENCE</t>
  </si>
  <si>
    <t>1FORENG1002</t>
  </si>
  <si>
    <t xml:space="preserve">NEDBANK </t>
  </si>
  <si>
    <t>2483DF</t>
  </si>
  <si>
    <t>LETTUCE EAT</t>
  </si>
  <si>
    <t>STB</t>
  </si>
  <si>
    <t>ENGEN JETPARK</t>
  </si>
  <si>
    <t>FUEL ROCK</t>
  </si>
  <si>
    <t>CRACKLYS</t>
  </si>
  <si>
    <t>TAKIS</t>
  </si>
  <si>
    <t>COOLRUNNERS</t>
  </si>
  <si>
    <t>JHS594</t>
  </si>
  <si>
    <t>AKSIA</t>
  </si>
  <si>
    <t>HAZARD</t>
  </si>
  <si>
    <t>EBN015</t>
  </si>
  <si>
    <t>O22934707</t>
  </si>
  <si>
    <t>LASAFRE</t>
  </si>
  <si>
    <t>ABSA</t>
  </si>
  <si>
    <t>ENGEN4</t>
  </si>
  <si>
    <t>MAINT</t>
  </si>
  <si>
    <t xml:space="preserve">SHANE </t>
  </si>
  <si>
    <t>DATE</t>
  </si>
  <si>
    <t>AMOUNT</t>
  </si>
  <si>
    <t>21/12/2026</t>
  </si>
  <si>
    <t xml:space="preserve">ULP93 </t>
  </si>
  <si>
    <t>ULP95</t>
  </si>
  <si>
    <t>DIESEL</t>
  </si>
  <si>
    <t>ULP93 E/PRICE</t>
  </si>
  <si>
    <t>ULP95 E/PRICE</t>
  </si>
  <si>
    <t>DIESEL E/PRICE</t>
  </si>
  <si>
    <t>ULP93 P/PRICE</t>
  </si>
  <si>
    <t>ULP95 P/PRICE</t>
  </si>
  <si>
    <t>DIESEL P/PRICE</t>
  </si>
  <si>
    <t>21/01/2026 CREDIT ENGEN FOR DIESEL</t>
  </si>
  <si>
    <t>620 301 573 50</t>
  </si>
  <si>
    <t>25 50 05</t>
  </si>
  <si>
    <t>LESAFRE</t>
  </si>
  <si>
    <t>DIGISTICS</t>
  </si>
  <si>
    <t>7FEF-A</t>
  </si>
  <si>
    <t>11615L</t>
  </si>
  <si>
    <t>CREDIT</t>
  </si>
  <si>
    <t>LITERS</t>
  </si>
  <si>
    <t>SHORT</t>
  </si>
  <si>
    <t>UPLIFT</t>
  </si>
  <si>
    <t>CREDIT STIL TO COME FROM Engen</t>
  </si>
  <si>
    <t>31/01/2026</t>
  </si>
  <si>
    <t>TOP MART</t>
  </si>
  <si>
    <t xml:space="preserve">TATUM  </t>
  </si>
  <si>
    <t>VALUE MART</t>
  </si>
  <si>
    <t>02/02/2026</t>
  </si>
  <si>
    <t>CHINES SHOP</t>
  </si>
  <si>
    <t>EXTENSIONS</t>
  </si>
  <si>
    <t>PAID FROM TILL</t>
  </si>
  <si>
    <t>SONDELA EGGS</t>
  </si>
  <si>
    <t xml:space="preserve">JM FOODS </t>
  </si>
  <si>
    <t>BIOTECH</t>
  </si>
  <si>
    <t>TOTAL RISK</t>
  </si>
  <si>
    <t>ENJ9001</t>
  </si>
  <si>
    <t>03/02/2026</t>
  </si>
  <si>
    <t>CLEANING</t>
  </si>
  <si>
    <t>04/02/2026</t>
  </si>
  <si>
    <t>TAKEN 5 CRATES</t>
  </si>
  <si>
    <t>COINDEN</t>
  </si>
  <si>
    <t>MAINTENANCE</t>
  </si>
  <si>
    <t>GERHARD</t>
  </si>
  <si>
    <t xml:space="preserve">SUPPLIER </t>
  </si>
  <si>
    <t>NAME</t>
  </si>
  <si>
    <t>PHONE</t>
  </si>
  <si>
    <t>NANCY</t>
  </si>
  <si>
    <t>O798974291</t>
  </si>
  <si>
    <t>O832961058</t>
  </si>
  <si>
    <t>JM FOOD</t>
  </si>
  <si>
    <t>JIM</t>
  </si>
  <si>
    <t>O730848732</t>
  </si>
  <si>
    <t>AIMY</t>
  </si>
  <si>
    <t>O609667117</t>
  </si>
  <si>
    <t>AKSIA SALES</t>
  </si>
  <si>
    <t>SG</t>
  </si>
  <si>
    <t>BIANCA</t>
  </si>
  <si>
    <t>O828234094</t>
  </si>
  <si>
    <t>RAGMAD</t>
  </si>
  <si>
    <t>O783673957</t>
  </si>
  <si>
    <t>O780989317</t>
  </si>
  <si>
    <t>O712333496</t>
  </si>
  <si>
    <t>ROLLING CHICKEN</t>
  </si>
  <si>
    <t>FRANS</t>
  </si>
  <si>
    <t>O797486672</t>
  </si>
  <si>
    <t>HANCO PACKAGING</t>
  </si>
  <si>
    <t>MARIO</t>
  </si>
  <si>
    <t>O726931814</t>
  </si>
  <si>
    <t>RICHES</t>
  </si>
  <si>
    <t>JT</t>
  </si>
  <si>
    <t>O825664166</t>
  </si>
  <si>
    <t>NICOLEEN</t>
  </si>
  <si>
    <t>O656629791</t>
  </si>
  <si>
    <t xml:space="preserve">CLOVER </t>
  </si>
  <si>
    <t>PRINCE</t>
  </si>
  <si>
    <t>O720597623</t>
  </si>
  <si>
    <t>KYE DISTRIBUTORS</t>
  </si>
  <si>
    <t>MPUMI</t>
  </si>
  <si>
    <t>O639466353</t>
  </si>
  <si>
    <t>ABI</t>
  </si>
  <si>
    <t>THAPELO</t>
  </si>
  <si>
    <t>O820798691</t>
  </si>
  <si>
    <t>MOHAMED</t>
  </si>
  <si>
    <t>O674110182</t>
  </si>
  <si>
    <t>O815961801</t>
  </si>
  <si>
    <t>GERALD</t>
  </si>
  <si>
    <t>O746535798</t>
  </si>
  <si>
    <t>O823951352</t>
  </si>
  <si>
    <t>MANDY</t>
  </si>
  <si>
    <t>O825615847</t>
  </si>
  <si>
    <t>BONGANI</t>
  </si>
  <si>
    <t>O826466724</t>
  </si>
  <si>
    <t>O789197537</t>
  </si>
  <si>
    <t>05/02/2026</t>
  </si>
  <si>
    <t>SKV</t>
  </si>
  <si>
    <t>CARPET</t>
  </si>
  <si>
    <t>OASIS WATER</t>
  </si>
  <si>
    <t>PAID BY TATUM</t>
  </si>
  <si>
    <t>PAID EFT</t>
  </si>
  <si>
    <t>06/02/2026</t>
  </si>
  <si>
    <t>W CONVINIENCE</t>
  </si>
  <si>
    <t>WICKED CONVINIENCE</t>
  </si>
  <si>
    <t>07/02/2026</t>
  </si>
  <si>
    <t>KEY</t>
  </si>
  <si>
    <t>09/02/2026</t>
  </si>
  <si>
    <t>EFTpd28/01/26</t>
  </si>
  <si>
    <t>EFT pd28/01/26</t>
  </si>
  <si>
    <t>10/02/2026</t>
  </si>
  <si>
    <t>EFT PD05/02/2026</t>
  </si>
  <si>
    <t>EFTPD05/02/2026</t>
  </si>
  <si>
    <t>EFTPD 26/01/2026</t>
  </si>
  <si>
    <t>EFTPD03/02/2026</t>
  </si>
  <si>
    <t>EFTPD05/02/26</t>
  </si>
  <si>
    <t>F1</t>
  </si>
  <si>
    <t>11/02/2026</t>
  </si>
  <si>
    <t>MERRICK ACCOUNTING FUELROCK</t>
  </si>
  <si>
    <t>MERRICK ACCOUNTING SASKIA</t>
  </si>
  <si>
    <t>261883/261749</t>
  </si>
  <si>
    <t>LOCKS</t>
  </si>
  <si>
    <t>PAID FROM LAST DROPS R3350,00</t>
  </si>
  <si>
    <t>CHECKERS</t>
  </si>
  <si>
    <t>DORIS CAKE</t>
  </si>
  <si>
    <t>CHANGE ON LAST DROPS</t>
  </si>
  <si>
    <t>COFFEE MACHINE</t>
  </si>
  <si>
    <t>TOILET PAPER</t>
  </si>
  <si>
    <t>EFT 12/02/26</t>
  </si>
  <si>
    <t>12/02/2026</t>
  </si>
  <si>
    <t>BENSON BDAY</t>
  </si>
  <si>
    <t>R200,00 FROM LAST DROPS TATUM</t>
  </si>
  <si>
    <t>R</t>
  </si>
  <si>
    <t>MOANA 06/02/26</t>
  </si>
  <si>
    <t>FLUSSING NOZELS TO RAPID TRUCK 06/02/26</t>
  </si>
  <si>
    <t>DIESEL UPLIFT TRUCK 02/02/26</t>
  </si>
  <si>
    <t>PETRO MONITOR FILTERING 11/02/26</t>
  </si>
  <si>
    <t>RAPID TRUCK 05/02/26</t>
  </si>
  <si>
    <t>RAPID TRUCK 04/02/26</t>
  </si>
  <si>
    <t>EFT16/01/26 CAPITEC</t>
  </si>
  <si>
    <t>EFT 26/01/26 FNB</t>
  </si>
  <si>
    <t xml:space="preserve">EFT </t>
  </si>
  <si>
    <t>G</t>
  </si>
  <si>
    <t>EFT 30/01/26 FNB</t>
  </si>
  <si>
    <t>EFT 11/02/26 FNB</t>
  </si>
  <si>
    <t>EFT 12/02/26FNB</t>
  </si>
  <si>
    <t>14/02/2026</t>
  </si>
  <si>
    <t>EFT 14/02/26 FNB</t>
  </si>
  <si>
    <t>EFT 10/02/26 FNB</t>
  </si>
  <si>
    <t>EFT14/02/26 FNB</t>
  </si>
  <si>
    <t>16/02/2026</t>
  </si>
  <si>
    <t>KYTA INDUSTRIES</t>
  </si>
  <si>
    <t>KYTA INDISTRIES</t>
  </si>
  <si>
    <t>EFT 28/01/2026 FNB</t>
  </si>
  <si>
    <t>EFT 28/01/26 FNB</t>
  </si>
  <si>
    <t>TEAM CLOTHING</t>
  </si>
  <si>
    <t>EFT 12/02/2026 FNB</t>
  </si>
  <si>
    <t>17/02/2026</t>
  </si>
  <si>
    <t>EFT 17/02/2026 FNB</t>
  </si>
  <si>
    <t>18/02/2026</t>
  </si>
  <si>
    <t>FROM LAST DROP</t>
  </si>
  <si>
    <t>LAST DROP</t>
  </si>
  <si>
    <t>ADVANCE COFFEE</t>
  </si>
  <si>
    <t>EJ100</t>
  </si>
  <si>
    <t>262736/262713</t>
  </si>
  <si>
    <t>PAID AT TILL</t>
  </si>
  <si>
    <t>FC</t>
  </si>
  <si>
    <t>19/02/2026</t>
  </si>
  <si>
    <t>RUBBEL REMOVEL POND</t>
  </si>
  <si>
    <t>SHANE EATING AREA STAFF</t>
  </si>
  <si>
    <t>WITFIELD HARDWARE</t>
  </si>
  <si>
    <t>PAID FROM LAST DROPS R146,70</t>
  </si>
  <si>
    <t>20/02/2026</t>
  </si>
  <si>
    <t>OLA</t>
  </si>
  <si>
    <t>O22593292</t>
  </si>
  <si>
    <t>REDOPS</t>
  </si>
  <si>
    <t>SECURITY</t>
  </si>
  <si>
    <t>I-2602-25097</t>
  </si>
  <si>
    <t>CONNIE TATUM DAUGHTER B/DAY CAKE</t>
  </si>
  <si>
    <t>PAID FROM LAST DROP R231</t>
  </si>
  <si>
    <t>EFT 20/02/2026</t>
  </si>
  <si>
    <t>EFT 20/02/2026 FNB</t>
  </si>
  <si>
    <t>EFT 05/02/26 FNB</t>
  </si>
  <si>
    <t>EFT 20/02/26 FNB</t>
  </si>
  <si>
    <t>PLUMBER</t>
  </si>
  <si>
    <t>PRICE SIGHN PAINT</t>
  </si>
  <si>
    <t>21/02/2026</t>
  </si>
  <si>
    <t>PAID FROM LAST DROP R95</t>
  </si>
  <si>
    <t>23/02/2026</t>
  </si>
  <si>
    <t>PAID FROM LAST DROP R351,66</t>
  </si>
  <si>
    <t>EFT 22/02/2026 FNB</t>
  </si>
  <si>
    <t>EFT 18/02/2026 FNB</t>
  </si>
  <si>
    <t>SUNBAKE</t>
  </si>
  <si>
    <t>ENG605/7FEF</t>
  </si>
  <si>
    <t>01/02/2026</t>
  </si>
  <si>
    <t>HSEQ</t>
  </si>
  <si>
    <t>UNIFORM</t>
  </si>
  <si>
    <t>24/02/2026</t>
  </si>
  <si>
    <t>STARS AND STRIPES</t>
  </si>
  <si>
    <t>UNIFORMS</t>
  </si>
  <si>
    <t>FROM CHANGE MONEY</t>
  </si>
  <si>
    <t>CHECKERS OIL</t>
  </si>
  <si>
    <t>LF002</t>
  </si>
  <si>
    <t>25/02/2026</t>
  </si>
  <si>
    <t>24/02/2025</t>
  </si>
  <si>
    <t>HANCO</t>
  </si>
  <si>
    <t>CHEKERS</t>
  </si>
  <si>
    <t>26/02/2026</t>
  </si>
  <si>
    <t>EFT 23/02/2026 FNB</t>
  </si>
  <si>
    <t>LA CONCORD</t>
  </si>
  <si>
    <t>O798224347</t>
  </si>
  <si>
    <t>TATUM TAPPED</t>
  </si>
  <si>
    <t>EFT 25/02/2026 FNB</t>
  </si>
  <si>
    <t>SHORT PAY ON OIL</t>
  </si>
  <si>
    <t>ENGEN</t>
  </si>
  <si>
    <t>O70192847</t>
  </si>
  <si>
    <t>1514053 7FEF</t>
  </si>
  <si>
    <t>PRICE SIGHN BOARD</t>
  </si>
  <si>
    <t>EFT  25/02/2026 FNB</t>
  </si>
  <si>
    <t>EFT 27/02/2026 FNB</t>
  </si>
  <si>
    <t>EFT27/02/2026 FNB</t>
  </si>
  <si>
    <t>27/02/2026 FNB</t>
  </si>
  <si>
    <t>27/02/2026</t>
  </si>
  <si>
    <t>28/02/2026</t>
  </si>
  <si>
    <t>SPAR MILK FOR BAKERY</t>
  </si>
  <si>
    <t xml:space="preserve"> MARCH 2026</t>
  </si>
  <si>
    <t>01/03/2026</t>
  </si>
  <si>
    <t>02/03/2026</t>
  </si>
  <si>
    <t>LETTUSE EAT</t>
  </si>
  <si>
    <t>JM FOODS</t>
  </si>
  <si>
    <t>ZONDELA EGGS</t>
  </si>
  <si>
    <t>SHOPRITE</t>
  </si>
  <si>
    <t>CHINESE SHOP</t>
  </si>
  <si>
    <t>BENSON PETROL</t>
  </si>
  <si>
    <t>PAID FROM CHANGE SAFE</t>
  </si>
  <si>
    <t>03/03/2026</t>
  </si>
  <si>
    <t>04/03/2026</t>
  </si>
  <si>
    <t>05/03/2026</t>
  </si>
  <si>
    <t>05/03/206</t>
  </si>
  <si>
    <t>HOSEPIPE</t>
  </si>
  <si>
    <t>MAINTANANCE</t>
  </si>
  <si>
    <t>TATUM EFT R1587,00 PAID THE BALANCE OF R57,50 FROM LAST DROPS</t>
  </si>
  <si>
    <t>W CON</t>
  </si>
  <si>
    <t>06/03/2026</t>
  </si>
  <si>
    <t>AMBULANCE</t>
  </si>
  <si>
    <t>STAFF</t>
  </si>
  <si>
    <t>RELYTECH</t>
  </si>
  <si>
    <t>EFT 06/03/2026 FNB</t>
  </si>
  <si>
    <t>BAKERY/SHOP</t>
  </si>
  <si>
    <t>PAID BY CARD CAPITEC</t>
  </si>
  <si>
    <t>COOL RUNNERS</t>
  </si>
  <si>
    <t>EFT 03/03/2026 FNB</t>
  </si>
  <si>
    <t>07/03/2026</t>
  </si>
  <si>
    <t>09/03/2026</t>
  </si>
  <si>
    <t>EFT 07/03/2026</t>
  </si>
  <si>
    <t>SNAP MULTI SERVICE</t>
  </si>
  <si>
    <t>O20787189</t>
  </si>
  <si>
    <t>O12142</t>
  </si>
  <si>
    <t>10/03/2026</t>
  </si>
  <si>
    <t>CHANGE SAFE</t>
  </si>
  <si>
    <t xml:space="preserve"> </t>
  </si>
  <si>
    <t>11/03/2026</t>
  </si>
  <si>
    <t>EFT 25/02/2026 OTHER ACCOUNT OF ENGEN</t>
  </si>
  <si>
    <t>SPAR</t>
  </si>
  <si>
    <t>PAID FROM LAST DROP</t>
  </si>
  <si>
    <t>265510/265559</t>
  </si>
  <si>
    <t>EFT 09/03/22026 FNB</t>
  </si>
  <si>
    <t>12/03/2026</t>
  </si>
  <si>
    <t>DEALER TRAINING</t>
  </si>
  <si>
    <t>EFT 12/03/2026 FNB</t>
  </si>
  <si>
    <t>SEVEN STAR</t>
  </si>
  <si>
    <t>SEVEN</t>
  </si>
  <si>
    <t>EFT 14/03/2026 FNB</t>
  </si>
  <si>
    <t>14/03/2026</t>
  </si>
  <si>
    <t>15/03/2026</t>
  </si>
  <si>
    <t>13/03/2026</t>
  </si>
  <si>
    <t>O21830894</t>
  </si>
  <si>
    <t>O51001</t>
  </si>
  <si>
    <t>ENG742</t>
  </si>
  <si>
    <t>16/03/2026</t>
  </si>
  <si>
    <t>17/03/2026</t>
  </si>
  <si>
    <t>18/03/2026</t>
  </si>
  <si>
    <t>NATURE SOFT</t>
  </si>
  <si>
    <t>19/03/2026</t>
  </si>
  <si>
    <t>266511/266494</t>
  </si>
  <si>
    <t>MORIS PLANKS PALLETS</t>
  </si>
  <si>
    <t>EFT 19/03/2026</t>
  </si>
  <si>
    <t>SONSKYN SLAGHUIS</t>
  </si>
  <si>
    <t>PAID BY TATUM CAPITEC CARD</t>
  </si>
  <si>
    <t>MEGA PEPPER STEAK</t>
  </si>
  <si>
    <t>MEGA STEAK &amp; KIDNEY</t>
  </si>
  <si>
    <t>SPINACH &amp; FETA</t>
  </si>
  <si>
    <t>20/03/2026</t>
  </si>
  <si>
    <t>2603-26095</t>
  </si>
  <si>
    <t>CHICKEN SAUSAGE</t>
  </si>
  <si>
    <t>CHEESE GRILLER PANINI</t>
  </si>
  <si>
    <t>CHILLI PANINI</t>
  </si>
  <si>
    <t>RUSSIAN PANINI</t>
  </si>
  <si>
    <t>23/03/2026</t>
  </si>
  <si>
    <t>PAID TATUM CAPITEC CARD</t>
  </si>
  <si>
    <t>WICKED</t>
  </si>
  <si>
    <t>EFT12/03/2026 FNB</t>
  </si>
  <si>
    <t>EFT 05/03/2026 FNB</t>
  </si>
  <si>
    <t>EFT16/03/2026 FNB</t>
  </si>
  <si>
    <t>EFT 16/03/2026 FNB</t>
  </si>
  <si>
    <t>EFT 21/03/2026 FNB</t>
  </si>
  <si>
    <t xml:space="preserve">ENGEN  </t>
  </si>
  <si>
    <t>EFT 20/03/2026 FNB ENGEN TOOK TOWARDS PORTAL AMOUNT</t>
  </si>
  <si>
    <t>EFT 23/03/2026 FNB</t>
  </si>
  <si>
    <t>RULERITE/ACC BOXES TAPE /PENS</t>
  </si>
  <si>
    <t>F1/MOP CAPS/PACKAGING</t>
  </si>
  <si>
    <t>F1/ STOCK BAKERY</t>
  </si>
  <si>
    <t>F1/CLEANING</t>
  </si>
  <si>
    <t>F1/PACKAGING</t>
  </si>
  <si>
    <t>HYCHEM/OIL STRIPS</t>
  </si>
  <si>
    <t>24/03/2026</t>
  </si>
  <si>
    <t>SPAR PEE CRIP BLOCK COSTIC SODA</t>
  </si>
  <si>
    <t xml:space="preserve">PAID   </t>
  </si>
  <si>
    <t>EFT 25/03/2026 FNB</t>
  </si>
  <si>
    <t>25/03/2026</t>
  </si>
  <si>
    <t>25/03/2025</t>
  </si>
  <si>
    <t>LF003</t>
  </si>
  <si>
    <t>GARDEN SERVICE</t>
  </si>
  <si>
    <t>267358/267431</t>
  </si>
  <si>
    <t>EFT 24/03/2026 FNB</t>
  </si>
  <si>
    <t>ADMIN</t>
  </si>
  <si>
    <t>EFT 20/03/2026 FNB</t>
  </si>
  <si>
    <t>26/03/2026</t>
  </si>
  <si>
    <t>27/03/2026</t>
  </si>
  <si>
    <t>28/03/2026</t>
  </si>
  <si>
    <t>EFT25/3/2026 FNB SHORT PAID 292741,97</t>
  </si>
  <si>
    <t>30/03/2026</t>
  </si>
  <si>
    <t>PAID FROM SAFE CHANGE</t>
  </si>
  <si>
    <t>31/03/2026</t>
  </si>
  <si>
    <t>PEST CONTROL</t>
  </si>
  <si>
    <t>LACONCORD</t>
  </si>
  <si>
    <t>OK EXPRESS</t>
  </si>
  <si>
    <t>01/04/2026</t>
  </si>
  <si>
    <t xml:space="preserve">LETTUCE EAT </t>
  </si>
  <si>
    <t>EFT 01/04/2026 FNB</t>
  </si>
  <si>
    <t>02/04/2026</t>
  </si>
  <si>
    <t xml:space="preserve">BLUE RIBBON </t>
  </si>
  <si>
    <t>EFT 02/04/2026 FNB</t>
  </si>
  <si>
    <t>ENGEN RENT</t>
  </si>
  <si>
    <t>RENT</t>
  </si>
  <si>
    <t>268435/268321</t>
  </si>
  <si>
    <t>04/04/2026</t>
  </si>
  <si>
    <t>PAID CARD</t>
  </si>
  <si>
    <t>SNACK A JUICE</t>
  </si>
  <si>
    <t>07/04/2026</t>
  </si>
  <si>
    <t>07/04/02026</t>
  </si>
  <si>
    <t>EFT 07/04/2026 FNB</t>
  </si>
  <si>
    <t>03/04/2026</t>
  </si>
  <si>
    <t>KHAZWI SECURITY</t>
  </si>
  <si>
    <t>EFT 03/04/2026 FNB</t>
  </si>
  <si>
    <t>PAID R27144,50</t>
  </si>
  <si>
    <t>R2967,00 OVER PAID</t>
  </si>
  <si>
    <t>08/04/2026</t>
  </si>
  <si>
    <t>EFT 08/04/2026 FNB</t>
  </si>
  <si>
    <t>09/04/2026</t>
  </si>
  <si>
    <t>F1 PACKEGING</t>
  </si>
  <si>
    <t>CASH AUTOMATION PTY LTD</t>
  </si>
  <si>
    <t>EJPK26GP</t>
  </si>
  <si>
    <t>LETHABI STOCK TAKE</t>
  </si>
  <si>
    <t>EFT 09/04/2026 FNB</t>
  </si>
  <si>
    <t>RELY TECH</t>
  </si>
  <si>
    <t>NEDBANK</t>
  </si>
  <si>
    <t>10/04/2026</t>
  </si>
  <si>
    <t>PAID FROM SAFE</t>
  </si>
  <si>
    <t>EFT 10/04/2026 FNB</t>
  </si>
  <si>
    <t>DISCOVERY DEBIT CARD</t>
  </si>
  <si>
    <t>STOCK</t>
  </si>
  <si>
    <t>268970/268981</t>
  </si>
  <si>
    <t>11/04/2026</t>
  </si>
  <si>
    <t>13/04/2026</t>
  </si>
  <si>
    <t>F1 TILL ROLS/DRIVE WAY ROLLS</t>
  </si>
  <si>
    <t>CHECKERS 60</t>
  </si>
  <si>
    <t>TATUM PAID</t>
  </si>
  <si>
    <t xml:space="preserve">NO </t>
  </si>
  <si>
    <t>OFFICE KEYS CABLE TIES</t>
  </si>
  <si>
    <t>DISCOVERY CARD</t>
  </si>
  <si>
    <t>EFT 13/04/2026 FNB</t>
  </si>
  <si>
    <t>14/04/2026</t>
  </si>
  <si>
    <t>NATURE SOFT TOILET PAPER</t>
  </si>
  <si>
    <t>CREDIT OF R3109,38 RFP</t>
  </si>
  <si>
    <t>15/04/2026</t>
  </si>
  <si>
    <t>Tatum please check this inv 40629 is not paid 28/01/2026 R1377,70 IVE GIVEN YOU THE INVOICE LAST WEEK TO HAVE A LOOK. ON THE JAN SHEET ITS NOT PUT DOWN AS PAID YET SO ITS OUTSTANDING.</t>
  </si>
  <si>
    <t>16/04/2026</t>
  </si>
  <si>
    <t>FUTURE RENT</t>
  </si>
  <si>
    <t>CONSULTING</t>
  </si>
  <si>
    <t>FUTURENT</t>
  </si>
  <si>
    <t>O12060658</t>
  </si>
  <si>
    <t>O10445</t>
  </si>
  <si>
    <t>INV0700 ENGEN JETPARK</t>
  </si>
  <si>
    <t>PAID AT TILL SLIP NO3994</t>
  </si>
  <si>
    <t>PAID AT TILL SLIP NO3594</t>
  </si>
  <si>
    <t>EFT 16/04/2026 FNB</t>
  </si>
  <si>
    <t>CRYSTELMOUNT</t>
  </si>
  <si>
    <t>CRYSTALMOUNT</t>
  </si>
  <si>
    <t>ENGEN002</t>
  </si>
  <si>
    <t>COINDEN WINDOW  CLEANER</t>
  </si>
  <si>
    <t>269874/2698763</t>
  </si>
  <si>
    <t>17/04/2026</t>
  </si>
  <si>
    <t>PAID AT TILL SLIP NO4959</t>
  </si>
  <si>
    <t>PAID AT TILL SLIP NO5210</t>
  </si>
  <si>
    <t>PAID AT TILL SLIP NO5073</t>
  </si>
  <si>
    <t xml:space="preserve">CHECKERS  </t>
  </si>
  <si>
    <t>PAID AT TILL SLIP NO5063</t>
  </si>
  <si>
    <t>PAID AT TILL SLIP NO5133</t>
  </si>
  <si>
    <t>EFT 18/04/2026 FNB</t>
  </si>
  <si>
    <t>18/04/2026</t>
  </si>
  <si>
    <t>PAID R300 TO MUCH STIL HAVE CREDIT OF OVER PAYMENT R3109,38 +R300=R3409,38 CREDIT</t>
  </si>
  <si>
    <t>EFT 18/04/2026</t>
  </si>
  <si>
    <t>TELE WHOLESALES STATIONARS</t>
  </si>
  <si>
    <t>20/04/2026</t>
  </si>
  <si>
    <t>PAID AT TILL SLIP NO6120</t>
  </si>
  <si>
    <t>PAID AT TILL SLIP NO6056</t>
  </si>
  <si>
    <t>PAID AT TILL SLIP NO5941</t>
  </si>
  <si>
    <t>EFT 21/04/2026 FNB</t>
  </si>
  <si>
    <t>PAID AT TILL SLIP NO6549</t>
  </si>
  <si>
    <t>21/04/2026</t>
  </si>
  <si>
    <t>PAID AT TILL SLIP NO6592</t>
  </si>
  <si>
    <t>22/04/2026</t>
  </si>
  <si>
    <t>FERREIRA FRESH</t>
  </si>
  <si>
    <t>ENG019</t>
  </si>
  <si>
    <t>PAID AT TILL SLIP NO7130</t>
  </si>
  <si>
    <t>PAID AT TILL SLIP NO6962</t>
  </si>
  <si>
    <t>PAID AT TILL SLIP NO7089</t>
  </si>
  <si>
    <t>CHANGE ORDER</t>
  </si>
  <si>
    <t>EFT 22/04/2026 FNB</t>
  </si>
  <si>
    <t>25/04/2026</t>
  </si>
  <si>
    <t>EFT 23/04/2026 FNB</t>
  </si>
  <si>
    <t>28/04/2026</t>
  </si>
  <si>
    <t>23/04/2026</t>
  </si>
  <si>
    <t>COOL RUNNERS ROLLING CHICKEN</t>
  </si>
  <si>
    <t>27/04/2026</t>
  </si>
  <si>
    <t>RED OPS</t>
  </si>
  <si>
    <t>LITTLE FAIRY GARDEN SERVICES</t>
  </si>
  <si>
    <t>LF004</t>
  </si>
  <si>
    <t>CREDIT DUE OF 2125,40</t>
  </si>
  <si>
    <t>PAID AT TILL 7735</t>
  </si>
  <si>
    <t>PAID AT TILL 7953</t>
  </si>
  <si>
    <t>24/04/2026</t>
  </si>
  <si>
    <t>PAID AT TILL 8255</t>
  </si>
  <si>
    <t>EFT 29/04/2026 FNB</t>
  </si>
  <si>
    <t>29/04/2026</t>
  </si>
  <si>
    <t>SG PIES</t>
  </si>
  <si>
    <t>SG DRINKS</t>
  </si>
  <si>
    <t>SG OTHER</t>
  </si>
  <si>
    <t>BAMCO (BRITISH)</t>
  </si>
  <si>
    <t>PAID AT TILL 9347</t>
  </si>
  <si>
    <t>PAID AT TILL 9539</t>
  </si>
  <si>
    <t>PAID AT TILL 9518</t>
  </si>
  <si>
    <t>PAID AT TILL 9947</t>
  </si>
  <si>
    <t>30/04/2026</t>
  </si>
  <si>
    <t>PAID AT TILL 14</t>
  </si>
  <si>
    <t>PAID AT TILL 408</t>
  </si>
  <si>
    <t>EFT 30/04/2026 FNB</t>
  </si>
  <si>
    <t>SHANE SITE WORK</t>
  </si>
  <si>
    <t>BIO TECH</t>
  </si>
  <si>
    <t xml:space="preserve">CLEANING </t>
  </si>
  <si>
    <t>01/05/2026</t>
  </si>
  <si>
    <t>05/05/2026</t>
  </si>
  <si>
    <t>Ex/Supp</t>
  </si>
  <si>
    <t>S</t>
  </si>
  <si>
    <t>DIGESTICS</t>
  </si>
  <si>
    <t>07/05/2026</t>
  </si>
  <si>
    <t xml:space="preserve">DEEP FROZEN </t>
  </si>
  <si>
    <t>04/05/2026</t>
  </si>
  <si>
    <t>SUPPLIER</t>
  </si>
  <si>
    <t>10/05/2026</t>
  </si>
  <si>
    <t>11/05/2026</t>
  </si>
  <si>
    <t>08/05/2026</t>
  </si>
  <si>
    <t>09/05/2026</t>
  </si>
  <si>
    <t>M/A</t>
  </si>
  <si>
    <t>A</t>
  </si>
  <si>
    <t>Yes</t>
  </si>
  <si>
    <t>03/05/2026</t>
  </si>
  <si>
    <t>06/05/2026</t>
  </si>
  <si>
    <t>COOLRUNNERS/ROLLING CHICKEN</t>
  </si>
  <si>
    <t>SEVEN STARS DISTRIBUTORS</t>
  </si>
  <si>
    <t>RFP DISTRIBUTORS</t>
  </si>
  <si>
    <t>12/05/2026</t>
  </si>
  <si>
    <t>13/05/2026</t>
  </si>
  <si>
    <t>02/05/2026</t>
  </si>
  <si>
    <t>TYRONES IT SERVICES</t>
  </si>
  <si>
    <t>14/05/2026</t>
  </si>
  <si>
    <t>KLEIN PLAAS</t>
  </si>
  <si>
    <t>COCA-COLA BEVERAGES SOUTH AFRICA</t>
  </si>
  <si>
    <t>LESAFFRE</t>
  </si>
  <si>
    <t>G.B.B MAT</t>
  </si>
  <si>
    <t>SHAN ITE WORK</t>
  </si>
  <si>
    <t>15/05/2026</t>
  </si>
  <si>
    <t>RCL GROUP SERVICE</t>
  </si>
  <si>
    <t>PAID BY CARD</t>
  </si>
  <si>
    <t>THE WORK WEAR SHOP</t>
  </si>
  <si>
    <t>1BG501B526</t>
  </si>
  <si>
    <t>CLEANING/STAFF</t>
  </si>
  <si>
    <t>1ABP01E526</t>
  </si>
  <si>
    <t>15/05/20256</t>
  </si>
  <si>
    <t>INVICTUS</t>
  </si>
  <si>
    <t>IO02780</t>
  </si>
  <si>
    <t>NTWAMPE INVESTIGATION &amp;SECURITY</t>
  </si>
  <si>
    <t>FNB EFT</t>
  </si>
  <si>
    <t>STANDARD BANK</t>
  </si>
  <si>
    <t>JET PARK CONVENIENCE</t>
  </si>
  <si>
    <t>18/05/2026</t>
  </si>
  <si>
    <t>IGLOO ICE</t>
  </si>
  <si>
    <t>JM FOODS0</t>
  </si>
  <si>
    <t>A45</t>
  </si>
  <si>
    <t>18/05/20260</t>
  </si>
  <si>
    <t>I-2605-28351</t>
  </si>
  <si>
    <t>20/05/2026</t>
  </si>
  <si>
    <t>LA CONCORDE</t>
  </si>
  <si>
    <t>552,683,88</t>
  </si>
  <si>
    <t>19/05/2026</t>
  </si>
  <si>
    <t>17/05/2026</t>
  </si>
  <si>
    <t>ZA04/010529/2026</t>
  </si>
  <si>
    <t>ZA04/008223/2026</t>
  </si>
  <si>
    <t>COOLRUNNERS/RICHES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</si>
</sst>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R&quot;#,##0;[Red]\-&quot;R&quot;#,##0"/>
    <numFmt numFmtId="8" formatCode="&quot;R&quot;#,##0.00;[Red]\-&quot;R&quot;#,##0.00"/>
    <numFmt numFmtId="44" formatCode="_-&quot;R&quot;* #,##0.00_-;\-&quot;R&quot;* #,##0.00_-;_-&quot;R&quot;* &quot;-&quot;??_-;_-@_-"/>
    <numFmt numFmtId="43" formatCode="_-* #,##0.00_-;\-* #,##0.00_-;_-* &quot;-&quot;??_-;_-@_-"/>
    <numFmt numFmtId="164" formatCode="[$-F800]dddd\,\ mmmm\ dd\,\ yyyy"/>
    <numFmt numFmtId="165" formatCode="yy/mm/dd;@"/>
    <numFmt numFmtId="166" formatCode="&quot;R&quot;#,##0.00"/>
    <numFmt numFmtId="167" formatCode="&quot;R&quot;#,##0.0000;[Red]\-&quot;R&quot;#,##0.0000"/>
    <numFmt numFmtId="168" formatCode="&quot;R&quot;#,##0.0000"/>
    <numFmt numFmtId="169" formatCode="000000"/>
  </numFmts>
  <fonts count="14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0"/>
      <name val="Calibri"/>
      <family val="2"/>
    </font>
    <font>
      <sz val="11"/>
      <name val="Calibri"/>
      <family val="2"/>
      <scheme val="minor"/>
    </font>
    <font>
      <sz val="10"/>
      <name val="Calibri"/>
      <family val="2"/>
    </font>
    <font>
      <sz val="11"/>
      <name val="Calibri"/>
      <family val="2"/>
    </font>
    <font>
      <sz val="10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79934080019531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34080019531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3408001953185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33" fillId="0" borderId="0" applyFont="0" applyFill="0" applyBorder="0" applyAlignment="0" applyProtection="0"/>
  </cellStyleXfs>
  <cellXfs count="798">
    <xf numFmtId="0" fontId="0" fillId="0" borderId="0" xfId="0"/>
    <xf numFmtId="0" fontId="117" fillId="0" borderId="0" xfId="0" applyFont="1"/>
    <xf numFmtId="0" fontId="118" fillId="0" borderId="0" xfId="0" applyFont="1"/>
    <xf numFmtId="14" fontId="118" fillId="0" borderId="0" xfId="0" applyNumberFormat="1" applyFont="1"/>
    <xf numFmtId="0" fontId="118" fillId="0" borderId="0" xfId="0" applyFont="1" applyAlignment="1">
      <alignment horizontal="left"/>
    </xf>
    <xf numFmtId="0" fontId="118" fillId="0" borderId="0" xfId="0" applyFont="1" applyAlignment="1">
      <alignment horizontal="center"/>
    </xf>
    <xf numFmtId="44" fontId="118" fillId="0" borderId="0" xfId="1" applyNumberFormat="1" applyFont="1"/>
    <xf numFmtId="0" fontId="119" fillId="0" borderId="0" xfId="0" applyFont="1" applyAlignment="1">
      <alignment horizontal="center"/>
    </xf>
    <xf numFmtId="14" fontId="119" fillId="0" borderId="1" xfId="0" applyNumberFormat="1" applyFont="1" applyBorder="1" applyAlignment="1">
      <alignment horizontal="center"/>
    </xf>
    <xf numFmtId="0" fontId="119" fillId="0" borderId="2" xfId="0" applyFont="1" applyBorder="1" applyAlignment="1">
      <alignment horizontal="center"/>
    </xf>
    <xf numFmtId="0" fontId="119" fillId="0" borderId="2" xfId="0" applyFont="1" applyBorder="1" applyAlignment="1">
      <alignment horizontal="left"/>
    </xf>
    <xf numFmtId="44" fontId="119" fillId="0" borderId="2" xfId="0" applyNumberFormat="1" applyFont="1" applyBorder="1" applyAlignment="1">
      <alignment horizontal="center"/>
    </xf>
    <xf numFmtId="14" fontId="119" fillId="0" borderId="3" xfId="0" applyNumberFormat="1" applyFont="1" applyBorder="1" applyAlignment="1">
      <alignment horizontal="center"/>
    </xf>
    <xf numFmtId="0" fontId="119" fillId="0" borderId="0" xfId="0" applyFont="1" applyAlignment="1">
      <alignment horizontal="left"/>
    </xf>
    <xf numFmtId="44" fontId="119" fillId="0" borderId="0" xfId="0" applyNumberFormat="1" applyFont="1" applyAlignment="1">
      <alignment horizontal="center"/>
    </xf>
    <xf numFmtId="0" fontId="117" fillId="0" borderId="0" xfId="0" applyFont="1" applyAlignment="1">
      <alignment horizontal="center"/>
    </xf>
    <xf numFmtId="44" fontId="117" fillId="0" borderId="0" xfId="1" applyNumberFormat="1" applyFont="1" applyBorder="1"/>
    <xf numFmtId="14" fontId="121" fillId="0" borderId="5" xfId="0" applyNumberFormat="1" applyFont="1" applyBorder="1" applyAlignment="1">
      <alignment horizontal="center" vertical="center" wrapText="1"/>
    </xf>
    <xf numFmtId="0" fontId="121" fillId="0" borderId="6" xfId="0" applyFont="1" applyBorder="1" applyAlignment="1">
      <alignment horizontal="center" vertical="center"/>
    </xf>
    <xf numFmtId="0" fontId="121" fillId="0" borderId="6" xfId="0" applyFont="1" applyBorder="1" applyAlignment="1">
      <alignment horizontal="center" vertical="center" wrapText="1"/>
    </xf>
    <xf numFmtId="43" fontId="121" fillId="0" borderId="6" xfId="1" applyFont="1" applyFill="1" applyBorder="1" applyAlignment="1">
      <alignment horizontal="center" vertical="center"/>
    </xf>
    <xf numFmtId="44" fontId="121" fillId="0" borderId="6" xfId="1" applyNumberFormat="1" applyFont="1" applyBorder="1" applyAlignment="1">
      <alignment horizontal="center" vertical="center" wrapText="1"/>
    </xf>
    <xf numFmtId="14" fontId="0" fillId="0" borderId="7" xfId="0" applyNumberFormat="1" applyBorder="1"/>
    <xf numFmtId="0" fontId="0" fillId="0" borderId="6" xfId="0" applyBorder="1" applyAlignment="1">
      <alignment horizontal="left"/>
    </xf>
    <xf numFmtId="0" fontId="122" fillId="0" borderId="6" xfId="0" applyFont="1" applyBorder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44" fontId="0" fillId="0" borderId="6" xfId="1" applyNumberFormat="1" applyFont="1" applyFill="1" applyBorder="1"/>
    <xf numFmtId="14" fontId="123" fillId="0" borderId="5" xfId="0" applyNumberFormat="1" applyFont="1" applyBorder="1" applyAlignment="1">
      <alignment horizontal="left" vertical="center" wrapText="1"/>
    </xf>
    <xf numFmtId="0" fontId="123" fillId="0" borderId="6" xfId="0" applyFont="1" applyBorder="1" applyAlignment="1">
      <alignment horizontal="left" vertical="center"/>
    </xf>
    <xf numFmtId="0" fontId="123" fillId="0" borderId="6" xfId="0" applyFont="1" applyBorder="1" applyAlignment="1">
      <alignment horizontal="left" vertical="center" wrapText="1"/>
    </xf>
    <xf numFmtId="0" fontId="123" fillId="0" borderId="6" xfId="1" applyNumberFormat="1" applyFont="1" applyFill="1" applyBorder="1" applyAlignment="1">
      <alignment horizontal="left" vertical="center"/>
    </xf>
    <xf numFmtId="0" fontId="124" fillId="0" borderId="6" xfId="0" applyFont="1" applyBorder="1" applyAlignment="1">
      <alignment horizontal="left" vertical="center" wrapText="1"/>
    </xf>
    <xf numFmtId="44" fontId="123" fillId="0" borderId="6" xfId="1" applyNumberFormat="1" applyFont="1" applyBorder="1" applyAlignment="1">
      <alignment horizontal="left" vertical="center" wrapText="1"/>
    </xf>
    <xf numFmtId="14" fontId="118" fillId="0" borderId="5" xfId="0" applyNumberFormat="1" applyFont="1" applyBorder="1" applyAlignment="1">
      <alignment horizontal="left"/>
    </xf>
    <xf numFmtId="0" fontId="118" fillId="0" borderId="6" xfId="0" applyFont="1" applyBorder="1" applyAlignment="1">
      <alignment horizontal="left"/>
    </xf>
    <xf numFmtId="44" fontId="118" fillId="0" borderId="6" xfId="1" applyNumberFormat="1" applyFont="1" applyBorder="1" applyAlignment="1">
      <alignment horizontal="left"/>
    </xf>
    <xf numFmtId="14" fontId="0" fillId="0" borderId="7" xfId="0" applyNumberFormat="1" applyBorder="1" applyAlignment="1">
      <alignment horizontal="left"/>
    </xf>
    <xf numFmtId="0" fontId="122" fillId="4" borderId="6" xfId="0" applyFont="1" applyFill="1" applyBorder="1" applyAlignment="1">
      <alignment horizontal="left"/>
    </xf>
    <xf numFmtId="44" fontId="0" fillId="0" borderId="6" xfId="1" applyNumberFormat="1" applyFont="1" applyFill="1" applyBorder="1" applyAlignment="1">
      <alignment horizontal="left"/>
    </xf>
    <xf numFmtId="14" fontId="122" fillId="0" borderId="7" xfId="0" applyNumberFormat="1" applyFont="1" applyBorder="1"/>
    <xf numFmtId="0" fontId="122" fillId="0" borderId="6" xfId="0" applyFont="1" applyBorder="1"/>
    <xf numFmtId="44" fontId="122" fillId="0" borderId="6" xfId="1" applyNumberFormat="1" applyFont="1" applyFill="1" applyBorder="1"/>
    <xf numFmtId="14" fontId="0" fillId="0" borderId="5" xfId="0" applyNumberFormat="1" applyBorder="1" applyAlignment="1">
      <alignment horizontal="left"/>
    </xf>
    <xf numFmtId="14" fontId="0" fillId="0" borderId="6" xfId="0" applyNumberFormat="1" applyBorder="1" applyAlignment="1">
      <alignment horizontal="left"/>
    </xf>
    <xf numFmtId="44" fontId="0" fillId="0" borderId="6" xfId="0" applyNumberFormat="1" applyBorder="1" applyAlignment="1">
      <alignment horizontal="left"/>
    </xf>
    <xf numFmtId="44" fontId="0" fillId="0" borderId="4" xfId="0" applyNumberFormat="1" applyBorder="1" applyAlignment="1">
      <alignment horizontal="left"/>
    </xf>
    <xf numFmtId="44" fontId="0" fillId="0" borderId="6" xfId="1" applyNumberFormat="1" applyFont="1" applyBorder="1" applyAlignment="1">
      <alignment horizontal="left"/>
    </xf>
    <xf numFmtId="2" fontId="0" fillId="0" borderId="6" xfId="0" applyNumberFormat="1" applyBorder="1" applyAlignment="1">
      <alignment horizontal="left"/>
    </xf>
    <xf numFmtId="44" fontId="119" fillId="0" borderId="8" xfId="0" applyNumberFormat="1" applyFont="1" applyBorder="1" applyAlignment="1">
      <alignment horizontal="center"/>
    </xf>
    <xf numFmtId="44" fontId="119" fillId="0" borderId="9" xfId="0" applyNumberFormat="1" applyFont="1" applyBorder="1" applyAlignment="1">
      <alignment horizontal="center"/>
    </xf>
    <xf numFmtId="44" fontId="117" fillId="0" borderId="9" xfId="1" applyNumberFormat="1" applyFont="1" applyBorder="1"/>
    <xf numFmtId="44" fontId="121" fillId="0" borderId="10" xfId="1" applyNumberFormat="1" applyFont="1" applyBorder="1" applyAlignment="1">
      <alignment horizontal="center" vertical="center" wrapText="1"/>
    </xf>
    <xf numFmtId="0" fontId="121" fillId="0" borderId="11" xfId="0" applyFont="1" applyBorder="1" applyAlignment="1">
      <alignment horizontal="center" vertical="center" wrapText="1"/>
    </xf>
    <xf numFmtId="44" fontId="0" fillId="5" borderId="12" xfId="1" applyNumberFormat="1" applyFont="1" applyFill="1" applyBorder="1"/>
    <xf numFmtId="0" fontId="121" fillId="0" borderId="0" xfId="0" applyFont="1" applyAlignment="1">
      <alignment horizontal="center" vertical="center" wrapText="1"/>
    </xf>
    <xf numFmtId="44" fontId="0" fillId="5" borderId="12" xfId="1" applyNumberFormat="1" applyFont="1" applyFill="1" applyBorder="1" applyAlignment="1">
      <alignment horizontal="left"/>
    </xf>
    <xf numFmtId="44" fontId="121" fillId="0" borderId="3" xfId="1" applyNumberFormat="1" applyFont="1" applyBorder="1" applyAlignment="1">
      <alignment horizontal="center" vertical="center" wrapText="1"/>
    </xf>
    <xf numFmtId="44" fontId="121" fillId="0" borderId="0" xfId="1" applyNumberFormat="1" applyFont="1" applyBorder="1" applyAlignment="1">
      <alignment horizontal="center" vertical="center" wrapText="1"/>
    </xf>
    <xf numFmtId="0" fontId="125" fillId="0" borderId="0" xfId="0" applyFont="1"/>
    <xf numFmtId="44" fontId="122" fillId="5" borderId="12" xfId="1" applyNumberFormat="1" applyFont="1" applyFill="1" applyBorder="1"/>
    <xf numFmtId="44" fontId="0" fillId="5" borderId="10" xfId="1" applyNumberFormat="1" applyFont="1" applyFill="1" applyBorder="1" applyAlignment="1">
      <alignment horizontal="left"/>
    </xf>
    <xf numFmtId="14" fontId="0" fillId="4" borderId="6" xfId="0" applyNumberFormat="1" applyFill="1" applyBorder="1" applyAlignment="1">
      <alignment horizontal="left"/>
    </xf>
    <xf numFmtId="44" fontId="0" fillId="4" borderId="4" xfId="0" applyNumberFormat="1" applyFill="1" applyBorder="1" applyAlignment="1">
      <alignment horizontal="left"/>
    </xf>
    <xf numFmtId="14" fontId="0" fillId="4" borderId="7" xfId="0" applyNumberFormat="1" applyFill="1" applyBorder="1" applyAlignment="1">
      <alignment horizontal="left"/>
    </xf>
    <xf numFmtId="0" fontId="0" fillId="4" borderId="6" xfId="0" applyFill="1" applyBorder="1" applyAlignment="1">
      <alignment horizontal="left"/>
    </xf>
    <xf numFmtId="14" fontId="118" fillId="4" borderId="5" xfId="0" applyNumberFormat="1" applyFont="1" applyFill="1" applyBorder="1" applyAlignment="1">
      <alignment horizontal="left"/>
    </xf>
    <xf numFmtId="0" fontId="123" fillId="4" borderId="6" xfId="0" applyFont="1" applyFill="1" applyBorder="1" applyAlignment="1">
      <alignment horizontal="left" vertical="center" wrapText="1"/>
    </xf>
    <xf numFmtId="0" fontId="123" fillId="4" borderId="6" xfId="0" applyFont="1" applyFill="1" applyBorder="1" applyAlignment="1">
      <alignment horizontal="left" vertical="center"/>
    </xf>
    <xf numFmtId="43" fontId="123" fillId="4" borderId="6" xfId="1" applyFont="1" applyFill="1" applyBorder="1" applyAlignment="1">
      <alignment horizontal="left" vertical="center"/>
    </xf>
    <xf numFmtId="44" fontId="0" fillId="0" borderId="13" xfId="1" applyNumberFormat="1" applyFont="1" applyFill="1" applyBorder="1" applyAlignment="1">
      <alignment horizontal="left"/>
    </xf>
    <xf numFmtId="14" fontId="123" fillId="0" borderId="7" xfId="0" applyNumberFormat="1" applyFont="1" applyBorder="1" applyAlignment="1">
      <alignment horizontal="left" vertical="center" wrapText="1"/>
    </xf>
    <xf numFmtId="44" fontId="123" fillId="0" borderId="6" xfId="1" applyNumberFormat="1" applyFont="1" applyFill="1" applyBorder="1" applyAlignment="1">
      <alignment horizontal="left" vertical="center" wrapText="1"/>
    </xf>
    <xf numFmtId="44" fontId="0" fillId="4" borderId="6" xfId="1" applyNumberFormat="1" applyFont="1" applyFill="1" applyBorder="1" applyAlignment="1">
      <alignment horizontal="left"/>
    </xf>
    <xf numFmtId="44" fontId="123" fillId="4" borderId="6" xfId="1" applyNumberFormat="1" applyFont="1" applyFill="1" applyBorder="1" applyAlignment="1">
      <alignment horizontal="left" vertical="center" wrapText="1"/>
    </xf>
    <xf numFmtId="43" fontId="125" fillId="0" borderId="0" xfId="0" applyNumberFormat="1" applyFont="1"/>
    <xf numFmtId="43" fontId="118" fillId="0" borderId="0" xfId="0" applyNumberFormat="1" applyFont="1"/>
    <xf numFmtId="4" fontId="118" fillId="0" borderId="0" xfId="0" applyNumberFormat="1" applyFont="1"/>
    <xf numFmtId="43" fontId="0" fillId="0" borderId="6" xfId="0" applyNumberFormat="1" applyBorder="1" applyAlignment="1">
      <alignment horizontal="center"/>
    </xf>
    <xf numFmtId="14" fontId="126" fillId="0" borderId="7" xfId="0" applyNumberFormat="1" applyFont="1" applyBorder="1"/>
    <xf numFmtId="0" fontId="126" fillId="0" borderId="6" xfId="0" applyFont="1" applyBorder="1" applyAlignment="1">
      <alignment horizontal="left"/>
    </xf>
    <xf numFmtId="0" fontId="127" fillId="0" borderId="6" xfId="0" applyFont="1" applyBorder="1" applyAlignment="1">
      <alignment horizontal="left"/>
    </xf>
    <xf numFmtId="0" fontId="126" fillId="0" borderId="6" xfId="0" applyFont="1" applyBorder="1"/>
    <xf numFmtId="0" fontId="126" fillId="0" borderId="6" xfId="0" applyFont="1" applyBorder="1" applyAlignment="1">
      <alignment horizontal="center"/>
    </xf>
    <xf numFmtId="44" fontId="126" fillId="0" borderId="6" xfId="1" applyNumberFormat="1" applyFont="1" applyFill="1" applyBorder="1"/>
    <xf numFmtId="43" fontId="128" fillId="0" borderId="0" xfId="0" applyNumberFormat="1" applyFont="1"/>
    <xf numFmtId="44" fontId="129" fillId="5" borderId="12" xfId="1" applyNumberFormat="1" applyFont="1" applyFill="1" applyBorder="1"/>
    <xf numFmtId="44" fontId="126" fillId="5" borderId="12" xfId="1" applyNumberFormat="1" applyFont="1" applyFill="1" applyBorder="1"/>
    <xf numFmtId="0" fontId="122" fillId="4" borderId="6" xfId="0" applyFont="1" applyFill="1" applyBorder="1"/>
    <xf numFmtId="14" fontId="0" fillId="0" borderId="14" xfId="0" applyNumberFormat="1" applyBorder="1"/>
    <xf numFmtId="0" fontId="0" fillId="0" borderId="15" xfId="0" applyBorder="1" applyAlignment="1">
      <alignment horizontal="left"/>
    </xf>
    <xf numFmtId="0" fontId="0" fillId="0" borderId="15" xfId="0" applyBorder="1"/>
    <xf numFmtId="0" fontId="0" fillId="0" borderId="15" xfId="0" applyBorder="1" applyAlignment="1">
      <alignment horizontal="center"/>
    </xf>
    <xf numFmtId="14" fontId="0" fillId="0" borderId="16" xfId="0" applyNumberFormat="1" applyBorder="1"/>
    <xf numFmtId="14" fontId="0" fillId="0" borderId="3" xfId="0" applyNumberFormat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4" fontId="130" fillId="5" borderId="17" xfId="1" applyNumberFormat="1" applyFont="1" applyFill="1" applyBorder="1"/>
    <xf numFmtId="14" fontId="118" fillId="0" borderId="18" xfId="0" applyNumberFormat="1" applyFont="1" applyBorder="1"/>
    <xf numFmtId="0" fontId="118" fillId="0" borderId="19" xfId="0" applyFont="1" applyBorder="1"/>
    <xf numFmtId="0" fontId="118" fillId="0" borderId="19" xfId="0" applyFont="1" applyBorder="1" applyAlignment="1">
      <alignment horizontal="left"/>
    </xf>
    <xf numFmtId="0" fontId="118" fillId="0" borderId="19" xfId="0" applyFont="1" applyBorder="1" applyAlignment="1">
      <alignment horizontal="center"/>
    </xf>
    <xf numFmtId="44" fontId="118" fillId="0" borderId="19" xfId="1" applyNumberFormat="1" applyFont="1" applyBorder="1"/>
    <xf numFmtId="44" fontId="130" fillId="5" borderId="20" xfId="1" applyNumberFormat="1" applyFont="1" applyFill="1" applyBorder="1"/>
    <xf numFmtId="44" fontId="118" fillId="0" borderId="21" xfId="1" applyNumberFormat="1" applyFont="1" applyBorder="1"/>
    <xf numFmtId="44" fontId="0" fillId="8" borderId="12" xfId="1" applyNumberFormat="1" applyFont="1" applyFill="1" applyBorder="1" applyAlignment="1" applyProtection="1">
      <alignment horizontal="right"/>
    </xf>
    <xf numFmtId="0" fontId="130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164" fontId="130" fillId="0" borderId="1" xfId="0" applyNumberFormat="1" applyFont="1" applyBorder="1" applyAlignment="1" applyProtection="1">
      <alignment horizontal="center"/>
      <protection locked="0"/>
    </xf>
    <xf numFmtId="0" fontId="130" fillId="0" borderId="2" xfId="0" applyFont="1" applyBorder="1" applyAlignment="1" applyProtection="1">
      <alignment horizontal="center"/>
      <protection locked="0"/>
    </xf>
    <xf numFmtId="0" fontId="130" fillId="0" borderId="2" xfId="0" applyFont="1" applyBorder="1" applyAlignment="1" applyProtection="1">
      <alignment horizontal="left"/>
      <protection locked="0"/>
    </xf>
    <xf numFmtId="44" fontId="130" fillId="0" borderId="2" xfId="0" applyNumberFormat="1" applyFont="1" applyBorder="1" applyAlignment="1" applyProtection="1">
      <alignment horizontal="right"/>
      <protection locked="0"/>
    </xf>
    <xf numFmtId="44" fontId="130" fillId="0" borderId="8" xfId="0" applyNumberFormat="1" applyFont="1" applyBorder="1" applyAlignment="1" applyProtection="1">
      <alignment horizontal="right"/>
      <protection locked="0"/>
    </xf>
    <xf numFmtId="44" fontId="130" fillId="0" borderId="0" xfId="0" applyNumberFormat="1" applyFont="1" applyAlignment="1" applyProtection="1">
      <alignment horizontal="center"/>
      <protection locked="0"/>
    </xf>
    <xf numFmtId="0" fontId="131" fillId="2" borderId="0" xfId="0" applyFont="1" applyFill="1" applyAlignment="1" applyProtection="1">
      <alignment horizontal="center"/>
      <protection locked="0"/>
    </xf>
    <xf numFmtId="164" fontId="130" fillId="0" borderId="3" xfId="0" applyNumberFormat="1" applyFont="1" applyBorder="1" applyAlignment="1" applyProtection="1">
      <alignment horizontal="center"/>
      <protection locked="0"/>
    </xf>
    <xf numFmtId="0" fontId="130" fillId="0" borderId="0" xfId="0" applyFont="1" applyAlignment="1" applyProtection="1">
      <alignment horizontal="left"/>
      <protection locked="0"/>
    </xf>
    <xf numFmtId="44" fontId="130" fillId="0" borderId="0" xfId="0" applyNumberFormat="1" applyFont="1" applyAlignment="1" applyProtection="1">
      <alignment horizontal="right"/>
      <protection locked="0"/>
    </xf>
    <xf numFmtId="44" fontId="130" fillId="0" borderId="9" xfId="0" applyNumberFormat="1" applyFont="1" applyBorder="1" applyAlignment="1" applyProtection="1">
      <alignment horizontal="right"/>
      <protection locked="0"/>
    </xf>
    <xf numFmtId="44" fontId="0" fillId="0" borderId="0" xfId="1" applyNumberFormat="1" applyFont="1" applyBorder="1" applyAlignment="1" applyProtection="1">
      <alignment horizontal="right"/>
      <protection locked="0"/>
    </xf>
    <xf numFmtId="44" fontId="0" fillId="0" borderId="9" xfId="1" applyNumberFormat="1" applyFont="1" applyBorder="1" applyAlignment="1" applyProtection="1">
      <alignment horizontal="right"/>
      <protection locked="0"/>
    </xf>
    <xf numFmtId="44" fontId="0" fillId="0" borderId="0" xfId="1" applyNumberFormat="1" applyFont="1" applyBorder="1" applyAlignment="1" applyProtection="1">
      <alignment horizontal="center"/>
      <protection locked="0"/>
    </xf>
    <xf numFmtId="164" fontId="132" fillId="0" borderId="5" xfId="0" applyNumberFormat="1" applyFont="1" applyBorder="1" applyAlignment="1" applyProtection="1">
      <alignment horizontal="center" vertical="center" wrapText="1"/>
      <protection locked="0"/>
    </xf>
    <xf numFmtId="0" fontId="132" fillId="0" borderId="6" xfId="0" applyFont="1" applyBorder="1" applyAlignment="1" applyProtection="1">
      <alignment horizontal="center" vertical="center"/>
      <protection locked="0"/>
    </xf>
    <xf numFmtId="0" fontId="132" fillId="0" borderId="6" xfId="0" applyFont="1" applyBorder="1" applyAlignment="1" applyProtection="1">
      <alignment horizontal="center" vertical="center" wrapText="1"/>
      <protection locked="0"/>
    </xf>
    <xf numFmtId="43" fontId="132" fillId="0" borderId="6" xfId="1" applyFont="1" applyFill="1" applyBorder="1" applyAlignment="1" applyProtection="1">
      <alignment horizontal="center" vertical="center"/>
      <protection locked="0"/>
    </xf>
    <xf numFmtId="44" fontId="132" fillId="0" borderId="6" xfId="1" applyNumberFormat="1" applyFont="1" applyBorder="1" applyAlignment="1" applyProtection="1">
      <alignment horizontal="center" wrapText="1"/>
      <protection locked="0"/>
    </xf>
    <xf numFmtId="44" fontId="132" fillId="0" borderId="10" xfId="1" applyNumberFormat="1" applyFont="1" applyBorder="1" applyAlignment="1" applyProtection="1">
      <alignment horizontal="center" wrapText="1"/>
      <protection locked="0"/>
    </xf>
    <xf numFmtId="44" fontId="132" fillId="0" borderId="0" xfId="1" applyNumberFormat="1" applyFont="1" applyBorder="1" applyAlignment="1" applyProtection="1">
      <alignment horizontal="center" vertical="center" wrapText="1"/>
      <protection locked="0"/>
    </xf>
    <xf numFmtId="44" fontId="132" fillId="0" borderId="0" xfId="1" applyNumberFormat="1" applyFont="1" applyFill="1" applyBorder="1" applyAlignment="1" applyProtection="1">
      <alignment horizontal="center" vertical="center" wrapText="1"/>
      <protection locked="0"/>
    </xf>
    <xf numFmtId="164" fontId="132" fillId="0" borderId="7" xfId="0" applyNumberFormat="1" applyFont="1" applyBorder="1" applyAlignment="1" applyProtection="1">
      <alignment horizontal="center" vertical="center" wrapText="1"/>
      <protection locked="0"/>
    </xf>
    <xf numFmtId="44" fontId="132" fillId="0" borderId="12" xfId="1" applyNumberFormat="1" applyFont="1" applyBorder="1" applyAlignment="1" applyProtection="1">
      <alignment horizontal="center" wrapText="1"/>
      <protection locked="0"/>
    </xf>
    <xf numFmtId="164" fontId="0" fillId="0" borderId="7" xfId="0" applyNumberFormat="1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left"/>
      <protection locked="0"/>
    </xf>
    <xf numFmtId="0" fontId="122" fillId="0" borderId="6" xfId="0" applyFont="1" applyBorder="1" applyAlignment="1" applyProtection="1">
      <alignment horizontal="left"/>
      <protection locked="0"/>
    </xf>
    <xf numFmtId="0" fontId="0" fillId="0" borderId="6" xfId="0" applyBorder="1" applyProtection="1">
      <protection locked="0"/>
    </xf>
    <xf numFmtId="44" fontId="0" fillId="0" borderId="6" xfId="1" applyNumberFormat="1" applyFont="1" applyFill="1" applyBorder="1" applyAlignment="1" applyProtection="1">
      <alignment horizontal="right"/>
      <protection locked="0"/>
    </xf>
    <xf numFmtId="0" fontId="129" fillId="0" borderId="0" xfId="0" applyFont="1" applyProtection="1">
      <protection locked="0"/>
    </xf>
    <xf numFmtId="0" fontId="122" fillId="0" borderId="0" xfId="0" applyFont="1" applyProtection="1">
      <protection locked="0"/>
    </xf>
    <xf numFmtId="164" fontId="0" fillId="0" borderId="3" xfId="0" applyNumberFormat="1" applyBorder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44" fontId="130" fillId="6" borderId="17" xfId="1" applyNumberFormat="1" applyFont="1" applyFill="1" applyBorder="1" applyAlignment="1" applyProtection="1">
      <alignment horizontal="right"/>
      <protection locked="0"/>
    </xf>
    <xf numFmtId="44" fontId="130" fillId="0" borderId="0" xfId="1" applyNumberFormat="1" applyFont="1" applyFill="1" applyBorder="1" applyAlignment="1" applyProtection="1">
      <alignment horizontal="center"/>
      <protection locked="0"/>
    </xf>
    <xf numFmtId="164" fontId="0" fillId="0" borderId="18" xfId="0" applyNumberFormat="1" applyBorder="1" applyAlignment="1" applyProtection="1">
      <alignment horizontal="center"/>
      <protection locked="0"/>
    </xf>
    <xf numFmtId="0" fontId="0" fillId="0" borderId="19" xfId="0" applyBorder="1" applyProtection="1">
      <protection locked="0"/>
    </xf>
    <xf numFmtId="0" fontId="0" fillId="0" borderId="19" xfId="0" applyBorder="1" applyAlignment="1" applyProtection="1">
      <alignment horizontal="left"/>
      <protection locked="0"/>
    </xf>
    <xf numFmtId="44" fontId="0" fillId="0" borderId="19" xfId="1" applyNumberFormat="1" applyFont="1" applyBorder="1" applyAlignment="1" applyProtection="1">
      <alignment horizontal="right"/>
      <protection locked="0"/>
    </xf>
    <xf numFmtId="44" fontId="0" fillId="0" borderId="21" xfId="1" applyNumberFormat="1" applyFont="1" applyBorder="1" applyAlignment="1" applyProtection="1">
      <alignment horizontal="right"/>
      <protection locked="0"/>
    </xf>
    <xf numFmtId="164" fontId="0" fillId="0" borderId="0" xfId="0" applyNumberFormat="1" applyAlignment="1" applyProtection="1">
      <alignment horizontal="center"/>
      <protection locked="0"/>
    </xf>
    <xf numFmtId="44" fontId="0" fillId="0" borderId="0" xfId="1" applyNumberFormat="1" applyFont="1" applyAlignment="1" applyProtection="1">
      <alignment horizontal="right"/>
      <protection locked="0"/>
    </xf>
    <xf numFmtId="44" fontId="0" fillId="7" borderId="0" xfId="1" applyNumberFormat="1" applyFont="1" applyFill="1" applyBorder="1" applyAlignment="1" applyProtection="1">
      <alignment horizontal="center"/>
      <protection locked="0"/>
    </xf>
    <xf numFmtId="165" fontId="116" fillId="0" borderId="7" xfId="0" applyNumberFormat="1" applyFont="1" applyBorder="1" applyAlignment="1" applyProtection="1">
      <alignment horizontal="center"/>
      <protection locked="0"/>
    </xf>
    <xf numFmtId="44" fontId="134" fillId="7" borderId="0" xfId="1" applyNumberFormat="1" applyFont="1" applyFill="1" applyBorder="1" applyAlignment="1" applyProtection="1">
      <alignment horizontal="center"/>
      <protection locked="0"/>
    </xf>
    <xf numFmtId="164" fontId="115" fillId="0" borderId="7" xfId="0" applyNumberFormat="1" applyFont="1" applyBorder="1" applyAlignment="1" applyProtection="1">
      <alignment horizontal="center"/>
      <protection locked="0"/>
    </xf>
    <xf numFmtId="0" fontId="115" fillId="0" borderId="6" xfId="0" applyFont="1" applyBorder="1" applyAlignment="1" applyProtection="1">
      <alignment horizontal="left"/>
      <protection locked="0"/>
    </xf>
    <xf numFmtId="0" fontId="115" fillId="0" borderId="6" xfId="0" applyFont="1" applyBorder="1" applyProtection="1">
      <protection locked="0"/>
    </xf>
    <xf numFmtId="44" fontId="115" fillId="7" borderId="0" xfId="1" applyNumberFormat="1" applyFont="1" applyFill="1" applyBorder="1" applyAlignment="1" applyProtection="1">
      <alignment horizontal="center"/>
      <protection locked="0"/>
    </xf>
    <xf numFmtId="8" fontId="132" fillId="0" borderId="0" xfId="0" applyNumberFormat="1" applyFont="1" applyProtection="1">
      <protection locked="0"/>
    </xf>
    <xf numFmtId="8" fontId="135" fillId="0" borderId="0" xfId="0" applyNumberFormat="1" applyFont="1" applyProtection="1">
      <protection locked="0"/>
    </xf>
    <xf numFmtId="164" fontId="129" fillId="0" borderId="7" xfId="0" applyNumberFormat="1" applyFont="1" applyBorder="1" applyAlignment="1" applyProtection="1">
      <alignment horizontal="center"/>
      <protection locked="0"/>
    </xf>
    <xf numFmtId="0" fontId="129" fillId="0" borderId="6" xfId="0" applyFont="1" applyBorder="1" applyAlignment="1" applyProtection="1">
      <alignment horizontal="left"/>
      <protection locked="0"/>
    </xf>
    <xf numFmtId="0" fontId="129" fillId="0" borderId="6" xfId="0" applyFont="1" applyBorder="1" applyProtection="1">
      <protection locked="0"/>
    </xf>
    <xf numFmtId="44" fontId="129" fillId="0" borderId="6" xfId="1" applyNumberFormat="1" applyFont="1" applyFill="1" applyBorder="1" applyAlignment="1" applyProtection="1">
      <alignment horizontal="right"/>
      <protection locked="0"/>
    </xf>
    <xf numFmtId="44" fontId="129" fillId="8" borderId="12" xfId="1" applyNumberFormat="1" applyFont="1" applyFill="1" applyBorder="1" applyAlignment="1" applyProtection="1">
      <alignment horizontal="right"/>
    </xf>
    <xf numFmtId="44" fontId="122" fillId="7" borderId="0" xfId="1" applyNumberFormat="1" applyFont="1" applyFill="1" applyBorder="1" applyAlignment="1" applyProtection="1">
      <alignment horizontal="center"/>
      <protection locked="0"/>
    </xf>
    <xf numFmtId="164" fontId="116" fillId="7" borderId="7" xfId="0" applyNumberFormat="1" applyFont="1" applyFill="1" applyBorder="1" applyAlignment="1" applyProtection="1">
      <alignment horizontal="center"/>
      <protection locked="0"/>
    </xf>
    <xf numFmtId="0" fontId="116" fillId="7" borderId="6" xfId="0" applyFont="1" applyFill="1" applyBorder="1" applyAlignment="1" applyProtection="1">
      <alignment horizontal="left"/>
      <protection locked="0"/>
    </xf>
    <xf numFmtId="0" fontId="122" fillId="7" borderId="6" xfId="0" applyFont="1" applyFill="1" applyBorder="1" applyAlignment="1" applyProtection="1">
      <alignment horizontal="left"/>
      <protection locked="0"/>
    </xf>
    <xf numFmtId="0" fontId="0" fillId="7" borderId="6" xfId="0" applyFill="1" applyBorder="1" applyAlignment="1" applyProtection="1">
      <alignment horizontal="left"/>
      <protection locked="0"/>
    </xf>
    <xf numFmtId="0" fontId="115" fillId="7" borderId="6" xfId="0" applyFont="1" applyFill="1" applyBorder="1" applyProtection="1">
      <protection locked="0"/>
    </xf>
    <xf numFmtId="44" fontId="0" fillId="7" borderId="6" xfId="1" applyNumberFormat="1" applyFont="1" applyFill="1" applyBorder="1" applyAlignment="1" applyProtection="1">
      <alignment horizontal="right"/>
      <protection locked="0"/>
    </xf>
    <xf numFmtId="44" fontId="0" fillId="7" borderId="12" xfId="1" applyNumberFormat="1" applyFont="1" applyFill="1" applyBorder="1" applyAlignment="1" applyProtection="1">
      <alignment horizontal="right"/>
    </xf>
    <xf numFmtId="164" fontId="0" fillId="7" borderId="7" xfId="0" applyNumberFormat="1" applyFill="1" applyBorder="1" applyAlignment="1" applyProtection="1">
      <alignment horizontal="center"/>
      <protection locked="0"/>
    </xf>
    <xf numFmtId="0" fontId="112" fillId="7" borderId="6" xfId="0" applyFont="1" applyFill="1" applyBorder="1" applyProtection="1">
      <protection locked="0"/>
    </xf>
    <xf numFmtId="164" fontId="122" fillId="7" borderId="7" xfId="0" applyNumberFormat="1" applyFont="1" applyFill="1" applyBorder="1" applyAlignment="1" applyProtection="1">
      <alignment horizontal="center"/>
      <protection locked="0"/>
    </xf>
    <xf numFmtId="0" fontId="122" fillId="7" borderId="6" xfId="0" applyFont="1" applyFill="1" applyBorder="1" applyProtection="1">
      <protection locked="0"/>
    </xf>
    <xf numFmtId="44" fontId="122" fillId="7" borderId="6" xfId="1" applyNumberFormat="1" applyFont="1" applyFill="1" applyBorder="1" applyAlignment="1" applyProtection="1">
      <alignment horizontal="right"/>
      <protection locked="0"/>
    </xf>
    <xf numFmtId="44" fontId="122" fillId="7" borderId="12" xfId="1" applyNumberFormat="1" applyFont="1" applyFill="1" applyBorder="1" applyAlignment="1" applyProtection="1">
      <alignment horizontal="right"/>
    </xf>
    <xf numFmtId="0" fontId="0" fillId="7" borderId="6" xfId="0" applyFill="1" applyBorder="1" applyProtection="1">
      <protection locked="0"/>
    </xf>
    <xf numFmtId="164" fontId="110" fillId="0" borderId="7" xfId="0" applyNumberFormat="1" applyFont="1" applyBorder="1" applyAlignment="1" applyProtection="1">
      <alignment horizontal="center"/>
      <protection locked="0"/>
    </xf>
    <xf numFmtId="0" fontId="110" fillId="0" borderId="6" xfId="0" applyFont="1" applyBorder="1" applyAlignment="1" applyProtection="1">
      <alignment horizontal="left"/>
      <protection locked="0"/>
    </xf>
    <xf numFmtId="0" fontId="110" fillId="0" borderId="6" xfId="0" applyFont="1" applyBorder="1" applyProtection="1">
      <protection locked="0"/>
    </xf>
    <xf numFmtId="164" fontId="109" fillId="0" borderId="7" xfId="0" applyNumberFormat="1" applyFont="1" applyBorder="1" applyAlignment="1" applyProtection="1">
      <alignment horizontal="center"/>
      <protection locked="0"/>
    </xf>
    <xf numFmtId="0" fontId="109" fillId="0" borderId="6" xfId="0" applyFont="1" applyBorder="1" applyAlignment="1" applyProtection="1">
      <alignment horizontal="left"/>
      <protection locked="0"/>
    </xf>
    <xf numFmtId="0" fontId="109" fillId="0" borderId="6" xfId="0" applyFont="1" applyBorder="1" applyProtection="1">
      <protection locked="0"/>
    </xf>
    <xf numFmtId="164" fontId="108" fillId="0" borderId="7" xfId="0" applyNumberFormat="1" applyFont="1" applyBorder="1" applyAlignment="1" applyProtection="1">
      <alignment horizontal="center"/>
      <protection locked="0"/>
    </xf>
    <xf numFmtId="0" fontId="108" fillId="0" borderId="6" xfId="0" applyFont="1" applyBorder="1" applyAlignment="1" applyProtection="1">
      <alignment horizontal="left"/>
      <protection locked="0"/>
    </xf>
    <xf numFmtId="0" fontId="108" fillId="0" borderId="6" xfId="0" applyFont="1" applyBorder="1" applyProtection="1">
      <protection locked="0"/>
    </xf>
    <xf numFmtId="44" fontId="108" fillId="7" borderId="0" xfId="1" applyNumberFormat="1" applyFont="1" applyFill="1" applyBorder="1" applyAlignment="1" applyProtection="1">
      <alignment horizontal="center"/>
      <protection locked="0"/>
    </xf>
    <xf numFmtId="0" fontId="108" fillId="0" borderId="0" xfId="0" applyFont="1" applyProtection="1">
      <protection locked="0"/>
    </xf>
    <xf numFmtId="164" fontId="112" fillId="7" borderId="7" xfId="0" applyNumberFormat="1" applyFont="1" applyFill="1" applyBorder="1" applyAlignment="1" applyProtection="1">
      <alignment horizontal="center"/>
      <protection locked="0"/>
    </xf>
    <xf numFmtId="0" fontId="113" fillId="7" borderId="6" xfId="0" applyFont="1" applyFill="1" applyBorder="1" applyAlignment="1" applyProtection="1">
      <alignment horizontal="left"/>
      <protection locked="0"/>
    </xf>
    <xf numFmtId="0" fontId="113" fillId="7" borderId="6" xfId="0" applyFont="1" applyFill="1" applyBorder="1" applyProtection="1">
      <protection locked="0"/>
    </xf>
    <xf numFmtId="164" fontId="122" fillId="0" borderId="7" xfId="0" applyNumberFormat="1" applyFont="1" applyBorder="1" applyAlignment="1" applyProtection="1">
      <alignment horizontal="center" vertical="center" wrapText="1"/>
      <protection locked="0"/>
    </xf>
    <xf numFmtId="0" fontId="122" fillId="0" borderId="6" xfId="0" applyFont="1" applyBorder="1" applyAlignment="1" applyProtection="1">
      <alignment horizontal="left" vertical="center" wrapText="1"/>
      <protection locked="0"/>
    </xf>
    <xf numFmtId="44" fontId="122" fillId="0" borderId="6" xfId="1" applyNumberFormat="1" applyFont="1" applyBorder="1" applyAlignment="1" applyProtection="1">
      <alignment horizontal="center" wrapText="1"/>
      <protection locked="0"/>
    </xf>
    <xf numFmtId="164" fontId="107" fillId="0" borderId="7" xfId="0" applyNumberFormat="1" applyFont="1" applyBorder="1" applyAlignment="1" applyProtection="1">
      <alignment horizontal="center"/>
      <protection locked="0"/>
    </xf>
    <xf numFmtId="0" fontId="107" fillId="0" borderId="6" xfId="0" applyFont="1" applyBorder="1" applyAlignment="1" applyProtection="1">
      <alignment horizontal="left"/>
      <protection locked="0"/>
    </xf>
    <xf numFmtId="0" fontId="107" fillId="0" borderId="6" xfId="0" applyFont="1" applyBorder="1" applyProtection="1">
      <protection locked="0"/>
    </xf>
    <xf numFmtId="164" fontId="106" fillId="0" borderId="7" xfId="0" applyNumberFormat="1" applyFont="1" applyBorder="1" applyAlignment="1" applyProtection="1">
      <alignment horizontal="center"/>
      <protection locked="0"/>
    </xf>
    <xf numFmtId="0" fontId="106" fillId="0" borderId="6" xfId="0" applyFont="1" applyBorder="1" applyAlignment="1" applyProtection="1">
      <alignment horizontal="left"/>
      <protection locked="0"/>
    </xf>
    <xf numFmtId="0" fontId="106" fillId="0" borderId="6" xfId="0" applyFont="1" applyBorder="1" applyProtection="1">
      <protection locked="0"/>
    </xf>
    <xf numFmtId="0" fontId="122" fillId="0" borderId="6" xfId="0" applyFont="1" applyBorder="1" applyAlignment="1" applyProtection="1">
      <alignment horizontal="left" vertical="center"/>
      <protection locked="0"/>
    </xf>
    <xf numFmtId="0" fontId="122" fillId="0" borderId="6" xfId="1" applyNumberFormat="1" applyFont="1" applyFill="1" applyBorder="1" applyAlignment="1" applyProtection="1">
      <alignment horizontal="left" vertical="center"/>
      <protection locked="0"/>
    </xf>
    <xf numFmtId="44" fontId="122" fillId="0" borderId="12" xfId="1" applyNumberFormat="1" applyFont="1" applyBorder="1" applyAlignment="1" applyProtection="1">
      <alignment horizontal="center" wrapText="1"/>
      <protection locked="0"/>
    </xf>
    <xf numFmtId="44" fontId="122" fillId="7" borderId="0" xfId="1" applyNumberFormat="1" applyFont="1" applyFill="1" applyBorder="1" applyAlignment="1" applyProtection="1">
      <alignment horizontal="center" vertical="center" wrapText="1"/>
      <protection locked="0"/>
    </xf>
    <xf numFmtId="44" fontId="122" fillId="0" borderId="0" xfId="1" applyNumberFormat="1" applyFont="1" applyBorder="1" applyAlignment="1" applyProtection="1">
      <alignment horizontal="left" vertical="center" wrapText="1"/>
      <protection locked="0"/>
    </xf>
    <xf numFmtId="164" fontId="105" fillId="7" borderId="7" xfId="0" applyNumberFormat="1" applyFont="1" applyFill="1" applyBorder="1" applyAlignment="1" applyProtection="1">
      <alignment horizontal="center"/>
      <protection locked="0"/>
    </xf>
    <xf numFmtId="0" fontId="105" fillId="7" borderId="6" xfId="0" applyFont="1" applyFill="1" applyBorder="1" applyAlignment="1" applyProtection="1">
      <alignment horizontal="left"/>
      <protection locked="0"/>
    </xf>
    <xf numFmtId="0" fontId="105" fillId="7" borderId="6" xfId="0" applyFont="1" applyFill="1" applyBorder="1" applyProtection="1">
      <protection locked="0"/>
    </xf>
    <xf numFmtId="164" fontId="108" fillId="7" borderId="7" xfId="0" applyNumberFormat="1" applyFont="1" applyFill="1" applyBorder="1" applyAlignment="1" applyProtection="1">
      <alignment horizontal="center"/>
      <protection locked="0"/>
    </xf>
    <xf numFmtId="0" fontId="108" fillId="7" borderId="6" xfId="0" applyFont="1" applyFill="1" applyBorder="1" applyAlignment="1" applyProtection="1">
      <alignment horizontal="left"/>
      <protection locked="0"/>
    </xf>
    <xf numFmtId="0" fontId="108" fillId="7" borderId="6" xfId="0" applyFont="1" applyFill="1" applyBorder="1" applyProtection="1">
      <protection locked="0"/>
    </xf>
    <xf numFmtId="44" fontId="108" fillId="7" borderId="6" xfId="1" applyNumberFormat="1" applyFont="1" applyFill="1" applyBorder="1" applyAlignment="1" applyProtection="1">
      <alignment horizontal="right"/>
      <protection locked="0"/>
    </xf>
    <xf numFmtId="44" fontId="108" fillId="7" borderId="12" xfId="1" applyNumberFormat="1" applyFont="1" applyFill="1" applyBorder="1" applyAlignment="1" applyProtection="1">
      <alignment horizontal="right"/>
    </xf>
    <xf numFmtId="0" fontId="0" fillId="4" borderId="6" xfId="0" applyFill="1" applyBorder="1" applyAlignment="1" applyProtection="1">
      <alignment horizontal="left"/>
      <protection locked="0"/>
    </xf>
    <xf numFmtId="0" fontId="122" fillId="4" borderId="6" xfId="0" applyFont="1" applyFill="1" applyBorder="1" applyAlignment="1" applyProtection="1">
      <alignment horizontal="left"/>
      <protection locked="0"/>
    </xf>
    <xf numFmtId="44" fontId="0" fillId="4" borderId="6" xfId="1" applyNumberFormat="1" applyFont="1" applyFill="1" applyBorder="1" applyAlignment="1" applyProtection="1">
      <alignment horizontal="right"/>
      <protection locked="0"/>
    </xf>
    <xf numFmtId="164" fontId="111" fillId="7" borderId="7" xfId="0" applyNumberFormat="1" applyFont="1" applyFill="1" applyBorder="1" applyAlignment="1" applyProtection="1">
      <alignment horizontal="center"/>
      <protection locked="0"/>
    </xf>
    <xf numFmtId="0" fontId="111" fillId="7" borderId="6" xfId="0" applyFont="1" applyFill="1" applyBorder="1" applyAlignment="1" applyProtection="1">
      <alignment horizontal="left"/>
      <protection locked="0"/>
    </xf>
    <xf numFmtId="0" fontId="111" fillId="7" borderId="6" xfId="0" applyFont="1" applyFill="1" applyBorder="1" applyProtection="1">
      <protection locked="0"/>
    </xf>
    <xf numFmtId="164" fontId="110" fillId="7" borderId="7" xfId="0" applyNumberFormat="1" applyFont="1" applyFill="1" applyBorder="1" applyAlignment="1" applyProtection="1">
      <alignment horizontal="center"/>
      <protection locked="0"/>
    </xf>
    <xf numFmtId="0" fontId="110" fillId="7" borderId="6" xfId="0" applyFont="1" applyFill="1" applyBorder="1" applyAlignment="1" applyProtection="1">
      <alignment horizontal="left"/>
      <protection locked="0"/>
    </xf>
    <xf numFmtId="0" fontId="110" fillId="7" borderId="6" xfId="0" applyFont="1" applyFill="1" applyBorder="1" applyProtection="1">
      <protection locked="0"/>
    </xf>
    <xf numFmtId="166" fontId="135" fillId="0" borderId="0" xfId="0" applyNumberFormat="1" applyFont="1" applyProtection="1">
      <protection locked="0"/>
    </xf>
    <xf numFmtId="0" fontId="122" fillId="0" borderId="6" xfId="0" applyFont="1" applyBorder="1" applyProtection="1">
      <protection locked="0"/>
    </xf>
    <xf numFmtId="44" fontId="122" fillId="0" borderId="6" xfId="1" applyNumberFormat="1" applyFont="1" applyFill="1" applyBorder="1" applyAlignment="1" applyProtection="1">
      <alignment horizontal="right"/>
      <protection locked="0"/>
    </xf>
    <xf numFmtId="44" fontId="122" fillId="8" borderId="12" xfId="1" applyNumberFormat="1" applyFont="1" applyFill="1" applyBorder="1" applyAlignment="1" applyProtection="1">
      <alignment horizontal="right"/>
    </xf>
    <xf numFmtId="0" fontId="122" fillId="0" borderId="0" xfId="0" applyFont="1" applyAlignment="1" applyProtection="1">
      <alignment horizontal="left"/>
      <protection locked="0"/>
    </xf>
    <xf numFmtId="164" fontId="122" fillId="0" borderId="7" xfId="0" applyNumberFormat="1" applyFont="1" applyBorder="1" applyAlignment="1" applyProtection="1">
      <alignment horizontal="center"/>
      <protection locked="0"/>
    </xf>
    <xf numFmtId="164" fontId="122" fillId="4" borderId="7" xfId="0" applyNumberFormat="1" applyFont="1" applyFill="1" applyBorder="1" applyAlignment="1" applyProtection="1">
      <alignment horizontal="center"/>
      <protection locked="0"/>
    </xf>
    <xf numFmtId="0" fontId="122" fillId="4" borderId="6" xfId="0" applyFont="1" applyFill="1" applyBorder="1" applyProtection="1">
      <protection locked="0"/>
    </xf>
    <xf numFmtId="44" fontId="122" fillId="4" borderId="6" xfId="1" applyNumberFormat="1" applyFont="1" applyFill="1" applyBorder="1" applyAlignment="1" applyProtection="1">
      <alignment horizontal="right"/>
      <protection locked="0"/>
    </xf>
    <xf numFmtId="0" fontId="129" fillId="4" borderId="6" xfId="0" applyFont="1" applyFill="1" applyBorder="1" applyAlignment="1" applyProtection="1">
      <alignment horizontal="left"/>
      <protection locked="0"/>
    </xf>
    <xf numFmtId="0" fontId="129" fillId="4" borderId="6" xfId="0" applyFont="1" applyFill="1" applyBorder="1" applyProtection="1">
      <protection locked="0"/>
    </xf>
    <xf numFmtId="44" fontId="129" fillId="4" borderId="6" xfId="1" applyNumberFormat="1" applyFont="1" applyFill="1" applyBorder="1" applyAlignment="1" applyProtection="1">
      <alignment horizontal="right"/>
      <protection locked="0"/>
    </xf>
    <xf numFmtId="164" fontId="104" fillId="0" borderId="7" xfId="0" applyNumberFormat="1" applyFont="1" applyBorder="1" applyAlignment="1" applyProtection="1">
      <alignment horizontal="center"/>
      <protection locked="0"/>
    </xf>
    <xf numFmtId="0" fontId="104" fillId="0" borderId="6" xfId="0" applyFont="1" applyBorder="1" applyAlignment="1" applyProtection="1">
      <alignment horizontal="left"/>
      <protection locked="0"/>
    </xf>
    <xf numFmtId="0" fontId="104" fillId="0" borderId="6" xfId="0" applyFont="1" applyBorder="1" applyProtection="1">
      <protection locked="0"/>
    </xf>
    <xf numFmtId="164" fontId="104" fillId="7" borderId="7" xfId="0" applyNumberFormat="1" applyFont="1" applyFill="1" applyBorder="1" applyAlignment="1" applyProtection="1">
      <alignment horizontal="center"/>
      <protection locked="0"/>
    </xf>
    <xf numFmtId="0" fontId="104" fillId="7" borderId="6" xfId="0" applyFont="1" applyFill="1" applyBorder="1" applyAlignment="1" applyProtection="1">
      <alignment horizontal="left"/>
      <protection locked="0"/>
    </xf>
    <xf numFmtId="0" fontId="104" fillId="7" borderId="6" xfId="0" applyFont="1" applyFill="1" applyBorder="1" applyProtection="1">
      <protection locked="0"/>
    </xf>
    <xf numFmtId="44" fontId="122" fillId="0" borderId="0" xfId="0" applyNumberFormat="1" applyFont="1" applyProtection="1">
      <protection locked="0"/>
    </xf>
    <xf numFmtId="44" fontId="132" fillId="0" borderId="0" xfId="1" applyNumberFormat="1" applyFont="1" applyBorder="1" applyAlignment="1" applyProtection="1">
      <alignment horizontal="center" wrapText="1"/>
      <protection locked="0"/>
    </xf>
    <xf numFmtId="44" fontId="0" fillId="7" borderId="0" xfId="1" applyNumberFormat="1" applyFont="1" applyFill="1" applyBorder="1" applyAlignment="1" applyProtection="1">
      <alignment horizontal="right"/>
    </xf>
    <xf numFmtId="0" fontId="103" fillId="0" borderId="6" xfId="0" applyFont="1" applyBorder="1" applyAlignment="1">
      <alignment horizontal="right"/>
    </xf>
    <xf numFmtId="0" fontId="103" fillId="0" borderId="6" xfId="0" applyFont="1" applyBorder="1"/>
    <xf numFmtId="0" fontId="130" fillId="0" borderId="6" xfId="0" applyFont="1" applyBorder="1"/>
    <xf numFmtId="164" fontId="103" fillId="0" borderId="7" xfId="0" applyNumberFormat="1" applyFont="1" applyBorder="1" applyAlignment="1" applyProtection="1">
      <alignment horizontal="center"/>
      <protection locked="0"/>
    </xf>
    <xf numFmtId="0" fontId="103" fillId="0" borderId="6" xfId="0" applyFont="1" applyBorder="1" applyAlignment="1" applyProtection="1">
      <alignment horizontal="left"/>
      <protection locked="0"/>
    </xf>
    <xf numFmtId="0" fontId="103" fillId="0" borderId="6" xfId="0" applyFont="1" applyBorder="1" applyProtection="1">
      <protection locked="0"/>
    </xf>
    <xf numFmtId="0" fontId="103" fillId="0" borderId="0" xfId="0" applyFont="1"/>
    <xf numFmtId="0" fontId="130" fillId="0" borderId="0" xfId="0" applyFont="1"/>
    <xf numFmtId="0" fontId="130" fillId="0" borderId="6" xfId="0" applyFont="1" applyBorder="1" applyAlignment="1">
      <alignment horizontal="center"/>
    </xf>
    <xf numFmtId="166" fontId="0" fillId="0" borderId="6" xfId="0" applyNumberFormat="1" applyBorder="1"/>
    <xf numFmtId="0" fontId="0" fillId="0" borderId="22" xfId="0" applyBorder="1" applyAlignment="1">
      <alignment horizontal="center"/>
    </xf>
    <xf numFmtId="166" fontId="0" fillId="0" borderId="22" xfId="0" applyNumberFormat="1" applyBorder="1" applyAlignment="1">
      <alignment horizontal="center"/>
    </xf>
    <xf numFmtId="0" fontId="103" fillId="0" borderId="0" xfId="0" applyFont="1" applyAlignment="1">
      <alignment horizontal="right" vertical="center"/>
    </xf>
    <xf numFmtId="0" fontId="103" fillId="0" borderId="6" xfId="0" applyFont="1" applyBorder="1" applyAlignment="1">
      <alignment horizontal="left" vertical="center"/>
    </xf>
    <xf numFmtId="0" fontId="102" fillId="0" borderId="6" xfId="0" applyFont="1" applyBorder="1"/>
    <xf numFmtId="0" fontId="102" fillId="0" borderId="6" xfId="0" applyFont="1" applyBorder="1" applyAlignment="1">
      <alignment horizontal="left" vertical="center"/>
    </xf>
    <xf numFmtId="0" fontId="103" fillId="0" borderId="6" xfId="0" applyFont="1" applyBorder="1" applyAlignment="1">
      <alignment horizontal="right" vertical="center"/>
    </xf>
    <xf numFmtId="0" fontId="101" fillId="0" borderId="0" xfId="0" applyFont="1"/>
    <xf numFmtId="164" fontId="122" fillId="7" borderId="7" xfId="0" applyNumberFormat="1" applyFont="1" applyFill="1" applyBorder="1" applyAlignment="1" applyProtection="1">
      <alignment horizontal="center" vertical="center" wrapText="1"/>
      <protection locked="0"/>
    </xf>
    <xf numFmtId="0" fontId="122" fillId="7" borderId="6" xfId="0" applyFont="1" applyFill="1" applyBorder="1" applyAlignment="1" applyProtection="1">
      <alignment horizontal="left" vertical="center"/>
      <protection locked="0"/>
    </xf>
    <xf numFmtId="0" fontId="122" fillId="7" borderId="6" xfId="0" applyFont="1" applyFill="1" applyBorder="1" applyAlignment="1" applyProtection="1">
      <alignment horizontal="left" vertical="center" wrapText="1"/>
      <protection locked="0"/>
    </xf>
    <xf numFmtId="0" fontId="122" fillId="7" borderId="6" xfId="1" applyNumberFormat="1" applyFont="1" applyFill="1" applyBorder="1" applyAlignment="1" applyProtection="1">
      <alignment horizontal="left" vertical="center"/>
      <protection locked="0"/>
    </xf>
    <xf numFmtId="44" fontId="122" fillId="7" borderId="6" xfId="1" applyNumberFormat="1" applyFont="1" applyFill="1" applyBorder="1" applyAlignment="1" applyProtection="1">
      <alignment horizontal="center" wrapText="1"/>
      <protection locked="0"/>
    </xf>
    <xf numFmtId="44" fontId="132" fillId="7" borderId="6" xfId="1" applyNumberFormat="1" applyFont="1" applyFill="1" applyBorder="1" applyAlignment="1" applyProtection="1">
      <alignment horizontal="center" wrapText="1"/>
      <protection locked="0"/>
    </xf>
    <xf numFmtId="0" fontId="100" fillId="7" borderId="6" xfId="0" applyFont="1" applyFill="1" applyBorder="1" applyProtection="1">
      <protection locked="0"/>
    </xf>
    <xf numFmtId="164" fontId="100" fillId="7" borderId="7" xfId="0" applyNumberFormat="1" applyFont="1" applyFill="1" applyBorder="1" applyAlignment="1" applyProtection="1">
      <alignment horizontal="center"/>
      <protection locked="0"/>
    </xf>
    <xf numFmtId="0" fontId="100" fillId="7" borderId="6" xfId="0" applyFont="1" applyFill="1" applyBorder="1" applyAlignment="1" applyProtection="1">
      <alignment horizontal="left"/>
      <protection locked="0"/>
    </xf>
    <xf numFmtId="165" fontId="100" fillId="7" borderId="7" xfId="0" applyNumberFormat="1" applyFont="1" applyFill="1" applyBorder="1" applyAlignment="1" applyProtection="1">
      <alignment horizontal="center"/>
      <protection locked="0"/>
    </xf>
    <xf numFmtId="0" fontId="99" fillId="0" borderId="6" xfId="0" applyFont="1" applyBorder="1"/>
    <xf numFmtId="0" fontId="99" fillId="0" borderId="6" xfId="0" applyFont="1" applyBorder="1" applyAlignment="1">
      <alignment horizontal="left" vertical="center"/>
    </xf>
    <xf numFmtId="166" fontId="0" fillId="0" borderId="0" xfId="0" applyNumberFormat="1"/>
    <xf numFmtId="0" fontId="98" fillId="7" borderId="6" xfId="0" applyFont="1" applyFill="1" applyBorder="1" applyProtection="1">
      <protection locked="0"/>
    </xf>
    <xf numFmtId="164" fontId="98" fillId="7" borderId="7" xfId="0" applyNumberFormat="1" applyFont="1" applyFill="1" applyBorder="1" applyAlignment="1" applyProtection="1">
      <alignment horizontal="center"/>
      <protection locked="0"/>
    </xf>
    <xf numFmtId="0" fontId="98" fillId="7" borderId="6" xfId="0" applyFont="1" applyFill="1" applyBorder="1" applyAlignment="1" applyProtection="1">
      <alignment horizontal="left"/>
      <protection locked="0"/>
    </xf>
    <xf numFmtId="44" fontId="98" fillId="7" borderId="6" xfId="1" applyNumberFormat="1" applyFont="1" applyFill="1" applyBorder="1" applyAlignment="1" applyProtection="1">
      <alignment horizontal="right"/>
      <protection locked="0"/>
    </xf>
    <xf numFmtId="44" fontId="97" fillId="7" borderId="0" xfId="1" applyNumberFormat="1" applyFont="1" applyFill="1" applyBorder="1" applyAlignment="1" applyProtection="1">
      <alignment horizontal="center"/>
      <protection locked="0"/>
    </xf>
    <xf numFmtId="164" fontId="97" fillId="7" borderId="7" xfId="0" applyNumberFormat="1" applyFont="1" applyFill="1" applyBorder="1" applyAlignment="1" applyProtection="1">
      <alignment horizontal="center"/>
      <protection locked="0"/>
    </xf>
    <xf numFmtId="0" fontId="97" fillId="7" borderId="6" xfId="0" applyFont="1" applyFill="1" applyBorder="1" applyAlignment="1" applyProtection="1">
      <alignment horizontal="left"/>
      <protection locked="0"/>
    </xf>
    <xf numFmtId="0" fontId="97" fillId="7" borderId="6" xfId="0" applyFont="1" applyFill="1" applyBorder="1" applyProtection="1">
      <protection locked="0"/>
    </xf>
    <xf numFmtId="44" fontId="97" fillId="7" borderId="6" xfId="1" applyNumberFormat="1" applyFont="1" applyFill="1" applyBorder="1" applyAlignment="1" applyProtection="1">
      <alignment horizontal="right"/>
      <protection locked="0"/>
    </xf>
    <xf numFmtId="44" fontId="97" fillId="7" borderId="12" xfId="1" applyNumberFormat="1" applyFont="1" applyFill="1" applyBorder="1" applyAlignment="1" applyProtection="1">
      <alignment horizontal="right"/>
    </xf>
    <xf numFmtId="164" fontId="96" fillId="7" borderId="7" xfId="0" applyNumberFormat="1" applyFont="1" applyFill="1" applyBorder="1" applyAlignment="1" applyProtection="1">
      <alignment horizontal="center"/>
      <protection locked="0"/>
    </xf>
    <xf numFmtId="0" fontId="96" fillId="7" borderId="6" xfId="0" applyFont="1" applyFill="1" applyBorder="1" applyAlignment="1" applyProtection="1">
      <alignment horizontal="left"/>
      <protection locked="0"/>
    </xf>
    <xf numFmtId="0" fontId="96" fillId="7" borderId="6" xfId="0" applyFont="1" applyFill="1" applyBorder="1" applyProtection="1">
      <protection locked="0"/>
    </xf>
    <xf numFmtId="164" fontId="95" fillId="7" borderId="7" xfId="0" applyNumberFormat="1" applyFont="1" applyFill="1" applyBorder="1" applyAlignment="1" applyProtection="1">
      <alignment horizontal="center"/>
      <protection locked="0"/>
    </xf>
    <xf numFmtId="0" fontId="95" fillId="7" borderId="6" xfId="0" applyFont="1" applyFill="1" applyBorder="1" applyAlignment="1" applyProtection="1">
      <alignment horizontal="left"/>
      <protection locked="0"/>
    </xf>
    <xf numFmtId="0" fontId="95" fillId="7" borderId="6" xfId="0" applyFont="1" applyFill="1" applyBorder="1" applyProtection="1">
      <protection locked="0"/>
    </xf>
    <xf numFmtId="44" fontId="95" fillId="7" borderId="6" xfId="1" applyNumberFormat="1" applyFont="1" applyFill="1" applyBorder="1" applyAlignment="1" applyProtection="1">
      <alignment horizontal="right"/>
      <protection locked="0"/>
    </xf>
    <xf numFmtId="44" fontId="95" fillId="7" borderId="12" xfId="1" applyNumberFormat="1" applyFont="1" applyFill="1" applyBorder="1" applyAlignment="1" applyProtection="1">
      <alignment horizontal="right"/>
    </xf>
    <xf numFmtId="8" fontId="0" fillId="0" borderId="6" xfId="0" applyNumberFormat="1" applyBorder="1"/>
    <xf numFmtId="167" fontId="0" fillId="0" borderId="6" xfId="0" applyNumberFormat="1" applyBorder="1"/>
    <xf numFmtId="168" fontId="0" fillId="0" borderId="6" xfId="0" applyNumberFormat="1" applyBorder="1"/>
    <xf numFmtId="168" fontId="0" fillId="0" borderId="22" xfId="0" applyNumberFormat="1" applyBorder="1"/>
    <xf numFmtId="168" fontId="0" fillId="0" borderId="22" xfId="0" applyNumberFormat="1" applyBorder="1" applyAlignment="1">
      <alignment horizontal="right"/>
    </xf>
    <xf numFmtId="168" fontId="0" fillId="0" borderId="6" xfId="0" applyNumberFormat="1" applyBorder="1" applyAlignment="1">
      <alignment horizontal="right"/>
    </xf>
    <xf numFmtId="0" fontId="94" fillId="0" borderId="6" xfId="0" applyFont="1" applyBorder="1"/>
    <xf numFmtId="164" fontId="93" fillId="7" borderId="7" xfId="0" applyNumberFormat="1" applyFont="1" applyFill="1" applyBorder="1" applyAlignment="1" applyProtection="1">
      <alignment horizontal="center"/>
      <protection locked="0"/>
    </xf>
    <xf numFmtId="0" fontId="93" fillId="7" borderId="6" xfId="0" applyFont="1" applyFill="1" applyBorder="1" applyAlignment="1" applyProtection="1">
      <alignment horizontal="left"/>
      <protection locked="0"/>
    </xf>
    <xf numFmtId="0" fontId="93" fillId="7" borderId="6" xfId="0" applyFont="1" applyFill="1" applyBorder="1" applyProtection="1">
      <protection locked="0"/>
    </xf>
    <xf numFmtId="164" fontId="92" fillId="7" borderId="7" xfId="0" applyNumberFormat="1" applyFont="1" applyFill="1" applyBorder="1" applyAlignment="1" applyProtection="1">
      <alignment horizontal="center"/>
      <protection locked="0"/>
    </xf>
    <xf numFmtId="0" fontId="92" fillId="7" borderId="6" xfId="0" applyFont="1" applyFill="1" applyBorder="1" applyAlignment="1" applyProtection="1">
      <alignment horizontal="left"/>
      <protection locked="0"/>
    </xf>
    <xf numFmtId="0" fontId="92" fillId="7" borderId="6" xfId="0" applyFont="1" applyFill="1" applyBorder="1" applyProtection="1">
      <protection locked="0"/>
    </xf>
    <xf numFmtId="44" fontId="122" fillId="7" borderId="0" xfId="1" applyNumberFormat="1" applyFont="1" applyFill="1" applyBorder="1" applyAlignment="1" applyProtection="1">
      <alignment horizontal="right"/>
    </xf>
    <xf numFmtId="0" fontId="91" fillId="0" borderId="6" xfId="0" applyFont="1" applyBorder="1"/>
    <xf numFmtId="0" fontId="91" fillId="0" borderId="6" xfId="0" applyFont="1" applyBorder="1" applyAlignment="1">
      <alignment horizontal="right"/>
    </xf>
    <xf numFmtId="0" fontId="91" fillId="0" borderId="6" xfId="0" applyFont="1" applyBorder="1" applyAlignment="1">
      <alignment horizontal="left" vertical="center"/>
    </xf>
    <xf numFmtId="164" fontId="90" fillId="7" borderId="7" xfId="0" applyNumberFormat="1" applyFont="1" applyFill="1" applyBorder="1" applyAlignment="1" applyProtection="1">
      <alignment horizontal="center"/>
      <protection locked="0"/>
    </xf>
    <xf numFmtId="0" fontId="90" fillId="7" borderId="6" xfId="0" applyFont="1" applyFill="1" applyBorder="1" applyAlignment="1" applyProtection="1">
      <alignment horizontal="left"/>
      <protection locked="0"/>
    </xf>
    <xf numFmtId="0" fontId="90" fillId="7" borderId="6" xfId="0" applyFont="1" applyFill="1" applyBorder="1" applyProtection="1">
      <protection locked="0"/>
    </xf>
    <xf numFmtId="164" fontId="86" fillId="7" borderId="7" xfId="0" applyNumberFormat="1" applyFont="1" applyFill="1" applyBorder="1" applyAlignment="1" applyProtection="1">
      <alignment horizontal="center"/>
      <protection locked="0"/>
    </xf>
    <xf numFmtId="0" fontId="86" fillId="7" borderId="6" xfId="0" applyFont="1" applyFill="1" applyBorder="1" applyAlignment="1" applyProtection="1">
      <alignment horizontal="left"/>
      <protection locked="0"/>
    </xf>
    <xf numFmtId="0" fontId="86" fillId="7" borderId="6" xfId="0" applyFont="1" applyFill="1" applyBorder="1" applyProtection="1">
      <protection locked="0"/>
    </xf>
    <xf numFmtId="44" fontId="86" fillId="7" borderId="6" xfId="1" applyNumberFormat="1" applyFont="1" applyFill="1" applyBorder="1" applyAlignment="1" applyProtection="1">
      <alignment horizontal="right"/>
      <protection locked="0"/>
    </xf>
    <xf numFmtId="44" fontId="86" fillId="7" borderId="12" xfId="1" applyNumberFormat="1" applyFont="1" applyFill="1" applyBorder="1" applyAlignment="1" applyProtection="1">
      <alignment horizontal="right"/>
    </xf>
    <xf numFmtId="0" fontId="122" fillId="7" borderId="0" xfId="0" applyFont="1" applyFill="1" applyProtection="1">
      <protection locked="0"/>
    </xf>
    <xf numFmtId="6" fontId="135" fillId="0" borderId="0" xfId="0" applyNumberFormat="1" applyFont="1" applyProtection="1">
      <protection locked="0"/>
    </xf>
    <xf numFmtId="0" fontId="135" fillId="0" borderId="0" xfId="0" applyFont="1" applyProtection="1">
      <protection locked="0"/>
    </xf>
    <xf numFmtId="164" fontId="84" fillId="7" borderId="7" xfId="0" applyNumberFormat="1" applyFont="1" applyFill="1" applyBorder="1" applyAlignment="1" applyProtection="1">
      <alignment horizontal="center"/>
      <protection locked="0"/>
    </xf>
    <xf numFmtId="0" fontId="84" fillId="7" borderId="6" xfId="0" applyFont="1" applyFill="1" applyBorder="1" applyAlignment="1" applyProtection="1">
      <alignment horizontal="left"/>
      <protection locked="0"/>
    </xf>
    <xf numFmtId="0" fontId="84" fillId="7" borderId="6" xfId="0" applyFont="1" applyFill="1" applyBorder="1" applyProtection="1">
      <protection locked="0"/>
    </xf>
    <xf numFmtId="164" fontId="83" fillId="7" borderId="7" xfId="0" applyNumberFormat="1" applyFont="1" applyFill="1" applyBorder="1" applyAlignment="1" applyProtection="1">
      <alignment horizontal="center"/>
      <protection locked="0"/>
    </xf>
    <xf numFmtId="0" fontId="83" fillId="7" borderId="6" xfId="0" applyFont="1" applyFill="1" applyBorder="1" applyAlignment="1" applyProtection="1">
      <alignment horizontal="left"/>
      <protection locked="0"/>
    </xf>
    <xf numFmtId="0" fontId="83" fillId="7" borderId="6" xfId="0" applyFont="1" applyFill="1" applyBorder="1" applyProtection="1">
      <protection locked="0"/>
    </xf>
    <xf numFmtId="0" fontId="0" fillId="4" borderId="0" xfId="0" applyFill="1" applyProtection="1">
      <protection locked="0"/>
    </xf>
    <xf numFmtId="44" fontId="0" fillId="4" borderId="12" xfId="1" applyNumberFormat="1" applyFont="1" applyFill="1" applyBorder="1" applyAlignment="1" applyProtection="1">
      <alignment horizontal="right"/>
    </xf>
    <xf numFmtId="44" fontId="0" fillId="4" borderId="0" xfId="1" applyNumberFormat="1" applyFont="1" applyFill="1" applyBorder="1" applyAlignment="1" applyProtection="1">
      <alignment horizontal="right"/>
    </xf>
    <xf numFmtId="44" fontId="0" fillId="4" borderId="0" xfId="1" applyNumberFormat="1" applyFont="1" applyFill="1" applyBorder="1" applyAlignment="1" applyProtection="1">
      <alignment horizontal="center"/>
      <protection locked="0"/>
    </xf>
    <xf numFmtId="0" fontId="122" fillId="4" borderId="0" xfId="0" applyFont="1" applyFill="1" applyProtection="1">
      <protection locked="0"/>
    </xf>
    <xf numFmtId="0" fontId="129" fillId="4" borderId="0" xfId="0" applyFont="1" applyFill="1" applyProtection="1">
      <protection locked="0"/>
    </xf>
    <xf numFmtId="164" fontId="83" fillId="4" borderId="7" xfId="0" applyNumberFormat="1" applyFont="1" applyFill="1" applyBorder="1" applyAlignment="1" applyProtection="1">
      <alignment horizontal="center"/>
      <protection locked="0"/>
    </xf>
    <xf numFmtId="0" fontId="83" fillId="4" borderId="6" xfId="0" applyFont="1" applyFill="1" applyBorder="1" applyAlignment="1" applyProtection="1">
      <alignment horizontal="left"/>
      <protection locked="0"/>
    </xf>
    <xf numFmtId="0" fontId="83" fillId="4" borderId="6" xfId="0" applyFont="1" applyFill="1" applyBorder="1" applyProtection="1">
      <protection locked="0"/>
    </xf>
    <xf numFmtId="44" fontId="122" fillId="4" borderId="12" xfId="1" applyNumberFormat="1" applyFont="1" applyFill="1" applyBorder="1" applyAlignment="1" applyProtection="1">
      <alignment horizontal="right"/>
    </xf>
    <xf numFmtId="44" fontId="122" fillId="4" borderId="0" xfId="1" applyNumberFormat="1" applyFont="1" applyFill="1" applyBorder="1" applyAlignment="1" applyProtection="1">
      <alignment horizontal="center"/>
      <protection locked="0"/>
    </xf>
    <xf numFmtId="44" fontId="122" fillId="4" borderId="0" xfId="1" applyNumberFormat="1" applyFont="1" applyFill="1" applyBorder="1" applyAlignment="1" applyProtection="1">
      <alignment horizontal="right"/>
    </xf>
    <xf numFmtId="0" fontId="108" fillId="4" borderId="0" xfId="0" applyFont="1" applyFill="1" applyProtection="1">
      <protection locked="0"/>
    </xf>
    <xf numFmtId="164" fontId="114" fillId="7" borderId="7" xfId="0" applyNumberFormat="1" applyFont="1" applyFill="1" applyBorder="1" applyAlignment="1" applyProtection="1">
      <alignment horizontal="center"/>
      <protection locked="0"/>
    </xf>
    <xf numFmtId="0" fontId="114" fillId="7" borderId="6" xfId="0" applyFont="1" applyFill="1" applyBorder="1" applyAlignment="1" applyProtection="1">
      <alignment horizontal="left"/>
      <protection locked="0"/>
    </xf>
    <xf numFmtId="0" fontId="114" fillId="7" borderId="6" xfId="0" applyFont="1" applyFill="1" applyBorder="1" applyProtection="1">
      <protection locked="0"/>
    </xf>
    <xf numFmtId="164" fontId="106" fillId="7" borderId="7" xfId="0" applyNumberFormat="1" applyFont="1" applyFill="1" applyBorder="1" applyAlignment="1" applyProtection="1">
      <alignment horizontal="center"/>
      <protection locked="0"/>
    </xf>
    <xf numFmtId="0" fontId="106" fillId="7" borderId="6" xfId="0" applyFont="1" applyFill="1" applyBorder="1" applyAlignment="1" applyProtection="1">
      <alignment horizontal="left"/>
      <protection locked="0"/>
    </xf>
    <xf numFmtId="0" fontId="106" fillId="7" borderId="6" xfId="0" applyFont="1" applyFill="1" applyBorder="1" applyProtection="1">
      <protection locked="0"/>
    </xf>
    <xf numFmtId="164" fontId="87" fillId="7" borderId="7" xfId="0" applyNumberFormat="1" applyFont="1" applyFill="1" applyBorder="1" applyAlignment="1" applyProtection="1">
      <alignment horizontal="center"/>
      <protection locked="0"/>
    </xf>
    <xf numFmtId="0" fontId="87" fillId="7" borderId="6" xfId="0" applyFont="1" applyFill="1" applyBorder="1" applyAlignment="1" applyProtection="1">
      <alignment horizontal="left"/>
      <protection locked="0"/>
    </xf>
    <xf numFmtId="0" fontId="87" fillId="7" borderId="6" xfId="0" applyFont="1" applyFill="1" applyBorder="1" applyProtection="1">
      <protection locked="0"/>
    </xf>
    <xf numFmtId="164" fontId="82" fillId="7" borderId="7" xfId="0" applyNumberFormat="1" applyFont="1" applyFill="1" applyBorder="1" applyAlignment="1" applyProtection="1">
      <alignment horizontal="center"/>
      <protection locked="0"/>
    </xf>
    <xf numFmtId="0" fontId="82" fillId="7" borderId="6" xfId="0" applyFont="1" applyFill="1" applyBorder="1" applyAlignment="1" applyProtection="1">
      <alignment horizontal="left"/>
      <protection locked="0"/>
    </xf>
    <xf numFmtId="0" fontId="82" fillId="7" borderId="6" xfId="0" applyFont="1" applyFill="1" applyBorder="1" applyProtection="1">
      <protection locked="0"/>
    </xf>
    <xf numFmtId="8" fontId="129" fillId="0" borderId="0" xfId="0" applyNumberFormat="1" applyFont="1" applyProtection="1">
      <protection locked="0"/>
    </xf>
    <xf numFmtId="0" fontId="81" fillId="0" borderId="6" xfId="0" applyFont="1" applyBorder="1"/>
    <xf numFmtId="0" fontId="129" fillId="0" borderId="6" xfId="0" applyFont="1" applyBorder="1"/>
    <xf numFmtId="44" fontId="81" fillId="7" borderId="0" xfId="1" applyNumberFormat="1" applyFont="1" applyFill="1" applyBorder="1" applyAlignment="1" applyProtection="1">
      <alignment horizontal="center"/>
      <protection locked="0"/>
    </xf>
    <xf numFmtId="44" fontId="129" fillId="4" borderId="0" xfId="0" applyNumberFormat="1" applyFont="1" applyFill="1" applyProtection="1">
      <protection locked="0"/>
    </xf>
    <xf numFmtId="44" fontId="0" fillId="0" borderId="0" xfId="0" applyNumberFormat="1"/>
    <xf numFmtId="164" fontId="85" fillId="7" borderId="7" xfId="0" applyNumberFormat="1" applyFont="1" applyFill="1" applyBorder="1" applyAlignment="1" applyProtection="1">
      <alignment horizontal="center"/>
      <protection locked="0"/>
    </xf>
    <xf numFmtId="0" fontId="85" fillId="7" borderId="6" xfId="0" applyFont="1" applyFill="1" applyBorder="1" applyAlignment="1" applyProtection="1">
      <alignment horizontal="left"/>
      <protection locked="0"/>
    </xf>
    <xf numFmtId="0" fontId="85" fillId="7" borderId="6" xfId="0" applyFont="1" applyFill="1" applyBorder="1" applyProtection="1">
      <protection locked="0"/>
    </xf>
    <xf numFmtId="44" fontId="85" fillId="7" borderId="12" xfId="1" applyNumberFormat="1" applyFont="1" applyFill="1" applyBorder="1" applyAlignment="1" applyProtection="1">
      <alignment horizontal="right"/>
    </xf>
    <xf numFmtId="164" fontId="129" fillId="4" borderId="6" xfId="0" applyNumberFormat="1" applyFont="1" applyFill="1" applyBorder="1" applyAlignment="1" applyProtection="1">
      <alignment horizontal="center"/>
      <protection locked="0"/>
    </xf>
    <xf numFmtId="44" fontId="129" fillId="8" borderId="6" xfId="1" applyNumberFormat="1" applyFont="1" applyFill="1" applyBorder="1" applyAlignment="1" applyProtection="1">
      <alignment horizontal="right"/>
    </xf>
    <xf numFmtId="164" fontId="129" fillId="4" borderId="6" xfId="0" applyNumberFormat="1" applyFont="1" applyFill="1" applyBorder="1" applyAlignment="1" applyProtection="1">
      <alignment horizontal="left"/>
      <protection locked="0"/>
    </xf>
    <xf numFmtId="164" fontId="80" fillId="7" borderId="7" xfId="0" applyNumberFormat="1" applyFont="1" applyFill="1" applyBorder="1" applyAlignment="1" applyProtection="1">
      <alignment horizontal="center"/>
      <protection locked="0"/>
    </xf>
    <xf numFmtId="0" fontId="80" fillId="7" borderId="6" xfId="0" applyFont="1" applyFill="1" applyBorder="1" applyAlignment="1" applyProtection="1">
      <alignment horizontal="left"/>
      <protection locked="0"/>
    </xf>
    <xf numFmtId="0" fontId="80" fillId="7" borderId="6" xfId="0" applyFont="1" applyFill="1" applyBorder="1" applyProtection="1">
      <protection locked="0"/>
    </xf>
    <xf numFmtId="164" fontId="0" fillId="7" borderId="4" xfId="0" applyNumberFormat="1" applyFill="1" applyBorder="1" applyAlignment="1" applyProtection="1">
      <alignment horizontal="left"/>
      <protection locked="0"/>
    </xf>
    <xf numFmtId="164" fontId="88" fillId="7" borderId="7" xfId="0" applyNumberFormat="1" applyFont="1" applyFill="1" applyBorder="1" applyAlignment="1" applyProtection="1">
      <alignment horizontal="center"/>
      <protection locked="0"/>
    </xf>
    <xf numFmtId="0" fontId="88" fillId="7" borderId="6" xfId="0" applyFont="1" applyFill="1" applyBorder="1" applyAlignment="1" applyProtection="1">
      <alignment horizontal="left"/>
      <protection locked="0"/>
    </xf>
    <xf numFmtId="0" fontId="88" fillId="7" borderId="6" xfId="0" applyFont="1" applyFill="1" applyBorder="1" applyProtection="1">
      <protection locked="0"/>
    </xf>
    <xf numFmtId="0" fontId="78" fillId="0" borderId="6" xfId="0" applyFont="1" applyBorder="1"/>
    <xf numFmtId="0" fontId="78" fillId="0" borderId="6" xfId="0" applyFont="1" applyBorder="1" applyAlignment="1">
      <alignment horizontal="left" vertical="center"/>
    </xf>
    <xf numFmtId="44" fontId="129" fillId="0" borderId="0" xfId="0" applyNumberFormat="1" applyFont="1" applyProtection="1">
      <protection locked="0"/>
    </xf>
    <xf numFmtId="164" fontId="78" fillId="7" borderId="7" xfId="0" applyNumberFormat="1" applyFont="1" applyFill="1" applyBorder="1" applyAlignment="1" applyProtection="1">
      <alignment horizontal="center"/>
      <protection locked="0"/>
    </xf>
    <xf numFmtId="0" fontId="78" fillId="7" borderId="6" xfId="0" applyFont="1" applyFill="1" applyBorder="1" applyAlignment="1" applyProtection="1">
      <alignment horizontal="left"/>
      <protection locked="0"/>
    </xf>
    <xf numFmtId="0" fontId="78" fillId="7" borderId="6" xfId="0" applyFont="1" applyFill="1" applyBorder="1" applyProtection="1">
      <protection locked="0"/>
    </xf>
    <xf numFmtId="44" fontId="78" fillId="7" borderId="6" xfId="1" applyNumberFormat="1" applyFont="1" applyFill="1" applyBorder="1" applyAlignment="1" applyProtection="1">
      <alignment horizontal="right"/>
      <protection locked="0"/>
    </xf>
    <xf numFmtId="44" fontId="78" fillId="7" borderId="12" xfId="1" applyNumberFormat="1" applyFont="1" applyFill="1" applyBorder="1" applyAlignment="1" applyProtection="1">
      <alignment horizontal="right"/>
    </xf>
    <xf numFmtId="44" fontId="78" fillId="7" borderId="0" xfId="1" applyNumberFormat="1" applyFont="1" applyFill="1" applyBorder="1" applyAlignment="1" applyProtection="1">
      <alignment horizontal="center"/>
      <protection locked="0"/>
    </xf>
    <xf numFmtId="164" fontId="77" fillId="7" borderId="7" xfId="0" applyNumberFormat="1" applyFont="1" applyFill="1" applyBorder="1" applyAlignment="1" applyProtection="1">
      <alignment horizontal="center"/>
      <protection locked="0"/>
    </xf>
    <xf numFmtId="0" fontId="77" fillId="7" borderId="6" xfId="0" applyFont="1" applyFill="1" applyBorder="1" applyAlignment="1" applyProtection="1">
      <alignment horizontal="left"/>
      <protection locked="0"/>
    </xf>
    <xf numFmtId="0" fontId="77" fillId="7" borderId="6" xfId="0" applyFont="1" applyFill="1" applyBorder="1" applyProtection="1">
      <protection locked="0"/>
    </xf>
    <xf numFmtId="166" fontId="129" fillId="0" borderId="0" xfId="0" applyNumberFormat="1" applyFont="1" applyProtection="1">
      <protection locked="0"/>
    </xf>
    <xf numFmtId="164" fontId="76" fillId="7" borderId="7" xfId="0" applyNumberFormat="1" applyFont="1" applyFill="1" applyBorder="1" applyAlignment="1" applyProtection="1">
      <alignment horizontal="center"/>
      <protection locked="0"/>
    </xf>
    <xf numFmtId="0" fontId="76" fillId="7" borderId="6" xfId="0" applyFont="1" applyFill="1" applyBorder="1" applyAlignment="1" applyProtection="1">
      <alignment horizontal="left"/>
      <protection locked="0"/>
    </xf>
    <xf numFmtId="0" fontId="76" fillId="7" borderId="6" xfId="0" applyFont="1" applyFill="1" applyBorder="1" applyProtection="1">
      <protection locked="0"/>
    </xf>
    <xf numFmtId="0" fontId="76" fillId="0" borderId="6" xfId="0" applyFont="1" applyBorder="1"/>
    <xf numFmtId="0" fontId="76" fillId="0" borderId="6" xfId="0" applyFont="1" applyBorder="1" applyAlignment="1">
      <alignment horizontal="left" vertical="center"/>
    </xf>
    <xf numFmtId="164" fontId="75" fillId="7" borderId="7" xfId="0" applyNumberFormat="1" applyFont="1" applyFill="1" applyBorder="1" applyAlignment="1" applyProtection="1">
      <alignment horizontal="center"/>
      <protection locked="0"/>
    </xf>
    <xf numFmtId="0" fontId="75" fillId="7" borderId="6" xfId="0" applyFont="1" applyFill="1" applyBorder="1" applyAlignment="1" applyProtection="1">
      <alignment horizontal="left"/>
      <protection locked="0"/>
    </xf>
    <xf numFmtId="0" fontId="75" fillId="7" borderId="6" xfId="0" applyFont="1" applyFill="1" applyBorder="1" applyProtection="1">
      <protection locked="0"/>
    </xf>
    <xf numFmtId="164" fontId="74" fillId="7" borderId="7" xfId="0" applyNumberFormat="1" applyFont="1" applyFill="1" applyBorder="1" applyAlignment="1" applyProtection="1">
      <alignment horizontal="center"/>
      <protection locked="0"/>
    </xf>
    <xf numFmtId="0" fontId="74" fillId="7" borderId="6" xfId="0" applyFont="1" applyFill="1" applyBorder="1" applyAlignment="1" applyProtection="1">
      <alignment horizontal="left"/>
      <protection locked="0"/>
    </xf>
    <xf numFmtId="0" fontId="74" fillId="7" borderId="6" xfId="0" applyFont="1" applyFill="1" applyBorder="1" applyProtection="1">
      <protection locked="0"/>
    </xf>
    <xf numFmtId="44" fontId="74" fillId="7" borderId="0" xfId="1" applyNumberFormat="1" applyFont="1" applyFill="1" applyBorder="1" applyAlignment="1" applyProtection="1">
      <alignment horizontal="center"/>
      <protection locked="0"/>
    </xf>
    <xf numFmtId="0" fontId="73" fillId="0" borderId="6" xfId="0" applyFont="1" applyBorder="1"/>
    <xf numFmtId="0" fontId="73" fillId="0" borderId="6" xfId="0" applyFont="1" applyBorder="1" applyAlignment="1">
      <alignment horizontal="right" vertical="center"/>
    </xf>
    <xf numFmtId="0" fontId="73" fillId="0" borderId="6" xfId="0" applyFont="1" applyBorder="1" applyAlignment="1">
      <alignment horizontal="left" vertical="center"/>
    </xf>
    <xf numFmtId="0" fontId="72" fillId="0" borderId="6" xfId="0" applyFont="1" applyBorder="1"/>
    <xf numFmtId="0" fontId="72" fillId="0" borderId="6" xfId="0" applyFont="1" applyBorder="1" applyAlignment="1">
      <alignment horizontal="left" vertical="center"/>
    </xf>
    <xf numFmtId="164" fontId="73" fillId="7" borderId="7" xfId="0" applyNumberFormat="1" applyFont="1" applyFill="1" applyBorder="1" applyAlignment="1" applyProtection="1">
      <alignment horizontal="center"/>
      <protection locked="0"/>
    </xf>
    <xf numFmtId="164" fontId="89" fillId="7" borderId="7" xfId="0" applyNumberFormat="1" applyFont="1" applyFill="1" applyBorder="1" applyAlignment="1" applyProtection="1">
      <alignment horizontal="center"/>
      <protection locked="0"/>
    </xf>
    <xf numFmtId="0" fontId="89" fillId="7" borderId="6" xfId="0" applyFont="1" applyFill="1" applyBorder="1" applyAlignment="1" applyProtection="1">
      <alignment horizontal="left"/>
      <protection locked="0"/>
    </xf>
    <xf numFmtId="0" fontId="89" fillId="7" borderId="6" xfId="0" applyFont="1" applyFill="1" applyBorder="1" applyProtection="1">
      <protection locked="0"/>
    </xf>
    <xf numFmtId="0" fontId="71" fillId="0" borderId="0" xfId="0" applyFont="1" applyProtection="1">
      <protection locked="0"/>
    </xf>
    <xf numFmtId="164" fontId="79" fillId="7" borderId="7" xfId="0" applyNumberFormat="1" applyFont="1" applyFill="1" applyBorder="1" applyAlignment="1" applyProtection="1">
      <alignment horizontal="center"/>
      <protection locked="0"/>
    </xf>
    <xf numFmtId="0" fontId="79" fillId="7" borderId="6" xfId="0" applyFont="1" applyFill="1" applyBorder="1" applyAlignment="1" applyProtection="1">
      <alignment horizontal="left"/>
      <protection locked="0"/>
    </xf>
    <xf numFmtId="0" fontId="79" fillId="7" borderId="6" xfId="0" applyFont="1" applyFill="1" applyBorder="1" applyProtection="1">
      <protection locked="0"/>
    </xf>
    <xf numFmtId="44" fontId="79" fillId="7" borderId="6" xfId="1" applyNumberFormat="1" applyFont="1" applyFill="1" applyBorder="1" applyAlignment="1" applyProtection="1">
      <alignment horizontal="right"/>
      <protection locked="0"/>
    </xf>
    <xf numFmtId="44" fontId="79" fillId="7" borderId="12" xfId="1" applyNumberFormat="1" applyFont="1" applyFill="1" applyBorder="1" applyAlignment="1" applyProtection="1">
      <alignment horizontal="right"/>
    </xf>
    <xf numFmtId="166" fontId="122" fillId="0" borderId="0" xfId="0" applyNumberFormat="1" applyFont="1" applyProtection="1">
      <protection locked="0"/>
    </xf>
    <xf numFmtId="0" fontId="70" fillId="7" borderId="6" xfId="0" applyFont="1" applyFill="1" applyBorder="1" applyAlignment="1" applyProtection="1">
      <alignment horizontal="left"/>
      <protection locked="0"/>
    </xf>
    <xf numFmtId="0" fontId="69" fillId="0" borderId="6" xfId="0" applyFont="1" applyBorder="1"/>
    <xf numFmtId="0" fontId="69" fillId="0" borderId="6" xfId="0" applyFont="1" applyBorder="1" applyAlignment="1">
      <alignment horizontal="left" vertical="center"/>
    </xf>
    <xf numFmtId="0" fontId="68" fillId="0" borderId="6" xfId="0" applyFont="1" applyBorder="1"/>
    <xf numFmtId="6" fontId="122" fillId="0" borderId="0" xfId="0" applyNumberFormat="1" applyFont="1" applyProtection="1">
      <protection locked="0"/>
    </xf>
    <xf numFmtId="0" fontId="67" fillId="0" borderId="6" xfId="0" applyFont="1" applyBorder="1"/>
    <xf numFmtId="0" fontId="67" fillId="0" borderId="6" xfId="0" applyFont="1" applyBorder="1" applyAlignment="1">
      <alignment horizontal="right"/>
    </xf>
    <xf numFmtId="0" fontId="67" fillId="0" borderId="6" xfId="0" applyFont="1" applyBorder="1" applyAlignment="1">
      <alignment horizontal="left" vertical="center"/>
    </xf>
    <xf numFmtId="169" fontId="67" fillId="0" borderId="6" xfId="0" applyNumberFormat="1" applyFont="1" applyBorder="1" applyAlignment="1">
      <alignment horizontal="right"/>
    </xf>
    <xf numFmtId="0" fontId="67" fillId="7" borderId="6" xfId="0" applyFont="1" applyFill="1" applyBorder="1" applyAlignment="1" applyProtection="1">
      <alignment horizontal="left"/>
      <protection locked="0"/>
    </xf>
    <xf numFmtId="0" fontId="67" fillId="7" borderId="6" xfId="0" applyFont="1" applyFill="1" applyBorder="1" applyProtection="1">
      <protection locked="0"/>
    </xf>
    <xf numFmtId="8" fontId="122" fillId="0" borderId="0" xfId="0" applyNumberFormat="1" applyFont="1" applyProtection="1">
      <protection locked="0"/>
    </xf>
    <xf numFmtId="164" fontId="66" fillId="7" borderId="7" xfId="0" applyNumberFormat="1" applyFont="1" applyFill="1" applyBorder="1" applyAlignment="1" applyProtection="1">
      <alignment horizontal="center"/>
      <protection locked="0"/>
    </xf>
    <xf numFmtId="0" fontId="66" fillId="7" borderId="6" xfId="0" applyFont="1" applyFill="1" applyBorder="1" applyAlignment="1" applyProtection="1">
      <alignment horizontal="left"/>
      <protection locked="0"/>
    </xf>
    <xf numFmtId="0" fontId="66" fillId="7" borderId="6" xfId="0" applyFont="1" applyFill="1" applyBorder="1" applyProtection="1">
      <protection locked="0"/>
    </xf>
    <xf numFmtId="44" fontId="134" fillId="4" borderId="0" xfId="1" applyNumberFormat="1" applyFont="1" applyFill="1" applyBorder="1" applyAlignment="1" applyProtection="1">
      <alignment horizontal="center"/>
      <protection locked="0"/>
    </xf>
    <xf numFmtId="164" fontId="0" fillId="4" borderId="7" xfId="0" applyNumberFormat="1" applyFill="1" applyBorder="1" applyAlignment="1" applyProtection="1">
      <alignment horizontal="center"/>
      <protection locked="0"/>
    </xf>
    <xf numFmtId="0" fontId="0" fillId="4" borderId="6" xfId="0" applyFill="1" applyBorder="1" applyProtection="1">
      <protection locked="0"/>
    </xf>
    <xf numFmtId="164" fontId="67" fillId="4" borderId="7" xfId="0" applyNumberFormat="1" applyFont="1" applyFill="1" applyBorder="1" applyAlignment="1" applyProtection="1">
      <alignment horizontal="center"/>
      <protection locked="0"/>
    </xf>
    <xf numFmtId="0" fontId="67" fillId="4" borderId="6" xfId="0" applyFont="1" applyFill="1" applyBorder="1" applyAlignment="1" applyProtection="1">
      <alignment horizontal="left"/>
      <protection locked="0"/>
    </xf>
    <xf numFmtId="0" fontId="67" fillId="4" borderId="6" xfId="0" applyFont="1" applyFill="1" applyBorder="1" applyProtection="1">
      <protection locked="0"/>
    </xf>
    <xf numFmtId="164" fontId="66" fillId="4" borderId="7" xfId="0" applyNumberFormat="1" applyFont="1" applyFill="1" applyBorder="1" applyAlignment="1" applyProtection="1">
      <alignment horizontal="center"/>
      <protection locked="0"/>
    </xf>
    <xf numFmtId="0" fontId="66" fillId="4" borderId="6" xfId="0" applyFont="1" applyFill="1" applyBorder="1" applyAlignment="1" applyProtection="1">
      <alignment horizontal="left"/>
      <protection locked="0"/>
    </xf>
    <xf numFmtId="0" fontId="122" fillId="7" borderId="6" xfId="0" applyFont="1" applyFill="1" applyBorder="1" applyAlignment="1" applyProtection="1">
      <alignment horizontal="center" vertical="center" wrapText="1"/>
      <protection locked="0"/>
    </xf>
    <xf numFmtId="44" fontId="122" fillId="7" borderId="12" xfId="1" applyNumberFormat="1" applyFont="1" applyFill="1" applyBorder="1" applyAlignment="1" applyProtection="1">
      <alignment horizontal="center" wrapText="1"/>
      <protection locked="0"/>
    </xf>
    <xf numFmtId="44" fontId="132" fillId="7" borderId="0" xfId="1" applyNumberFormat="1" applyFont="1" applyFill="1" applyBorder="1" applyAlignment="1" applyProtection="1">
      <alignment horizontal="center" vertical="center" wrapText="1"/>
      <protection locked="0"/>
    </xf>
    <xf numFmtId="164" fontId="67" fillId="7" borderId="5" xfId="0" applyNumberFormat="1" applyFont="1" applyFill="1" applyBorder="1" applyAlignment="1" applyProtection="1">
      <alignment horizontal="center"/>
      <protection locked="0"/>
    </xf>
    <xf numFmtId="44" fontId="0" fillId="7" borderId="10" xfId="1" applyNumberFormat="1" applyFont="1" applyFill="1" applyBorder="1" applyAlignment="1" applyProtection="1">
      <alignment horizontal="right"/>
    </xf>
    <xf numFmtId="0" fontId="122" fillId="7" borderId="6" xfId="1" applyNumberFormat="1" applyFont="1" applyFill="1" applyBorder="1" applyAlignment="1" applyProtection="1">
      <alignment horizontal="right" vertical="center"/>
      <protection locked="0"/>
    </xf>
    <xf numFmtId="44" fontId="122" fillId="4" borderId="0" xfId="0" applyNumberFormat="1" applyFont="1" applyFill="1" applyProtection="1">
      <protection locked="0"/>
    </xf>
    <xf numFmtId="44" fontId="0" fillId="7" borderId="0" xfId="1" applyNumberFormat="1" applyFont="1" applyFill="1" applyBorder="1" applyAlignment="1" applyProtection="1">
      <protection locked="0"/>
    </xf>
    <xf numFmtId="44" fontId="122" fillId="7" borderId="0" xfId="1" applyNumberFormat="1" applyFont="1" applyFill="1" applyBorder="1" applyAlignment="1" applyProtection="1">
      <alignment horizontal="left" vertical="center" wrapText="1"/>
      <protection locked="0"/>
    </xf>
    <xf numFmtId="0" fontId="64" fillId="7" borderId="6" xfId="0" applyFont="1" applyFill="1" applyBorder="1" applyAlignment="1" applyProtection="1">
      <alignment horizontal="center"/>
      <protection locked="0"/>
    </xf>
    <xf numFmtId="164" fontId="64" fillId="7" borderId="7" xfId="0" applyNumberFormat="1" applyFont="1" applyFill="1" applyBorder="1" applyAlignment="1" applyProtection="1">
      <alignment horizontal="center"/>
      <protection locked="0"/>
    </xf>
    <xf numFmtId="0" fontId="64" fillId="7" borderId="6" xfId="0" applyFont="1" applyFill="1" applyBorder="1" applyAlignment="1" applyProtection="1">
      <alignment horizontal="left"/>
      <protection locked="0"/>
    </xf>
    <xf numFmtId="165" fontId="64" fillId="7" borderId="7" xfId="0" applyNumberFormat="1" applyFont="1" applyFill="1" applyBorder="1" applyAlignment="1" applyProtection="1">
      <alignment horizontal="center"/>
      <protection locked="0"/>
    </xf>
    <xf numFmtId="44" fontId="122" fillId="7" borderId="0" xfId="0" applyNumberFormat="1" applyFont="1" applyFill="1" applyProtection="1">
      <protection locked="0"/>
    </xf>
    <xf numFmtId="0" fontId="0" fillId="7" borderId="6" xfId="0" applyFill="1" applyBorder="1" applyAlignment="1" applyProtection="1">
      <alignment horizontal="right"/>
      <protection locked="0"/>
    </xf>
    <xf numFmtId="0" fontId="122" fillId="7" borderId="6" xfId="0" applyFont="1" applyFill="1" applyBorder="1" applyAlignment="1" applyProtection="1">
      <alignment horizontal="right"/>
      <protection locked="0"/>
    </xf>
    <xf numFmtId="44" fontId="122" fillId="7" borderId="12" xfId="1" applyNumberFormat="1" applyFont="1" applyFill="1" applyBorder="1" applyAlignment="1" applyProtection="1">
      <alignment horizontal="right" wrapText="1"/>
    </xf>
    <xf numFmtId="164" fontId="62" fillId="7" borderId="7" xfId="0" applyNumberFormat="1" applyFont="1" applyFill="1" applyBorder="1" applyAlignment="1" applyProtection="1">
      <alignment horizontal="center"/>
      <protection locked="0"/>
    </xf>
    <xf numFmtId="0" fontId="62" fillId="7" borderId="6" xfId="0" applyFont="1" applyFill="1" applyBorder="1" applyAlignment="1" applyProtection="1">
      <alignment horizontal="left"/>
      <protection locked="0"/>
    </xf>
    <xf numFmtId="0" fontId="62" fillId="7" borderId="6" xfId="0" applyFont="1" applyFill="1" applyBorder="1" applyProtection="1">
      <protection locked="0"/>
    </xf>
    <xf numFmtId="0" fontId="122" fillId="7" borderId="6" xfId="0" applyFont="1" applyFill="1" applyBorder="1" applyAlignment="1" applyProtection="1">
      <alignment horizontal="center"/>
      <protection locked="0"/>
    </xf>
    <xf numFmtId="0" fontId="62" fillId="7" borderId="6" xfId="0" applyFont="1" applyFill="1" applyBorder="1" applyAlignment="1" applyProtection="1">
      <alignment horizontal="center"/>
      <protection locked="0"/>
    </xf>
    <xf numFmtId="164" fontId="61" fillId="7" borderId="7" xfId="0" applyNumberFormat="1" applyFont="1" applyFill="1" applyBorder="1" applyAlignment="1" applyProtection="1">
      <alignment horizontal="center"/>
      <protection locked="0"/>
    </xf>
    <xf numFmtId="0" fontId="61" fillId="7" borderId="6" xfId="0" applyFont="1" applyFill="1" applyBorder="1" applyAlignment="1" applyProtection="1">
      <alignment horizontal="left"/>
      <protection locked="0"/>
    </xf>
    <xf numFmtId="0" fontId="61" fillId="7" borderId="6" xfId="0" applyFont="1" applyFill="1" applyBorder="1" applyProtection="1">
      <protection locked="0"/>
    </xf>
    <xf numFmtId="164" fontId="60" fillId="7" borderId="7" xfId="0" applyNumberFormat="1" applyFont="1" applyFill="1" applyBorder="1" applyAlignment="1" applyProtection="1">
      <alignment horizontal="center"/>
      <protection locked="0"/>
    </xf>
    <xf numFmtId="0" fontId="60" fillId="7" borderId="6" xfId="0" applyFont="1" applyFill="1" applyBorder="1" applyAlignment="1" applyProtection="1">
      <alignment horizontal="left"/>
      <protection locked="0"/>
    </xf>
    <xf numFmtId="0" fontId="60" fillId="7" borderId="6" xfId="0" applyFont="1" applyFill="1" applyBorder="1" applyAlignment="1" applyProtection="1">
      <alignment horizontal="center"/>
      <protection locked="0"/>
    </xf>
    <xf numFmtId="44" fontId="60" fillId="7" borderId="0" xfId="1" applyNumberFormat="1" applyFont="1" applyFill="1" applyBorder="1" applyAlignment="1" applyProtection="1">
      <protection locked="0"/>
    </xf>
    <xf numFmtId="0" fontId="129" fillId="7" borderId="0" xfId="0" applyFont="1" applyFill="1" applyProtection="1">
      <protection locked="0"/>
    </xf>
    <xf numFmtId="164" fontId="59" fillId="7" borderId="7" xfId="0" applyNumberFormat="1" applyFont="1" applyFill="1" applyBorder="1" applyAlignment="1" applyProtection="1">
      <alignment horizontal="center"/>
      <protection locked="0"/>
    </xf>
    <xf numFmtId="0" fontId="59" fillId="7" borderId="6" xfId="0" applyFont="1" applyFill="1" applyBorder="1" applyAlignment="1" applyProtection="1">
      <alignment horizontal="left"/>
      <protection locked="0"/>
    </xf>
    <xf numFmtId="0" fontId="59" fillId="7" borderId="6" xfId="0" applyFont="1" applyFill="1" applyBorder="1" applyAlignment="1" applyProtection="1">
      <alignment horizontal="center"/>
      <protection locked="0"/>
    </xf>
    <xf numFmtId="44" fontId="59" fillId="7" borderId="0" xfId="1" applyNumberFormat="1" applyFont="1" applyFill="1" applyBorder="1" applyAlignment="1" applyProtection="1">
      <alignment horizontal="center"/>
      <protection locked="0"/>
    </xf>
    <xf numFmtId="44" fontId="0" fillId="4" borderId="0" xfId="1" applyNumberFormat="1" applyFont="1" applyFill="1" applyBorder="1" applyAlignment="1" applyProtection="1">
      <protection locked="0"/>
    </xf>
    <xf numFmtId="165" fontId="122" fillId="7" borderId="7" xfId="0" applyNumberFormat="1" applyFont="1" applyFill="1" applyBorder="1" applyAlignment="1" applyProtection="1">
      <alignment horizontal="center"/>
      <protection locked="0"/>
    </xf>
    <xf numFmtId="44" fontId="134" fillId="4" borderId="0" xfId="1" applyNumberFormat="1" applyFont="1" applyFill="1" applyBorder="1" applyAlignment="1" applyProtection="1">
      <protection locked="0"/>
    </xf>
    <xf numFmtId="44" fontId="134" fillId="4" borderId="0" xfId="1" applyNumberFormat="1" applyFont="1" applyFill="1" applyBorder="1" applyAlignment="1" applyProtection="1">
      <alignment horizontal="left"/>
      <protection locked="0"/>
    </xf>
    <xf numFmtId="44" fontId="134" fillId="7" borderId="0" xfId="1" applyNumberFormat="1" applyFont="1" applyFill="1" applyBorder="1" applyAlignment="1" applyProtection="1">
      <protection locked="0"/>
    </xf>
    <xf numFmtId="164" fontId="67" fillId="7" borderId="7" xfId="0" applyNumberFormat="1" applyFont="1" applyFill="1" applyBorder="1" applyAlignment="1" applyProtection="1">
      <alignment horizontal="center"/>
      <protection locked="0"/>
    </xf>
    <xf numFmtId="164" fontId="65" fillId="7" borderId="7" xfId="0" applyNumberFormat="1" applyFont="1" applyFill="1" applyBorder="1" applyAlignment="1" applyProtection="1">
      <alignment horizontal="center"/>
      <protection locked="0"/>
    </xf>
    <xf numFmtId="0" fontId="65" fillId="7" borderId="6" xfId="0" applyFont="1" applyFill="1" applyBorder="1" applyAlignment="1" applyProtection="1">
      <alignment horizontal="left"/>
      <protection locked="0"/>
    </xf>
    <xf numFmtId="0" fontId="65" fillId="7" borderId="6" xfId="0" applyFont="1" applyFill="1" applyBorder="1" applyProtection="1">
      <protection locked="0"/>
    </xf>
    <xf numFmtId="164" fontId="58" fillId="7" borderId="7" xfId="0" applyNumberFormat="1" applyFont="1" applyFill="1" applyBorder="1" applyAlignment="1" applyProtection="1">
      <alignment horizontal="center"/>
      <protection locked="0"/>
    </xf>
    <xf numFmtId="0" fontId="58" fillId="7" borderId="6" xfId="0" applyFont="1" applyFill="1" applyBorder="1" applyAlignment="1" applyProtection="1">
      <alignment horizontal="left"/>
      <protection locked="0"/>
    </xf>
    <xf numFmtId="0" fontId="58" fillId="7" borderId="6" xfId="0" applyFont="1" applyFill="1" applyBorder="1" applyProtection="1">
      <protection locked="0"/>
    </xf>
    <xf numFmtId="164" fontId="63" fillId="7" borderId="7" xfId="0" applyNumberFormat="1" applyFont="1" applyFill="1" applyBorder="1" applyAlignment="1" applyProtection="1">
      <alignment horizontal="center"/>
      <protection locked="0"/>
    </xf>
    <xf numFmtId="0" fontId="63" fillId="7" borderId="6" xfId="0" applyFont="1" applyFill="1" applyBorder="1" applyAlignment="1" applyProtection="1">
      <alignment horizontal="left"/>
      <protection locked="0"/>
    </xf>
    <xf numFmtId="0" fontId="63" fillId="7" borderId="6" xfId="0" applyFont="1" applyFill="1" applyBorder="1" applyProtection="1">
      <protection locked="0"/>
    </xf>
    <xf numFmtId="164" fontId="57" fillId="7" borderId="7" xfId="0" applyNumberFormat="1" applyFont="1" applyFill="1" applyBorder="1" applyAlignment="1" applyProtection="1">
      <alignment horizontal="center"/>
      <protection locked="0"/>
    </xf>
    <xf numFmtId="0" fontId="57" fillId="7" borderId="6" xfId="0" applyFont="1" applyFill="1" applyBorder="1" applyAlignment="1" applyProtection="1">
      <alignment horizontal="left"/>
      <protection locked="0"/>
    </xf>
    <xf numFmtId="0" fontId="57" fillId="7" borderId="6" xfId="0" applyFont="1" applyFill="1" applyBorder="1" applyProtection="1">
      <protection locked="0"/>
    </xf>
    <xf numFmtId="44" fontId="134" fillId="7" borderId="0" xfId="1" applyNumberFormat="1" applyFont="1" applyFill="1" applyBorder="1" applyAlignment="1" applyProtection="1">
      <alignment horizontal="left"/>
      <protection locked="0"/>
    </xf>
    <xf numFmtId="0" fontId="56" fillId="7" borderId="6" xfId="0" applyFont="1" applyFill="1" applyBorder="1" applyAlignment="1" applyProtection="1">
      <alignment horizontal="center"/>
      <protection locked="0"/>
    </xf>
    <xf numFmtId="0" fontId="55" fillId="7" borderId="6" xfId="0" applyFont="1" applyFill="1" applyBorder="1" applyAlignment="1" applyProtection="1">
      <alignment horizontal="center"/>
      <protection locked="0"/>
    </xf>
    <xf numFmtId="164" fontId="53" fillId="7" borderId="7" xfId="0" applyNumberFormat="1" applyFont="1" applyFill="1" applyBorder="1" applyAlignment="1" applyProtection="1">
      <alignment horizontal="center"/>
      <protection locked="0"/>
    </xf>
    <xf numFmtId="0" fontId="53" fillId="7" borderId="6" xfId="0" applyFont="1" applyFill="1" applyBorder="1" applyAlignment="1" applyProtection="1">
      <alignment horizontal="left"/>
      <protection locked="0"/>
    </xf>
    <xf numFmtId="0" fontId="53" fillId="7" borderId="6" xfId="0" applyFont="1" applyFill="1" applyBorder="1" applyAlignment="1" applyProtection="1">
      <alignment horizontal="center"/>
      <protection locked="0"/>
    </xf>
    <xf numFmtId="44" fontId="53" fillId="7" borderId="0" xfId="1" applyNumberFormat="1" applyFont="1" applyFill="1" applyBorder="1" applyAlignment="1" applyProtection="1">
      <alignment horizontal="center"/>
      <protection locked="0"/>
    </xf>
    <xf numFmtId="164" fontId="56" fillId="7" borderId="7" xfId="0" applyNumberFormat="1" applyFont="1" applyFill="1" applyBorder="1" applyAlignment="1" applyProtection="1">
      <alignment horizontal="center"/>
      <protection locked="0"/>
    </xf>
    <xf numFmtId="0" fontId="56" fillId="7" borderId="6" xfId="0" applyFont="1" applyFill="1" applyBorder="1" applyAlignment="1" applyProtection="1">
      <alignment horizontal="left"/>
      <protection locked="0"/>
    </xf>
    <xf numFmtId="44" fontId="52" fillId="7" borderId="0" xfId="1" applyNumberFormat="1" applyFont="1" applyFill="1" applyBorder="1" applyAlignment="1" applyProtection="1">
      <alignment horizontal="center"/>
      <protection locked="0"/>
    </xf>
    <xf numFmtId="0" fontId="51" fillId="0" borderId="6" xfId="0" applyFont="1" applyBorder="1"/>
    <xf numFmtId="0" fontId="51" fillId="0" borderId="6" xfId="0" applyFont="1" applyBorder="1" applyAlignment="1">
      <alignment horizontal="right"/>
    </xf>
    <xf numFmtId="169" fontId="51" fillId="0" borderId="6" xfId="0" applyNumberFormat="1" applyFont="1" applyBorder="1" applyAlignment="1">
      <alignment horizontal="right"/>
    </xf>
    <xf numFmtId="0" fontId="50" fillId="7" borderId="6" xfId="0" applyFont="1" applyFill="1" applyBorder="1" applyAlignment="1" applyProtection="1">
      <alignment horizontal="center"/>
      <protection locked="0"/>
    </xf>
    <xf numFmtId="0" fontId="49" fillId="7" borderId="6" xfId="0" applyFont="1" applyFill="1" applyBorder="1" applyAlignment="1" applyProtection="1">
      <alignment horizontal="center"/>
      <protection locked="0"/>
    </xf>
    <xf numFmtId="164" fontId="49" fillId="7" borderId="7" xfId="0" applyNumberFormat="1" applyFont="1" applyFill="1" applyBorder="1" applyAlignment="1" applyProtection="1">
      <alignment horizontal="center"/>
      <protection locked="0"/>
    </xf>
    <xf numFmtId="0" fontId="49" fillId="7" borderId="6" xfId="0" applyFont="1" applyFill="1" applyBorder="1" applyAlignment="1" applyProtection="1">
      <alignment horizontal="left"/>
      <protection locked="0"/>
    </xf>
    <xf numFmtId="0" fontId="49" fillId="7" borderId="6" xfId="0" applyFont="1" applyFill="1" applyBorder="1" applyProtection="1">
      <protection locked="0"/>
    </xf>
    <xf numFmtId="44" fontId="0" fillId="7" borderId="0" xfId="1" applyNumberFormat="1" applyFont="1" applyFill="1" applyBorder="1" applyAlignment="1" applyProtection="1">
      <alignment horizontal="left"/>
      <protection locked="0"/>
    </xf>
    <xf numFmtId="44" fontId="130" fillId="6" borderId="24" xfId="1" applyNumberFormat="1" applyFont="1" applyFill="1" applyBorder="1" applyAlignment="1" applyProtection="1">
      <alignment horizontal="right"/>
      <protection locked="0"/>
    </xf>
    <xf numFmtId="0" fontId="0" fillId="0" borderId="25" xfId="0" applyBorder="1" applyAlignment="1" applyProtection="1">
      <alignment horizontal="left"/>
      <protection locked="0"/>
    </xf>
    <xf numFmtId="0" fontId="122" fillId="0" borderId="25" xfId="0" applyFont="1" applyBorder="1" applyAlignment="1" applyProtection="1">
      <alignment horizontal="left"/>
      <protection locked="0"/>
    </xf>
    <xf numFmtId="0" fontId="0" fillId="0" borderId="25" xfId="0" applyBorder="1" applyProtection="1">
      <protection locked="0"/>
    </xf>
    <xf numFmtId="44" fontId="0" fillId="0" borderId="25" xfId="1" applyNumberFormat="1" applyFont="1" applyFill="1" applyBorder="1" applyAlignment="1" applyProtection="1">
      <alignment horizontal="right"/>
      <protection locked="0"/>
    </xf>
    <xf numFmtId="44" fontId="0" fillId="8" borderId="26" xfId="1" applyNumberFormat="1" applyFont="1" applyFill="1" applyBorder="1" applyAlignment="1" applyProtection="1">
      <alignment horizontal="right"/>
    </xf>
    <xf numFmtId="164" fontId="0" fillId="7" borderId="5" xfId="0" applyNumberFormat="1" applyFill="1" applyBorder="1" applyAlignment="1" applyProtection="1">
      <alignment horizontal="center"/>
      <protection locked="0"/>
    </xf>
    <xf numFmtId="166" fontId="129" fillId="7" borderId="0" xfId="0" applyNumberFormat="1" applyFont="1" applyFill="1" applyProtection="1">
      <protection locked="0"/>
    </xf>
    <xf numFmtId="0" fontId="49" fillId="0" borderId="6" xfId="0" applyFont="1" applyBorder="1"/>
    <xf numFmtId="0" fontId="49" fillId="0" borderId="6" xfId="0" applyFont="1" applyBorder="1" applyAlignment="1">
      <alignment horizontal="left" vertical="center"/>
    </xf>
    <xf numFmtId="164" fontId="51" fillId="7" borderId="7" xfId="0" applyNumberFormat="1" applyFont="1" applyFill="1" applyBorder="1" applyAlignment="1" applyProtection="1">
      <alignment horizontal="center"/>
      <protection locked="0"/>
    </xf>
    <xf numFmtId="0" fontId="51" fillId="7" borderId="6" xfId="0" applyFont="1" applyFill="1" applyBorder="1" applyAlignment="1" applyProtection="1">
      <alignment horizontal="left"/>
      <protection locked="0"/>
    </xf>
    <xf numFmtId="0" fontId="51" fillId="7" borderId="6" xfId="0" applyFont="1" applyFill="1" applyBorder="1" applyProtection="1">
      <protection locked="0"/>
    </xf>
    <xf numFmtId="164" fontId="50" fillId="7" borderId="7" xfId="0" applyNumberFormat="1" applyFont="1" applyFill="1" applyBorder="1" applyAlignment="1" applyProtection="1">
      <alignment horizontal="center"/>
      <protection locked="0"/>
    </xf>
    <xf numFmtId="0" fontId="50" fillId="7" borderId="6" xfId="0" applyFont="1" applyFill="1" applyBorder="1" applyAlignment="1" applyProtection="1">
      <alignment horizontal="left"/>
      <protection locked="0"/>
    </xf>
    <xf numFmtId="0" fontId="50" fillId="7" borderId="6" xfId="0" applyFont="1" applyFill="1" applyBorder="1" applyProtection="1">
      <protection locked="0"/>
    </xf>
    <xf numFmtId="0" fontId="53" fillId="7" borderId="6" xfId="0" applyFont="1" applyFill="1" applyBorder="1" applyProtection="1">
      <protection locked="0"/>
    </xf>
    <xf numFmtId="44" fontId="122" fillId="7" borderId="0" xfId="1" applyNumberFormat="1" applyFont="1" applyFill="1" applyBorder="1" applyAlignment="1" applyProtection="1">
      <alignment horizontal="left"/>
      <protection locked="0"/>
    </xf>
    <xf numFmtId="0" fontId="51" fillId="7" borderId="6" xfId="0" applyFont="1" applyFill="1" applyBorder="1" applyAlignment="1" applyProtection="1">
      <alignment horizontal="center"/>
      <protection locked="0"/>
    </xf>
    <xf numFmtId="0" fontId="56" fillId="7" borderId="6" xfId="0" applyFont="1" applyFill="1" applyBorder="1" applyProtection="1">
      <protection locked="0"/>
    </xf>
    <xf numFmtId="164" fontId="48" fillId="7" borderId="7" xfId="0" applyNumberFormat="1" applyFont="1" applyFill="1" applyBorder="1" applyAlignment="1" applyProtection="1">
      <alignment horizontal="center"/>
      <protection locked="0"/>
    </xf>
    <xf numFmtId="0" fontId="48" fillId="7" borderId="6" xfId="0" applyFont="1" applyFill="1" applyBorder="1" applyAlignment="1" applyProtection="1">
      <alignment horizontal="left"/>
      <protection locked="0"/>
    </xf>
    <xf numFmtId="0" fontId="48" fillId="7" borderId="6" xfId="0" applyFont="1" applyFill="1" applyBorder="1" applyProtection="1">
      <protection locked="0"/>
    </xf>
    <xf numFmtId="164" fontId="54" fillId="7" borderId="7" xfId="0" applyNumberFormat="1" applyFont="1" applyFill="1" applyBorder="1" applyAlignment="1" applyProtection="1">
      <alignment horizontal="center"/>
      <protection locked="0"/>
    </xf>
    <xf numFmtId="0" fontId="54" fillId="7" borderId="6" xfId="0" applyFont="1" applyFill="1" applyBorder="1" applyAlignment="1" applyProtection="1">
      <alignment horizontal="left"/>
      <protection locked="0"/>
    </xf>
    <xf numFmtId="0" fontId="54" fillId="7" borderId="6" xfId="0" applyFont="1" applyFill="1" applyBorder="1" applyProtection="1">
      <protection locked="0"/>
    </xf>
    <xf numFmtId="0" fontId="48" fillId="0" borderId="6" xfId="0" applyFont="1" applyBorder="1"/>
    <xf numFmtId="0" fontId="48" fillId="0" borderId="6" xfId="0" applyFont="1" applyBorder="1" applyAlignment="1">
      <alignment horizontal="right"/>
    </xf>
    <xf numFmtId="164" fontId="46" fillId="7" borderId="7" xfId="0" applyNumberFormat="1" applyFont="1" applyFill="1" applyBorder="1" applyAlignment="1" applyProtection="1">
      <alignment horizontal="center"/>
      <protection locked="0"/>
    </xf>
    <xf numFmtId="0" fontId="46" fillId="7" borderId="6" xfId="0" applyFont="1" applyFill="1" applyBorder="1" applyAlignment="1" applyProtection="1">
      <alignment horizontal="left"/>
      <protection locked="0"/>
    </xf>
    <xf numFmtId="0" fontId="46" fillId="7" borderId="6" xfId="0" applyFont="1" applyFill="1" applyBorder="1" applyProtection="1">
      <protection locked="0"/>
    </xf>
    <xf numFmtId="164" fontId="45" fillId="7" borderId="7" xfId="0" applyNumberFormat="1" applyFont="1" applyFill="1" applyBorder="1" applyAlignment="1" applyProtection="1">
      <alignment horizontal="center"/>
      <protection locked="0"/>
    </xf>
    <xf numFmtId="0" fontId="45" fillId="7" borderId="6" xfId="0" applyFont="1" applyFill="1" applyBorder="1" applyAlignment="1" applyProtection="1">
      <alignment horizontal="left"/>
      <protection locked="0"/>
    </xf>
    <xf numFmtId="0" fontId="45" fillId="7" borderId="6" xfId="0" applyFont="1" applyFill="1" applyBorder="1" applyProtection="1">
      <protection locked="0"/>
    </xf>
    <xf numFmtId="164" fontId="44" fillId="7" borderId="7" xfId="0" applyNumberFormat="1" applyFont="1" applyFill="1" applyBorder="1" applyAlignment="1" applyProtection="1">
      <alignment horizontal="center"/>
      <protection locked="0"/>
    </xf>
    <xf numFmtId="0" fontId="44" fillId="7" borderId="6" xfId="0" applyFont="1" applyFill="1" applyBorder="1" applyAlignment="1" applyProtection="1">
      <alignment horizontal="left"/>
      <protection locked="0"/>
    </xf>
    <xf numFmtId="0" fontId="44" fillId="7" borderId="6" xfId="0" applyFont="1" applyFill="1" applyBorder="1" applyProtection="1">
      <protection locked="0"/>
    </xf>
    <xf numFmtId="166" fontId="135" fillId="7" borderId="0" xfId="0" applyNumberFormat="1" applyFont="1" applyFill="1" applyProtection="1">
      <protection locked="0"/>
    </xf>
    <xf numFmtId="0" fontId="138" fillId="0" borderId="0" xfId="0" applyFont="1"/>
    <xf numFmtId="0" fontId="139" fillId="0" borderId="0" xfId="0" applyFont="1"/>
    <xf numFmtId="164" fontId="42" fillId="7" borderId="7" xfId="0" applyNumberFormat="1" applyFont="1" applyFill="1" applyBorder="1" applyAlignment="1" applyProtection="1">
      <alignment horizontal="center"/>
      <protection locked="0"/>
    </xf>
    <xf numFmtId="0" fontId="42" fillId="7" borderId="6" xfId="0" applyFont="1" applyFill="1" applyBorder="1" applyAlignment="1" applyProtection="1">
      <alignment horizontal="left"/>
      <protection locked="0"/>
    </xf>
    <xf numFmtId="0" fontId="42" fillId="7" borderId="6" xfId="0" applyFont="1" applyFill="1" applyBorder="1" applyProtection="1">
      <protection locked="0"/>
    </xf>
    <xf numFmtId="164" fontId="41" fillId="7" borderId="7" xfId="0" applyNumberFormat="1" applyFont="1" applyFill="1" applyBorder="1" applyAlignment="1" applyProtection="1">
      <alignment horizontal="center"/>
      <protection locked="0"/>
    </xf>
    <xf numFmtId="0" fontId="41" fillId="7" borderId="6" xfId="0" applyFont="1" applyFill="1" applyBorder="1" applyAlignment="1" applyProtection="1">
      <alignment horizontal="left"/>
      <protection locked="0"/>
    </xf>
    <xf numFmtId="0" fontId="41" fillId="7" borderId="6" xfId="0" applyFont="1" applyFill="1" applyBorder="1" applyProtection="1">
      <protection locked="0"/>
    </xf>
    <xf numFmtId="44" fontId="0" fillId="4" borderId="0" xfId="1" applyNumberFormat="1" applyFont="1" applyFill="1" applyBorder="1" applyAlignment="1" applyProtection="1">
      <alignment horizontal="left"/>
      <protection locked="0"/>
    </xf>
    <xf numFmtId="44" fontId="132" fillId="4" borderId="0" xfId="1" applyNumberFormat="1" applyFont="1" applyFill="1" applyBorder="1" applyAlignment="1" applyProtection="1">
      <alignment horizontal="center" vertical="center" wrapText="1"/>
      <protection locked="0"/>
    </xf>
    <xf numFmtId="44" fontId="122" fillId="4" borderId="0" xfId="1" applyNumberFormat="1" applyFont="1" applyFill="1" applyBorder="1" applyAlignment="1" applyProtection="1">
      <alignment horizontal="left" vertical="center" wrapText="1"/>
      <protection locked="0"/>
    </xf>
    <xf numFmtId="8" fontId="132" fillId="4" borderId="0" xfId="0" applyNumberFormat="1" applyFont="1" applyFill="1" applyProtection="1">
      <protection locked="0"/>
    </xf>
    <xf numFmtId="8" fontId="135" fillId="4" borderId="0" xfId="0" applyNumberFormat="1" applyFont="1" applyFill="1" applyProtection="1">
      <protection locked="0"/>
    </xf>
    <xf numFmtId="44" fontId="53" fillId="4" borderId="0" xfId="1" applyNumberFormat="1" applyFont="1" applyFill="1" applyBorder="1" applyAlignment="1" applyProtection="1">
      <alignment horizontal="center"/>
      <protection locked="0"/>
    </xf>
    <xf numFmtId="8" fontId="129" fillId="4" borderId="0" xfId="0" applyNumberFormat="1" applyFont="1" applyFill="1" applyProtection="1">
      <protection locked="0"/>
    </xf>
    <xf numFmtId="6" fontId="135" fillId="4" borderId="0" xfId="0" applyNumberFormat="1" applyFont="1" applyFill="1" applyProtection="1">
      <protection locked="0"/>
    </xf>
    <xf numFmtId="0" fontId="135" fillId="4" borderId="0" xfId="0" applyFont="1" applyFill="1" applyProtection="1">
      <protection locked="0"/>
    </xf>
    <xf numFmtId="166" fontId="129" fillId="4" borderId="0" xfId="0" applyNumberFormat="1" applyFont="1" applyFill="1" applyProtection="1">
      <protection locked="0"/>
    </xf>
    <xf numFmtId="166" fontId="135" fillId="4" borderId="0" xfId="0" applyNumberFormat="1" applyFont="1" applyFill="1" applyProtection="1">
      <protection locked="0"/>
    </xf>
    <xf numFmtId="166" fontId="122" fillId="4" borderId="0" xfId="0" applyNumberFormat="1" applyFont="1" applyFill="1" applyProtection="1">
      <protection locked="0"/>
    </xf>
    <xf numFmtId="6" fontId="122" fillId="4" borderId="0" xfId="0" applyNumberFormat="1" applyFont="1" applyFill="1" applyProtection="1">
      <protection locked="0"/>
    </xf>
    <xf numFmtId="164" fontId="40" fillId="7" borderId="7" xfId="0" applyNumberFormat="1" applyFont="1" applyFill="1" applyBorder="1" applyAlignment="1" applyProtection="1">
      <alignment horizontal="center"/>
      <protection locked="0"/>
    </xf>
    <xf numFmtId="0" fontId="40" fillId="7" borderId="6" xfId="0" applyFont="1" applyFill="1" applyBorder="1" applyAlignment="1" applyProtection="1">
      <alignment horizontal="left"/>
      <protection locked="0"/>
    </xf>
    <xf numFmtId="0" fontId="40" fillId="7" borderId="6" xfId="0" applyFont="1" applyFill="1" applyBorder="1" applyProtection="1">
      <protection locked="0"/>
    </xf>
    <xf numFmtId="164" fontId="39" fillId="7" borderId="7" xfId="0" applyNumberFormat="1" applyFont="1" applyFill="1" applyBorder="1" applyAlignment="1" applyProtection="1">
      <alignment horizontal="center"/>
      <protection locked="0"/>
    </xf>
    <xf numFmtId="0" fontId="39" fillId="7" borderId="6" xfId="0" applyFont="1" applyFill="1" applyBorder="1" applyAlignment="1" applyProtection="1">
      <alignment horizontal="left"/>
      <protection locked="0"/>
    </xf>
    <xf numFmtId="0" fontId="39" fillId="7" borderId="6" xfId="0" applyFont="1" applyFill="1" applyBorder="1" applyProtection="1">
      <protection locked="0"/>
    </xf>
    <xf numFmtId="44" fontId="132" fillId="7" borderId="0" xfId="1" applyNumberFormat="1" applyFont="1" applyFill="1" applyBorder="1" applyAlignment="1" applyProtection="1">
      <alignment horizontal="left" vertical="center" wrapText="1"/>
      <protection locked="0"/>
    </xf>
    <xf numFmtId="44" fontId="38" fillId="7" borderId="0" xfId="1" applyNumberFormat="1" applyFont="1" applyFill="1" applyBorder="1" applyAlignment="1" applyProtection="1">
      <protection locked="0"/>
    </xf>
    <xf numFmtId="164" fontId="38" fillId="7" borderId="7" xfId="0" applyNumberFormat="1" applyFont="1" applyFill="1" applyBorder="1" applyAlignment="1" applyProtection="1">
      <alignment horizontal="center"/>
      <protection locked="0"/>
    </xf>
    <xf numFmtId="0" fontId="38" fillId="7" borderId="6" xfId="0" applyFont="1" applyFill="1" applyBorder="1" applyAlignment="1" applyProtection="1">
      <alignment horizontal="left"/>
      <protection locked="0"/>
    </xf>
    <xf numFmtId="164" fontId="37" fillId="7" borderId="7" xfId="0" applyNumberFormat="1" applyFont="1" applyFill="1" applyBorder="1" applyAlignment="1" applyProtection="1">
      <alignment horizontal="center"/>
      <protection locked="0"/>
    </xf>
    <xf numFmtId="0" fontId="37" fillId="7" borderId="6" xfId="0" applyFont="1" applyFill="1" applyBorder="1" applyAlignment="1" applyProtection="1">
      <alignment horizontal="left"/>
      <protection locked="0"/>
    </xf>
    <xf numFmtId="44" fontId="37" fillId="7" borderId="0" xfId="1" applyNumberFormat="1" applyFont="1" applyFill="1" applyBorder="1" applyAlignment="1" applyProtection="1">
      <protection locked="0"/>
    </xf>
    <xf numFmtId="164" fontId="43" fillId="7" borderId="7" xfId="0" applyNumberFormat="1" applyFont="1" applyFill="1" applyBorder="1" applyAlignment="1" applyProtection="1">
      <alignment horizontal="center"/>
      <protection locked="0"/>
    </xf>
    <xf numFmtId="0" fontId="43" fillId="7" borderId="6" xfId="0" applyFont="1" applyFill="1" applyBorder="1" applyAlignment="1" applyProtection="1">
      <alignment horizontal="left"/>
      <protection locked="0"/>
    </xf>
    <xf numFmtId="0" fontId="43" fillId="7" borderId="6" xfId="0" applyFont="1" applyFill="1" applyBorder="1" applyProtection="1">
      <protection locked="0"/>
    </xf>
    <xf numFmtId="164" fontId="47" fillId="7" borderId="7" xfId="0" applyNumberFormat="1" applyFont="1" applyFill="1" applyBorder="1" applyAlignment="1" applyProtection="1">
      <alignment horizontal="center"/>
      <protection locked="0"/>
    </xf>
    <xf numFmtId="0" fontId="47" fillId="7" borderId="6" xfId="0" applyFont="1" applyFill="1" applyBorder="1" applyAlignment="1" applyProtection="1">
      <alignment horizontal="left"/>
      <protection locked="0"/>
    </xf>
    <xf numFmtId="0" fontId="47" fillId="7" borderId="6" xfId="0" applyFont="1" applyFill="1" applyBorder="1" applyProtection="1">
      <protection locked="0"/>
    </xf>
    <xf numFmtId="165" fontId="36" fillId="7" borderId="7" xfId="0" applyNumberFormat="1" applyFont="1" applyFill="1" applyBorder="1" applyAlignment="1" applyProtection="1">
      <alignment horizontal="center"/>
      <protection locked="0"/>
    </xf>
    <xf numFmtId="164" fontId="35" fillId="7" borderId="7" xfId="0" applyNumberFormat="1" applyFont="1" applyFill="1" applyBorder="1" applyAlignment="1" applyProtection="1">
      <alignment horizontal="center"/>
      <protection locked="0"/>
    </xf>
    <xf numFmtId="0" fontId="35" fillId="7" borderId="6" xfId="0" applyFont="1" applyFill="1" applyBorder="1" applyAlignment="1" applyProtection="1">
      <alignment horizontal="left"/>
      <protection locked="0"/>
    </xf>
    <xf numFmtId="44" fontId="35" fillId="7" borderId="0" xfId="1" applyNumberFormat="1" applyFont="1" applyFill="1" applyBorder="1" applyAlignment="1" applyProtection="1">
      <protection locked="0"/>
    </xf>
    <xf numFmtId="164" fontId="34" fillId="7" borderId="7" xfId="0" applyNumberFormat="1" applyFont="1" applyFill="1" applyBorder="1" applyAlignment="1" applyProtection="1">
      <alignment horizontal="center"/>
      <protection locked="0"/>
    </xf>
    <xf numFmtId="0" fontId="34" fillId="7" borderId="6" xfId="0" applyFont="1" applyFill="1" applyBorder="1" applyAlignment="1" applyProtection="1">
      <alignment horizontal="left"/>
      <protection locked="0"/>
    </xf>
    <xf numFmtId="44" fontId="34" fillId="7" borderId="0" xfId="1" applyNumberFormat="1" applyFont="1" applyFill="1" applyBorder="1" applyAlignment="1" applyProtection="1">
      <alignment horizontal="left"/>
      <protection locked="0"/>
    </xf>
    <xf numFmtId="164" fontId="33" fillId="7" borderId="7" xfId="0" applyNumberFormat="1" applyFont="1" applyFill="1" applyBorder="1" applyAlignment="1" applyProtection="1">
      <alignment horizontal="center"/>
      <protection locked="0"/>
    </xf>
    <xf numFmtId="0" fontId="33" fillId="7" borderId="6" xfId="0" applyFont="1" applyFill="1" applyBorder="1" applyAlignment="1" applyProtection="1">
      <alignment horizontal="left"/>
      <protection locked="0"/>
    </xf>
    <xf numFmtId="0" fontId="33" fillId="7" borderId="6" xfId="0" applyFont="1" applyFill="1" applyBorder="1" applyProtection="1">
      <protection locked="0"/>
    </xf>
    <xf numFmtId="44" fontId="33" fillId="7" borderId="0" xfId="1" applyNumberFormat="1" applyFont="1" applyFill="1" applyBorder="1" applyAlignment="1" applyProtection="1">
      <alignment horizontal="left"/>
      <protection locked="0"/>
    </xf>
    <xf numFmtId="164" fontId="32" fillId="7" borderId="7" xfId="0" applyNumberFormat="1" applyFont="1" applyFill="1" applyBorder="1" applyAlignment="1" applyProtection="1">
      <alignment horizontal="center"/>
      <protection locked="0"/>
    </xf>
    <xf numFmtId="0" fontId="32" fillId="7" borderId="6" xfId="0" applyFont="1" applyFill="1" applyBorder="1" applyAlignment="1" applyProtection="1">
      <alignment horizontal="left"/>
      <protection locked="0"/>
    </xf>
    <xf numFmtId="44" fontId="32" fillId="7" borderId="0" xfId="1" applyNumberFormat="1" applyFont="1" applyFill="1" applyBorder="1" applyAlignment="1" applyProtection="1">
      <alignment horizontal="left"/>
      <protection locked="0"/>
    </xf>
    <xf numFmtId="0" fontId="33" fillId="0" borderId="6" xfId="0" applyFont="1" applyBorder="1"/>
    <xf numFmtId="44" fontId="38" fillId="7" borderId="12" xfId="1" applyNumberFormat="1" applyFont="1" applyFill="1" applyBorder="1" applyAlignment="1" applyProtection="1">
      <alignment horizontal="right"/>
    </xf>
    <xf numFmtId="164" fontId="29" fillId="4" borderId="7" xfId="0" applyNumberFormat="1" applyFont="1" applyFill="1" applyBorder="1" applyAlignment="1" applyProtection="1">
      <alignment horizontal="center"/>
      <protection locked="0"/>
    </xf>
    <xf numFmtId="0" fontId="29" fillId="4" borderId="6" xfId="0" applyFont="1" applyFill="1" applyBorder="1" applyAlignment="1" applyProtection="1">
      <alignment horizontal="left"/>
      <protection locked="0"/>
    </xf>
    <xf numFmtId="164" fontId="29" fillId="7" borderId="7" xfId="0" applyNumberFormat="1" applyFont="1" applyFill="1" applyBorder="1" applyAlignment="1" applyProtection="1">
      <alignment horizontal="center"/>
      <protection locked="0"/>
    </xf>
    <xf numFmtId="0" fontId="29" fillId="7" borderId="6" xfId="0" applyFont="1" applyFill="1" applyBorder="1" applyAlignment="1" applyProtection="1">
      <alignment horizontal="left"/>
      <protection locked="0"/>
    </xf>
    <xf numFmtId="164" fontId="28" fillId="7" borderId="7" xfId="0" applyNumberFormat="1" applyFont="1" applyFill="1" applyBorder="1" applyAlignment="1" applyProtection="1">
      <alignment horizontal="center"/>
      <protection locked="0"/>
    </xf>
    <xf numFmtId="0" fontId="28" fillId="7" borderId="6" xfId="0" applyFont="1" applyFill="1" applyBorder="1" applyAlignment="1" applyProtection="1">
      <alignment horizontal="left"/>
      <protection locked="0"/>
    </xf>
    <xf numFmtId="0" fontId="36" fillId="7" borderId="6" xfId="0" applyFont="1" applyFill="1" applyBorder="1" applyAlignment="1" applyProtection="1">
      <alignment horizontal="left"/>
      <protection locked="0"/>
    </xf>
    <xf numFmtId="0" fontId="31" fillId="7" borderId="6" xfId="0" applyFont="1" applyFill="1" applyBorder="1" applyAlignment="1" applyProtection="1">
      <alignment horizontal="left"/>
      <protection locked="0"/>
    </xf>
    <xf numFmtId="0" fontId="30" fillId="7" borderId="6" xfId="0" applyFont="1" applyFill="1" applyBorder="1" applyAlignment="1" applyProtection="1">
      <alignment horizontal="left"/>
      <protection locked="0"/>
    </xf>
    <xf numFmtId="164" fontId="36" fillId="7" borderId="7" xfId="0" applyNumberFormat="1" applyFont="1" applyFill="1" applyBorder="1" applyAlignment="1" applyProtection="1">
      <alignment horizontal="center"/>
      <protection locked="0"/>
    </xf>
    <xf numFmtId="0" fontId="36" fillId="7" borderId="6" xfId="0" applyFont="1" applyFill="1" applyBorder="1" applyProtection="1">
      <protection locked="0"/>
    </xf>
    <xf numFmtId="0" fontId="35" fillId="7" borderId="6" xfId="0" applyFont="1" applyFill="1" applyBorder="1" applyProtection="1">
      <protection locked="0"/>
    </xf>
    <xf numFmtId="164" fontId="35" fillId="7" borderId="4" xfId="0" applyNumberFormat="1" applyFont="1" applyFill="1" applyBorder="1" applyAlignment="1" applyProtection="1">
      <alignment horizontal="left"/>
      <protection locked="0"/>
    </xf>
    <xf numFmtId="0" fontId="28" fillId="7" borderId="6" xfId="0" applyFont="1" applyFill="1" applyBorder="1" applyProtection="1">
      <protection locked="0"/>
    </xf>
    <xf numFmtId="0" fontId="34" fillId="7" borderId="6" xfId="0" applyFont="1" applyFill="1" applyBorder="1" applyProtection="1">
      <protection locked="0"/>
    </xf>
    <xf numFmtId="0" fontId="38" fillId="7" borderId="6" xfId="0" applyFont="1" applyFill="1" applyBorder="1" applyProtection="1">
      <protection locked="0"/>
    </xf>
    <xf numFmtId="164" fontId="27" fillId="7" borderId="7" xfId="0" applyNumberFormat="1" applyFont="1" applyFill="1" applyBorder="1" applyAlignment="1" applyProtection="1">
      <alignment horizontal="center"/>
      <protection locked="0"/>
    </xf>
    <xf numFmtId="0" fontId="27" fillId="7" borderId="6" xfId="0" applyFont="1" applyFill="1" applyBorder="1" applyAlignment="1" applyProtection="1">
      <alignment horizontal="left"/>
      <protection locked="0"/>
    </xf>
    <xf numFmtId="44" fontId="132" fillId="0" borderId="0" xfId="1" applyNumberFormat="1" applyFont="1" applyBorder="1" applyAlignment="1" applyProtection="1">
      <alignment vertical="center" wrapText="1"/>
      <protection locked="0"/>
    </xf>
    <xf numFmtId="164" fontId="25" fillId="4" borderId="7" xfId="0" applyNumberFormat="1" applyFont="1" applyFill="1" applyBorder="1" applyAlignment="1" applyProtection="1">
      <alignment horizontal="center"/>
      <protection locked="0"/>
    </xf>
    <xf numFmtId="0" fontId="25" fillId="4" borderId="6" xfId="0" applyFont="1" applyFill="1" applyBorder="1" applyAlignment="1" applyProtection="1">
      <alignment horizontal="left"/>
      <protection locked="0"/>
    </xf>
    <xf numFmtId="0" fontId="25" fillId="4" borderId="6" xfId="0" applyFont="1" applyFill="1" applyBorder="1" applyProtection="1">
      <protection locked="0"/>
    </xf>
    <xf numFmtId="44" fontId="135" fillId="4" borderId="0" xfId="1" applyNumberFormat="1" applyFont="1" applyFill="1" applyBorder="1" applyAlignment="1" applyProtection="1">
      <protection locked="0"/>
    </xf>
    <xf numFmtId="0" fontId="23" fillId="7" borderId="6" xfId="0" applyFont="1" applyFill="1" applyBorder="1" applyAlignment="1" applyProtection="1">
      <alignment horizontal="left"/>
      <protection locked="0"/>
    </xf>
    <xf numFmtId="0" fontId="23" fillId="7" borderId="6" xfId="0" applyFont="1" applyFill="1" applyBorder="1" applyProtection="1">
      <protection locked="0"/>
    </xf>
    <xf numFmtId="0" fontId="0" fillId="0" borderId="6" xfId="0" applyBorder="1" applyAlignment="1">
      <alignment horizontal="right"/>
    </xf>
    <xf numFmtId="17" fontId="22" fillId="0" borderId="6" xfId="0" applyNumberFormat="1" applyFont="1" applyBorder="1" applyAlignment="1">
      <alignment horizontal="left"/>
    </xf>
    <xf numFmtId="164" fontId="22" fillId="7" borderId="7" xfId="0" applyNumberFormat="1" applyFont="1" applyFill="1" applyBorder="1" applyAlignment="1" applyProtection="1">
      <alignment horizontal="center"/>
      <protection locked="0"/>
    </xf>
    <xf numFmtId="0" fontId="22" fillId="7" borderId="6" xfId="0" applyFont="1" applyFill="1" applyBorder="1" applyAlignment="1" applyProtection="1">
      <alignment horizontal="left"/>
      <protection locked="0"/>
    </xf>
    <xf numFmtId="44" fontId="22" fillId="7" borderId="0" xfId="1" applyNumberFormat="1" applyFont="1" applyFill="1" applyBorder="1" applyAlignment="1" applyProtection="1">
      <alignment horizontal="left"/>
      <protection locked="0"/>
    </xf>
    <xf numFmtId="44" fontId="22" fillId="7" borderId="0" xfId="1" applyNumberFormat="1" applyFont="1" applyFill="1" applyBorder="1" applyAlignment="1" applyProtection="1">
      <protection locked="0"/>
    </xf>
    <xf numFmtId="164" fontId="25" fillId="7" borderId="7" xfId="0" applyNumberFormat="1" applyFont="1" applyFill="1" applyBorder="1" applyAlignment="1" applyProtection="1">
      <alignment horizontal="center"/>
      <protection locked="0"/>
    </xf>
    <xf numFmtId="0" fontId="25" fillId="7" borderId="6" xfId="0" applyFont="1" applyFill="1" applyBorder="1" applyAlignment="1" applyProtection="1">
      <alignment horizontal="left"/>
      <protection locked="0"/>
    </xf>
    <xf numFmtId="0" fontId="25" fillId="7" borderId="6" xfId="0" applyFont="1" applyFill="1" applyBorder="1" applyProtection="1">
      <protection locked="0"/>
    </xf>
    <xf numFmtId="0" fontId="22" fillId="0" borderId="6" xfId="0" applyFont="1" applyBorder="1"/>
    <xf numFmtId="0" fontId="20" fillId="7" borderId="6" xfId="0" applyFont="1" applyFill="1" applyBorder="1" applyAlignment="1" applyProtection="1">
      <alignment horizontal="left"/>
      <protection locked="0"/>
    </xf>
    <xf numFmtId="0" fontId="22" fillId="7" borderId="6" xfId="0" applyFont="1" applyFill="1" applyBorder="1" applyProtection="1">
      <protection locked="0"/>
    </xf>
    <xf numFmtId="164" fontId="20" fillId="7" borderId="7" xfId="0" applyNumberFormat="1" applyFont="1" applyFill="1" applyBorder="1" applyAlignment="1" applyProtection="1">
      <alignment horizontal="center"/>
      <protection locked="0"/>
    </xf>
    <xf numFmtId="164" fontId="19" fillId="4" borderId="7" xfId="0" applyNumberFormat="1" applyFont="1" applyFill="1" applyBorder="1" applyAlignment="1" applyProtection="1">
      <alignment horizontal="center"/>
      <protection locked="0"/>
    </xf>
    <xf numFmtId="0" fontId="19" fillId="4" borderId="6" xfId="0" applyFont="1" applyFill="1" applyBorder="1" applyAlignment="1" applyProtection="1">
      <alignment horizontal="left"/>
      <protection locked="0"/>
    </xf>
    <xf numFmtId="164" fontId="19" fillId="7" borderId="7" xfId="0" applyNumberFormat="1" applyFont="1" applyFill="1" applyBorder="1" applyAlignment="1" applyProtection="1">
      <alignment horizontal="center"/>
      <protection locked="0"/>
    </xf>
    <xf numFmtId="0" fontId="19" fillId="7" borderId="6" xfId="0" applyFont="1" applyFill="1" applyBorder="1" applyAlignment="1" applyProtection="1">
      <alignment horizontal="left"/>
      <protection locked="0"/>
    </xf>
    <xf numFmtId="0" fontId="20" fillId="7" borderId="6" xfId="0" applyFont="1" applyFill="1" applyBorder="1" applyProtection="1">
      <protection locked="0"/>
    </xf>
    <xf numFmtId="164" fontId="21" fillId="7" borderId="7" xfId="0" applyNumberFormat="1" applyFont="1" applyFill="1" applyBorder="1" applyAlignment="1" applyProtection="1">
      <alignment horizontal="center"/>
      <protection locked="0"/>
    </xf>
    <xf numFmtId="0" fontId="21" fillId="7" borderId="6" xfId="0" applyFont="1" applyFill="1" applyBorder="1" applyAlignment="1" applyProtection="1">
      <alignment horizontal="left"/>
      <protection locked="0"/>
    </xf>
    <xf numFmtId="0" fontId="21" fillId="7" borderId="6" xfId="0" applyFont="1" applyFill="1" applyBorder="1" applyProtection="1">
      <protection locked="0"/>
    </xf>
    <xf numFmtId="164" fontId="26" fillId="7" borderId="7" xfId="0" applyNumberFormat="1" applyFont="1" applyFill="1" applyBorder="1" applyAlignment="1" applyProtection="1">
      <alignment horizontal="center"/>
      <protection locked="0"/>
    </xf>
    <xf numFmtId="0" fontId="26" fillId="7" borderId="6" xfId="0" applyFont="1" applyFill="1" applyBorder="1" applyAlignment="1" applyProtection="1">
      <alignment horizontal="left"/>
      <protection locked="0"/>
    </xf>
    <xf numFmtId="0" fontId="26" fillId="7" borderId="6" xfId="0" applyFont="1" applyFill="1" applyBorder="1" applyProtection="1">
      <protection locked="0"/>
    </xf>
    <xf numFmtId="44" fontId="18" fillId="7" borderId="0" xfId="1" applyNumberFormat="1" applyFont="1" applyFill="1" applyBorder="1" applyAlignment="1" applyProtection="1">
      <alignment horizontal="center"/>
      <protection locked="0"/>
    </xf>
    <xf numFmtId="44" fontId="18" fillId="7" borderId="0" xfId="1" applyNumberFormat="1" applyFont="1" applyFill="1" applyBorder="1" applyAlignment="1" applyProtection="1">
      <alignment horizontal="left"/>
      <protection locked="0"/>
    </xf>
    <xf numFmtId="164" fontId="18" fillId="7" borderId="7" xfId="0" applyNumberFormat="1" applyFont="1" applyFill="1" applyBorder="1" applyAlignment="1" applyProtection="1">
      <alignment horizontal="center"/>
      <protection locked="0"/>
    </xf>
    <xf numFmtId="0" fontId="18" fillId="7" borderId="6" xfId="0" applyFont="1" applyFill="1" applyBorder="1" applyAlignment="1" applyProtection="1">
      <alignment horizontal="left"/>
      <protection locked="0"/>
    </xf>
    <xf numFmtId="164" fontId="24" fillId="7" borderId="7" xfId="0" applyNumberFormat="1" applyFont="1" applyFill="1" applyBorder="1" applyAlignment="1" applyProtection="1">
      <alignment horizontal="center"/>
      <protection locked="0"/>
    </xf>
    <xf numFmtId="0" fontId="24" fillId="7" borderId="6" xfId="0" applyFont="1" applyFill="1" applyBorder="1" applyAlignment="1" applyProtection="1">
      <alignment horizontal="left"/>
      <protection locked="0"/>
    </xf>
    <xf numFmtId="164" fontId="17" fillId="4" borderId="7" xfId="0" applyNumberFormat="1" applyFont="1" applyFill="1" applyBorder="1" applyAlignment="1" applyProtection="1">
      <alignment horizontal="center"/>
      <protection locked="0"/>
    </xf>
    <xf numFmtId="0" fontId="17" fillId="4" borderId="6" xfId="0" applyFont="1" applyFill="1" applyBorder="1" applyAlignment="1" applyProtection="1">
      <alignment horizontal="left"/>
      <protection locked="0"/>
    </xf>
    <xf numFmtId="0" fontId="17" fillId="4" borderId="6" xfId="0" applyFont="1" applyFill="1" applyBorder="1" applyProtection="1">
      <protection locked="0"/>
    </xf>
    <xf numFmtId="164" fontId="17" fillId="7" borderId="7" xfId="0" applyNumberFormat="1" applyFont="1" applyFill="1" applyBorder="1" applyAlignment="1" applyProtection="1">
      <alignment horizontal="center"/>
      <protection locked="0"/>
    </xf>
    <xf numFmtId="0" fontId="17" fillId="7" borderId="6" xfId="0" applyFont="1" applyFill="1" applyBorder="1" applyAlignment="1" applyProtection="1">
      <alignment horizontal="left"/>
      <protection locked="0"/>
    </xf>
    <xf numFmtId="0" fontId="17" fillId="7" borderId="6" xfId="0" applyFont="1" applyFill="1" applyBorder="1" applyProtection="1">
      <protection locked="0"/>
    </xf>
    <xf numFmtId="164" fontId="16" fillId="4" borderId="7" xfId="0" applyNumberFormat="1" applyFont="1" applyFill="1" applyBorder="1" applyAlignment="1" applyProtection="1">
      <alignment horizontal="center"/>
      <protection locked="0"/>
    </xf>
    <xf numFmtId="0" fontId="16" fillId="4" borderId="6" xfId="0" applyFont="1" applyFill="1" applyBorder="1" applyAlignment="1" applyProtection="1">
      <alignment horizontal="left"/>
      <protection locked="0"/>
    </xf>
    <xf numFmtId="0" fontId="16" fillId="4" borderId="6" xfId="0" applyFont="1" applyFill="1" applyBorder="1" applyProtection="1">
      <protection locked="0"/>
    </xf>
    <xf numFmtId="164" fontId="16" fillId="7" borderId="7" xfId="0" applyNumberFormat="1" applyFont="1" applyFill="1" applyBorder="1" applyAlignment="1" applyProtection="1">
      <alignment horizontal="center"/>
      <protection locked="0"/>
    </xf>
    <xf numFmtId="0" fontId="16" fillId="7" borderId="6" xfId="0" applyFont="1" applyFill="1" applyBorder="1" applyAlignment="1" applyProtection="1">
      <alignment horizontal="left"/>
      <protection locked="0"/>
    </xf>
    <xf numFmtId="0" fontId="16" fillId="7" borderId="6" xfId="0" applyFont="1" applyFill="1" applyBorder="1" applyProtection="1">
      <protection locked="0"/>
    </xf>
    <xf numFmtId="164" fontId="15" fillId="7" borderId="7" xfId="0" applyNumberFormat="1" applyFont="1" applyFill="1" applyBorder="1" applyAlignment="1" applyProtection="1">
      <alignment horizontal="center"/>
      <protection locked="0"/>
    </xf>
    <xf numFmtId="0" fontId="15" fillId="7" borderId="6" xfId="0" applyFont="1" applyFill="1" applyBorder="1" applyAlignment="1" applyProtection="1">
      <alignment horizontal="left"/>
      <protection locked="0"/>
    </xf>
    <xf numFmtId="44" fontId="18" fillId="4" borderId="0" xfId="1" applyNumberFormat="1" applyFont="1" applyFill="1" applyBorder="1" applyAlignment="1" applyProtection="1">
      <alignment horizontal="center"/>
      <protection locked="0"/>
    </xf>
    <xf numFmtId="44" fontId="22" fillId="4" borderId="0" xfId="1" applyNumberFormat="1" applyFont="1" applyFill="1" applyBorder="1" applyAlignment="1" applyProtection="1">
      <alignment horizontal="left"/>
      <protection locked="0"/>
    </xf>
    <xf numFmtId="44" fontId="22" fillId="4" borderId="0" xfId="1" applyNumberFormat="1" applyFont="1" applyFill="1" applyBorder="1" applyAlignment="1" applyProtection="1">
      <protection locked="0"/>
    </xf>
    <xf numFmtId="0" fontId="28" fillId="4" borderId="6" xfId="0" applyFont="1" applyFill="1" applyBorder="1" applyAlignment="1" applyProtection="1">
      <alignment horizontal="left"/>
      <protection locked="0"/>
    </xf>
    <xf numFmtId="164" fontId="28" fillId="4" borderId="7" xfId="0" applyNumberFormat="1" applyFont="1" applyFill="1" applyBorder="1" applyAlignment="1" applyProtection="1">
      <alignment horizontal="center"/>
      <protection locked="0"/>
    </xf>
    <xf numFmtId="164" fontId="0" fillId="4" borderId="5" xfId="0" applyNumberFormat="1" applyFill="1" applyBorder="1" applyAlignment="1" applyProtection="1">
      <alignment horizontal="center"/>
      <protection locked="0"/>
    </xf>
    <xf numFmtId="164" fontId="27" fillId="4" borderId="7" xfId="0" applyNumberFormat="1" applyFont="1" applyFill="1" applyBorder="1" applyAlignment="1" applyProtection="1">
      <alignment horizontal="center"/>
      <protection locked="0"/>
    </xf>
    <xf numFmtId="0" fontId="27" fillId="4" borderId="6" xfId="0" applyFont="1" applyFill="1" applyBorder="1" applyAlignment="1" applyProtection="1">
      <alignment horizontal="left"/>
      <protection locked="0"/>
    </xf>
    <xf numFmtId="164" fontId="24" fillId="4" borderId="7" xfId="0" applyNumberFormat="1" applyFont="1" applyFill="1" applyBorder="1" applyAlignment="1" applyProtection="1">
      <alignment horizontal="center"/>
      <protection locked="0"/>
    </xf>
    <xf numFmtId="0" fontId="24" fillId="4" borderId="6" xfId="0" applyFont="1" applyFill="1" applyBorder="1" applyAlignment="1" applyProtection="1">
      <alignment horizontal="left"/>
      <protection locked="0"/>
    </xf>
    <xf numFmtId="164" fontId="22" fillId="4" borderId="7" xfId="0" applyNumberFormat="1" applyFont="1" applyFill="1" applyBorder="1" applyAlignment="1" applyProtection="1">
      <alignment horizontal="center"/>
      <protection locked="0"/>
    </xf>
    <xf numFmtId="0" fontId="22" fillId="4" borderId="6" xfId="0" applyFont="1" applyFill="1" applyBorder="1" applyAlignment="1" applyProtection="1">
      <alignment horizontal="left"/>
      <protection locked="0"/>
    </xf>
    <xf numFmtId="164" fontId="20" fillId="4" borderId="7" xfId="0" applyNumberFormat="1" applyFont="1" applyFill="1" applyBorder="1" applyAlignment="1" applyProtection="1">
      <alignment horizontal="center"/>
      <protection locked="0"/>
    </xf>
    <xf numFmtId="0" fontId="20" fillId="4" borderId="6" xfId="0" applyFont="1" applyFill="1" applyBorder="1" applyAlignment="1" applyProtection="1">
      <alignment horizontal="left"/>
      <protection locked="0"/>
    </xf>
    <xf numFmtId="164" fontId="18" fillId="4" borderId="7" xfId="0" applyNumberFormat="1" applyFont="1" applyFill="1" applyBorder="1" applyAlignment="1" applyProtection="1">
      <alignment horizontal="center"/>
      <protection locked="0"/>
    </xf>
    <xf numFmtId="0" fontId="18" fillId="4" borderId="6" xfId="0" applyFont="1" applyFill="1" applyBorder="1" applyAlignment="1" applyProtection="1">
      <alignment horizontal="left"/>
      <protection locked="0"/>
    </xf>
    <xf numFmtId="164" fontId="15" fillId="4" borderId="7" xfId="0" applyNumberFormat="1" applyFont="1" applyFill="1" applyBorder="1" applyAlignment="1" applyProtection="1">
      <alignment horizontal="center"/>
      <protection locked="0"/>
    </xf>
    <xf numFmtId="0" fontId="15" fillId="4" borderId="6" xfId="0" applyFont="1" applyFill="1" applyBorder="1" applyAlignment="1" applyProtection="1">
      <alignment horizontal="left"/>
      <protection locked="0"/>
    </xf>
    <xf numFmtId="44" fontId="130" fillId="4" borderId="0" xfId="1" applyNumberFormat="1" applyFont="1" applyFill="1" applyBorder="1" applyAlignment="1" applyProtection="1">
      <alignment horizontal="center"/>
      <protection locked="0"/>
    </xf>
    <xf numFmtId="0" fontId="79" fillId="4" borderId="6" xfId="0" applyFont="1" applyFill="1" applyBorder="1" applyAlignment="1" applyProtection="1">
      <alignment horizontal="left"/>
      <protection locked="0"/>
    </xf>
    <xf numFmtId="44" fontId="79" fillId="4" borderId="6" xfId="1" applyNumberFormat="1" applyFont="1" applyFill="1" applyBorder="1" applyAlignment="1" applyProtection="1">
      <alignment horizontal="right"/>
      <protection locked="0"/>
    </xf>
    <xf numFmtId="0" fontId="19" fillId="7" borderId="6" xfId="0" applyFont="1" applyFill="1" applyBorder="1" applyProtection="1">
      <protection locked="0"/>
    </xf>
    <xf numFmtId="44" fontId="132" fillId="0" borderId="22" xfId="1" applyNumberFormat="1" applyFont="1" applyBorder="1" applyAlignment="1" applyProtection="1">
      <alignment horizontal="center" wrapText="1"/>
      <protection locked="0"/>
    </xf>
    <xf numFmtId="44" fontId="0" fillId="4" borderId="27" xfId="1" applyNumberFormat="1" applyFont="1" applyFill="1" applyBorder="1" applyAlignment="1" applyProtection="1">
      <alignment horizontal="right"/>
    </xf>
    <xf numFmtId="44" fontId="79" fillId="4" borderId="27" xfId="1" applyNumberFormat="1" applyFont="1" applyFill="1" applyBorder="1" applyAlignment="1" applyProtection="1">
      <alignment horizontal="right"/>
    </xf>
    <xf numFmtId="44" fontId="0" fillId="8" borderId="27" xfId="1" applyNumberFormat="1" applyFont="1" applyFill="1" applyBorder="1" applyAlignment="1" applyProtection="1">
      <alignment horizontal="right"/>
    </xf>
    <xf numFmtId="164" fontId="130" fillId="0" borderId="6" xfId="0" applyNumberFormat="1" applyFont="1" applyBorder="1" applyAlignment="1" applyProtection="1">
      <alignment horizontal="center"/>
      <protection locked="0"/>
    </xf>
    <xf numFmtId="17" fontId="130" fillId="3" borderId="6" xfId="0" applyNumberFormat="1" applyFont="1" applyFill="1" applyBorder="1" applyProtection="1">
      <protection locked="0"/>
    </xf>
    <xf numFmtId="0" fontId="130" fillId="3" borderId="6" xfId="0" applyFont="1" applyFill="1" applyBorder="1" applyProtection="1">
      <protection locked="0"/>
    </xf>
    <xf numFmtId="44" fontId="0" fillId="0" borderId="6" xfId="1" applyNumberFormat="1" applyFont="1" applyBorder="1" applyAlignment="1" applyProtection="1">
      <alignment horizontal="right"/>
      <protection locked="0"/>
    </xf>
    <xf numFmtId="44" fontId="0" fillId="7" borderId="27" xfId="1" applyNumberFormat="1" applyFont="1" applyFill="1" applyBorder="1" applyAlignment="1" applyProtection="1">
      <alignment horizontal="right"/>
    </xf>
    <xf numFmtId="44" fontId="132" fillId="7" borderId="0" xfId="1" applyNumberFormat="1" applyFont="1" applyFill="1" applyBorder="1" applyAlignment="1" applyProtection="1">
      <alignment vertical="center" wrapText="1"/>
      <protection locked="0"/>
    </xf>
    <xf numFmtId="44" fontId="132" fillId="0" borderId="0" xfId="1" applyNumberFormat="1" applyFont="1" applyFill="1" applyBorder="1" applyAlignment="1" applyProtection="1">
      <alignment horizontal="left" vertical="center" wrapText="1"/>
      <protection locked="0"/>
    </xf>
    <xf numFmtId="164" fontId="9" fillId="4" borderId="7" xfId="0" applyNumberFormat="1" applyFont="1" applyFill="1" applyBorder="1" applyAlignment="1" applyProtection="1">
      <alignment horizontal="center"/>
      <protection locked="0"/>
    </xf>
    <xf numFmtId="0" fontId="9" fillId="4" borderId="6" xfId="0" applyFont="1" applyFill="1" applyBorder="1" applyAlignment="1" applyProtection="1">
      <alignment horizontal="left"/>
      <protection locked="0"/>
    </xf>
    <xf numFmtId="0" fontId="9" fillId="4" borderId="6" xfId="0" applyFont="1" applyFill="1" applyBorder="1" applyProtection="1">
      <protection locked="0"/>
    </xf>
    <xf numFmtId="164" fontId="13" fillId="7" borderId="7" xfId="0" applyNumberFormat="1" applyFont="1" applyFill="1" applyBorder="1" applyAlignment="1" applyProtection="1">
      <alignment horizontal="center"/>
      <protection locked="0"/>
    </xf>
    <xf numFmtId="0" fontId="13" fillId="7" borderId="6" xfId="0" applyFont="1" applyFill="1" applyBorder="1" applyAlignment="1" applyProtection="1">
      <alignment horizontal="left"/>
      <protection locked="0"/>
    </xf>
    <xf numFmtId="0" fontId="13" fillId="7" borderId="6" xfId="0" applyFont="1" applyFill="1" applyBorder="1" applyProtection="1">
      <protection locked="0"/>
    </xf>
    <xf numFmtId="164" fontId="12" fillId="7" borderId="7" xfId="0" applyNumberFormat="1" applyFont="1" applyFill="1" applyBorder="1" applyAlignment="1" applyProtection="1">
      <alignment horizontal="center"/>
      <protection locked="0"/>
    </xf>
    <xf numFmtId="0" fontId="12" fillId="7" borderId="6" xfId="0" applyFont="1" applyFill="1" applyBorder="1" applyAlignment="1" applyProtection="1">
      <alignment horizontal="left"/>
      <protection locked="0"/>
    </xf>
    <xf numFmtId="164" fontId="12" fillId="7" borderId="4" xfId="0" applyNumberFormat="1" applyFont="1" applyFill="1" applyBorder="1" applyAlignment="1" applyProtection="1">
      <alignment horizontal="left"/>
      <protection locked="0"/>
    </xf>
    <xf numFmtId="0" fontId="12" fillId="7" borderId="6" xfId="0" applyFont="1" applyFill="1" applyBorder="1" applyProtection="1">
      <protection locked="0"/>
    </xf>
    <xf numFmtId="164" fontId="14" fillId="7" borderId="7" xfId="0" applyNumberFormat="1" applyFont="1" applyFill="1" applyBorder="1" applyAlignment="1" applyProtection="1">
      <alignment horizontal="center"/>
      <protection locked="0"/>
    </xf>
    <xf numFmtId="0" fontId="14" fillId="7" borderId="6" xfId="0" applyFont="1" applyFill="1" applyBorder="1" applyAlignment="1" applyProtection="1">
      <alignment horizontal="left"/>
      <protection locked="0"/>
    </xf>
    <xf numFmtId="0" fontId="14" fillId="7" borderId="6" xfId="0" applyFont="1" applyFill="1" applyBorder="1" applyProtection="1">
      <protection locked="0"/>
    </xf>
    <xf numFmtId="44" fontId="97" fillId="7" borderId="27" xfId="1" applyNumberFormat="1" applyFont="1" applyFill="1" applyBorder="1" applyAlignment="1" applyProtection="1">
      <alignment horizontal="right"/>
    </xf>
    <xf numFmtId="164" fontId="11" fillId="7" borderId="7" xfId="0" applyNumberFormat="1" applyFont="1" applyFill="1" applyBorder="1" applyAlignment="1" applyProtection="1">
      <alignment horizontal="center"/>
      <protection locked="0"/>
    </xf>
    <xf numFmtId="0" fontId="11" fillId="7" borderId="6" xfId="0" applyFont="1" applyFill="1" applyBorder="1" applyAlignment="1" applyProtection="1">
      <alignment horizontal="left"/>
      <protection locked="0"/>
    </xf>
    <xf numFmtId="0" fontId="11" fillId="7" borderId="6" xfId="0" applyFont="1" applyFill="1" applyBorder="1" applyProtection="1">
      <protection locked="0"/>
    </xf>
    <xf numFmtId="44" fontId="85" fillId="7" borderId="27" xfId="1" applyNumberFormat="1" applyFont="1" applyFill="1" applyBorder="1" applyAlignment="1" applyProtection="1">
      <alignment horizontal="right"/>
    </xf>
    <xf numFmtId="164" fontId="8" fillId="7" borderId="7" xfId="0" applyNumberFormat="1" applyFont="1" applyFill="1" applyBorder="1" applyAlignment="1" applyProtection="1">
      <alignment horizontal="center"/>
      <protection locked="0"/>
    </xf>
    <xf numFmtId="0" fontId="8" fillId="7" borderId="6" xfId="0" applyFont="1" applyFill="1" applyBorder="1" applyAlignment="1" applyProtection="1">
      <alignment horizontal="left"/>
      <protection locked="0"/>
    </xf>
    <xf numFmtId="0" fontId="8" fillId="7" borderId="6" xfId="0" applyFont="1" applyFill="1" applyBorder="1" applyProtection="1">
      <protection locked="0"/>
    </xf>
    <xf numFmtId="44" fontId="122" fillId="7" borderId="27" xfId="1" applyNumberFormat="1" applyFont="1" applyFill="1" applyBorder="1" applyAlignment="1" applyProtection="1">
      <alignment horizontal="center" wrapText="1"/>
      <protection locked="0"/>
    </xf>
    <xf numFmtId="44" fontId="12" fillId="7" borderId="6" xfId="1" applyNumberFormat="1" applyFont="1" applyFill="1" applyBorder="1" applyAlignment="1" applyProtection="1">
      <alignment horizontal="right"/>
      <protection locked="0"/>
    </xf>
    <xf numFmtId="44" fontId="14" fillId="7" borderId="0" xfId="1" applyNumberFormat="1" applyFont="1" applyFill="1" applyBorder="1" applyAlignment="1" applyProtection="1">
      <protection locked="0"/>
    </xf>
    <xf numFmtId="165" fontId="14" fillId="7" borderId="7" xfId="0" applyNumberFormat="1" applyFont="1" applyFill="1" applyBorder="1" applyAlignment="1" applyProtection="1">
      <alignment horizontal="center"/>
      <protection locked="0"/>
    </xf>
    <xf numFmtId="164" fontId="7" fillId="7" borderId="7" xfId="0" applyNumberFormat="1" applyFont="1" applyFill="1" applyBorder="1" applyAlignment="1" applyProtection="1">
      <alignment horizontal="center"/>
      <protection locked="0"/>
    </xf>
    <xf numFmtId="0" fontId="7" fillId="7" borderId="6" xfId="0" applyFont="1" applyFill="1" applyBorder="1" applyAlignment="1" applyProtection="1">
      <alignment horizontal="left"/>
      <protection locked="0"/>
    </xf>
    <xf numFmtId="44" fontId="7" fillId="7" borderId="0" xfId="1" applyNumberFormat="1" applyFont="1" applyFill="1" applyBorder="1" applyAlignment="1" applyProtection="1">
      <protection locked="0"/>
    </xf>
    <xf numFmtId="44" fontId="7" fillId="7" borderId="0" xfId="1" applyNumberFormat="1" applyFont="1" applyFill="1" applyBorder="1" applyAlignment="1" applyProtection="1">
      <alignment horizontal="left"/>
      <protection locked="0"/>
    </xf>
    <xf numFmtId="12" fontId="7" fillId="7" borderId="0" xfId="1" applyNumberFormat="1" applyFont="1" applyFill="1" applyBorder="1" applyAlignment="1" applyProtection="1">
      <alignment horizontal="left"/>
      <protection locked="0"/>
    </xf>
    <xf numFmtId="44" fontId="7" fillId="7" borderId="0" xfId="1" applyNumberFormat="1" applyFont="1" applyFill="1" applyBorder="1" applyAlignment="1" applyProtection="1">
      <alignment horizontal="center"/>
      <protection locked="0"/>
    </xf>
    <xf numFmtId="164" fontId="10" fillId="7" borderId="7" xfId="0" applyNumberFormat="1" applyFont="1" applyFill="1" applyBorder="1" applyAlignment="1" applyProtection="1">
      <alignment horizontal="center"/>
      <protection locked="0"/>
    </xf>
    <xf numFmtId="0" fontId="10" fillId="7" borderId="6" xfId="0" applyFont="1" applyFill="1" applyBorder="1" applyAlignment="1" applyProtection="1">
      <alignment horizontal="left"/>
      <protection locked="0"/>
    </xf>
    <xf numFmtId="0" fontId="10" fillId="7" borderId="6" xfId="0" applyFont="1" applyFill="1" applyBorder="1" applyProtection="1">
      <protection locked="0"/>
    </xf>
    <xf numFmtId="164" fontId="6" fillId="7" borderId="7" xfId="0" applyNumberFormat="1" applyFont="1" applyFill="1" applyBorder="1" applyAlignment="1" applyProtection="1">
      <alignment horizontal="center"/>
      <protection locked="0"/>
    </xf>
    <xf numFmtId="0" fontId="6" fillId="7" borderId="6" xfId="0" applyFont="1" applyFill="1" applyBorder="1" applyAlignment="1" applyProtection="1">
      <alignment horizontal="left"/>
      <protection locked="0"/>
    </xf>
    <xf numFmtId="0" fontId="7" fillId="7" borderId="6" xfId="0" applyFont="1" applyFill="1" applyBorder="1" applyProtection="1">
      <protection locked="0"/>
    </xf>
    <xf numFmtId="44" fontId="78" fillId="7" borderId="27" xfId="1" applyNumberFormat="1" applyFont="1" applyFill="1" applyBorder="1" applyAlignment="1" applyProtection="1">
      <alignment horizontal="right"/>
    </xf>
    <xf numFmtId="0" fontId="6" fillId="7" borderId="6" xfId="0" applyFont="1" applyFill="1" applyBorder="1" applyProtection="1">
      <protection locked="0"/>
    </xf>
    <xf numFmtId="44" fontId="5" fillId="7" borderId="0" xfId="1" applyNumberFormat="1" applyFont="1" applyFill="1" applyBorder="1" applyAlignment="1" applyProtection="1">
      <alignment horizontal="center"/>
      <protection locked="0"/>
    </xf>
    <xf numFmtId="44" fontId="122" fillId="4" borderId="1" xfId="1" applyNumberFormat="1" applyFont="1" applyFill="1" applyBorder="1" applyAlignment="1" applyProtection="1">
      <alignment vertical="center" wrapText="1"/>
      <protection locked="0"/>
    </xf>
    <xf numFmtId="0" fontId="5" fillId="0" borderId="6" xfId="0" applyFont="1" applyBorder="1"/>
    <xf numFmtId="0" fontId="122" fillId="4" borderId="9" xfId="1" applyNumberFormat="1" applyFont="1" applyFill="1" applyBorder="1" applyAlignment="1" applyProtection="1">
      <alignment horizontal="right" vertical="center" wrapText="1"/>
      <protection locked="0"/>
    </xf>
    <xf numFmtId="1" fontId="132" fillId="4" borderId="28" xfId="1" applyNumberFormat="1" applyFont="1" applyFill="1" applyBorder="1" applyAlignment="1" applyProtection="1">
      <alignment horizontal="left" vertical="center" wrapText="1"/>
      <protection locked="0"/>
    </xf>
    <xf numFmtId="44" fontId="141" fillId="4" borderId="0" xfId="1" applyNumberFormat="1" applyFont="1" applyFill="1" applyBorder="1" applyAlignment="1" applyProtection="1">
      <alignment horizontal="center" vertical="center" wrapText="1"/>
      <protection locked="0"/>
    </xf>
    <xf numFmtId="44" fontId="135" fillId="4" borderId="0" xfId="1" applyNumberFormat="1" applyFont="1" applyFill="1" applyBorder="1" applyAlignment="1" applyProtection="1">
      <alignment vertical="center" wrapText="1"/>
      <protection locked="0"/>
    </xf>
    <xf numFmtId="0" fontId="135" fillId="4" borderId="0" xfId="1" applyNumberFormat="1" applyFont="1" applyFill="1" applyBorder="1" applyAlignment="1" applyProtection="1">
      <alignment horizontal="left" vertical="center" wrapText="1"/>
      <protection locked="0"/>
    </xf>
    <xf numFmtId="1" fontId="135" fillId="4" borderId="0" xfId="1" applyNumberFormat="1" applyFont="1" applyFill="1" applyBorder="1" applyAlignment="1" applyProtection="1">
      <alignment horizontal="left" vertical="center" wrapText="1"/>
      <protection locked="0"/>
    </xf>
    <xf numFmtId="44" fontId="132" fillId="4" borderId="0" xfId="1" applyNumberFormat="1" applyFont="1" applyFill="1" applyBorder="1" applyAlignment="1" applyProtection="1">
      <alignment vertical="center" wrapText="1"/>
      <protection locked="0"/>
    </xf>
    <xf numFmtId="44" fontId="122" fillId="7" borderId="27" xfId="1" applyNumberFormat="1" applyFont="1" applyFill="1" applyBorder="1" applyAlignment="1" applyProtection="1">
      <alignment horizontal="right"/>
    </xf>
    <xf numFmtId="164" fontId="5" fillId="4" borderId="7" xfId="0" applyNumberFormat="1" applyFont="1" applyFill="1" applyBorder="1" applyAlignment="1" applyProtection="1">
      <alignment horizontal="center"/>
      <protection locked="0"/>
    </xf>
    <xf numFmtId="0" fontId="5" fillId="4" borderId="6" xfId="0" applyFont="1" applyFill="1" applyBorder="1" applyAlignment="1" applyProtection="1">
      <alignment horizontal="left"/>
      <protection locked="0"/>
    </xf>
    <xf numFmtId="0" fontId="5" fillId="4" borderId="6" xfId="0" applyFont="1" applyFill="1" applyBorder="1" applyProtection="1">
      <protection locked="0"/>
    </xf>
    <xf numFmtId="164" fontId="5" fillId="7" borderId="7" xfId="0" applyNumberFormat="1" applyFont="1" applyFill="1" applyBorder="1" applyAlignment="1" applyProtection="1">
      <alignment horizontal="center"/>
      <protection locked="0"/>
    </xf>
    <xf numFmtId="0" fontId="5" fillId="7" borderId="6" xfId="0" applyFont="1" applyFill="1" applyBorder="1" applyAlignment="1" applyProtection="1">
      <alignment horizontal="left"/>
      <protection locked="0"/>
    </xf>
    <xf numFmtId="44" fontId="5" fillId="7" borderId="0" xfId="1" applyNumberFormat="1" applyFont="1" applyFill="1" applyBorder="1" applyAlignment="1" applyProtection="1">
      <protection locked="0"/>
    </xf>
    <xf numFmtId="44" fontId="135" fillId="7" borderId="0" xfId="1" applyNumberFormat="1" applyFont="1" applyFill="1" applyBorder="1" applyAlignment="1" applyProtection="1">
      <alignment vertical="center" wrapText="1"/>
      <protection locked="0"/>
    </xf>
    <xf numFmtId="164" fontId="4" fillId="4" borderId="7" xfId="0" applyNumberFormat="1" applyFont="1" applyFill="1" applyBorder="1" applyAlignment="1" applyProtection="1">
      <alignment horizontal="center"/>
      <protection locked="0"/>
    </xf>
    <xf numFmtId="0" fontId="4" fillId="4" borderId="6" xfId="0" applyFont="1" applyFill="1" applyBorder="1" applyAlignment="1" applyProtection="1">
      <alignment horizontal="left"/>
      <protection locked="0"/>
    </xf>
    <xf numFmtId="0" fontId="4" fillId="4" borderId="6" xfId="0" applyFont="1" applyFill="1" applyBorder="1" applyProtection="1">
      <protection locked="0"/>
    </xf>
    <xf numFmtId="164" fontId="3" fillId="4" borderId="7" xfId="0" applyNumberFormat="1" applyFont="1" applyFill="1" applyBorder="1" applyAlignment="1" applyProtection="1">
      <alignment horizontal="center"/>
      <protection locked="0"/>
    </xf>
    <xf numFmtId="0" fontId="3" fillId="4" borderId="6" xfId="0" applyFont="1" applyFill="1" applyBorder="1" applyAlignment="1" applyProtection="1">
      <alignment horizontal="left"/>
      <protection locked="0"/>
    </xf>
    <xf numFmtId="0" fontId="3" fillId="4" borderId="6" xfId="0" applyFont="1" applyFill="1" applyBorder="1" applyProtection="1">
      <protection locked="0"/>
    </xf>
    <xf numFmtId="44" fontId="141" fillId="7" borderId="0" xfId="1" applyNumberFormat="1" applyFont="1" applyFill="1" applyBorder="1" applyAlignment="1" applyProtection="1">
      <alignment horizontal="left" vertical="center" wrapText="1"/>
      <protection locked="0"/>
    </xf>
    <xf numFmtId="164" fontId="2" fillId="4" borderId="7" xfId="0" applyNumberFormat="1" applyFont="1" applyFill="1" applyBorder="1" applyAlignment="1" applyProtection="1">
      <alignment horizontal="center"/>
      <protection locked="0"/>
    </xf>
    <xf numFmtId="0" fontId="2" fillId="4" borderId="6" xfId="0" applyFont="1" applyFill="1" applyBorder="1" applyAlignment="1" applyProtection="1">
      <alignment horizontal="left"/>
      <protection locked="0"/>
    </xf>
    <xf numFmtId="0" fontId="2" fillId="4" borderId="6" xfId="0" applyFont="1" applyFill="1" applyBorder="1" applyProtection="1">
      <protection locked="0"/>
    </xf>
    <xf numFmtId="44" fontId="141" fillId="4" borderId="0" xfId="1" applyNumberFormat="1" applyFont="1" applyFill="1" applyBorder="1" applyAlignment="1" applyProtection="1">
      <alignment horizontal="left" vertical="center" wrapText="1"/>
      <protection locked="0"/>
    </xf>
    <xf numFmtId="0" fontId="130" fillId="0" borderId="0" xfId="0" applyFont="1" applyAlignment="1" applyProtection="1">
      <alignment horizontal="center"/>
      <protection locked="0"/>
    </xf>
    <xf numFmtId="0" fontId="131" fillId="2" borderId="3" xfId="0" applyFont="1" applyFill="1" applyBorder="1" applyAlignment="1" applyProtection="1">
      <alignment horizontal="center"/>
      <protection locked="0"/>
    </xf>
    <xf numFmtId="0" fontId="131" fillId="2" borderId="0" xfId="0" applyFont="1" applyFill="1" applyAlignment="1" applyProtection="1">
      <alignment horizontal="center"/>
      <protection locked="0"/>
    </xf>
    <xf numFmtId="0" fontId="131" fillId="2" borderId="9" xfId="0" applyFont="1" applyFill="1" applyBorder="1" applyAlignment="1" applyProtection="1">
      <alignment horizontal="center"/>
      <protection locked="0"/>
    </xf>
    <xf numFmtId="17" fontId="130" fillId="3" borderId="4" xfId="0" applyNumberFormat="1" applyFont="1" applyFill="1" applyBorder="1" applyAlignment="1" applyProtection="1">
      <alignment horizontal="center"/>
      <protection locked="0"/>
    </xf>
    <xf numFmtId="0" fontId="130" fillId="3" borderId="4" xfId="0" applyFont="1" applyFill="1" applyBorder="1" applyAlignment="1" applyProtection="1">
      <alignment horizontal="center"/>
      <protection locked="0"/>
    </xf>
    <xf numFmtId="0" fontId="131" fillId="2" borderId="1" xfId="0" applyFont="1" applyFill="1" applyBorder="1" applyAlignment="1" applyProtection="1">
      <alignment horizontal="center"/>
      <protection locked="0"/>
    </xf>
    <xf numFmtId="0" fontId="131" fillId="2" borderId="2" xfId="0" applyFont="1" applyFill="1" applyBorder="1" applyAlignment="1" applyProtection="1">
      <alignment horizontal="center"/>
      <protection locked="0"/>
    </xf>
    <xf numFmtId="0" fontId="131" fillId="2" borderId="8" xfId="0" applyFont="1" applyFill="1" applyBorder="1" applyAlignment="1" applyProtection="1">
      <alignment horizontal="center"/>
      <protection locked="0"/>
    </xf>
    <xf numFmtId="0" fontId="130" fillId="0" borderId="22" xfId="0" applyFont="1" applyBorder="1" applyAlignment="1">
      <alignment horizontal="center"/>
    </xf>
    <xf numFmtId="0" fontId="130" fillId="0" borderId="23" xfId="0" applyFont="1" applyBorder="1" applyAlignment="1">
      <alignment horizontal="center"/>
    </xf>
    <xf numFmtId="0" fontId="130" fillId="0" borderId="13" xfId="0" applyFont="1" applyBorder="1" applyAlignment="1">
      <alignment horizontal="center"/>
    </xf>
    <xf numFmtId="0" fontId="135" fillId="0" borderId="22" xfId="0" applyFont="1" applyBorder="1" applyAlignment="1">
      <alignment horizontal="center"/>
    </xf>
    <xf numFmtId="0" fontId="135" fillId="0" borderId="23" xfId="0" applyFont="1" applyBorder="1" applyAlignment="1">
      <alignment horizontal="center"/>
    </xf>
    <xf numFmtId="0" fontId="135" fillId="0" borderId="13" xfId="0" applyFont="1" applyBorder="1" applyAlignment="1">
      <alignment horizontal="center"/>
    </xf>
    <xf numFmtId="0" fontId="139" fillId="0" borderId="0" xfId="0" applyFont="1" applyAlignment="1">
      <alignment horizontal="center"/>
    </xf>
    <xf numFmtId="8" fontId="139" fillId="0" borderId="0" xfId="0" applyNumberFormat="1" applyFont="1" applyAlignment="1">
      <alignment horizontal="center"/>
    </xf>
    <xf numFmtId="0" fontId="119" fillId="0" borderId="0" xfId="0" applyFont="1" applyAlignment="1">
      <alignment horizontal="center"/>
    </xf>
    <xf numFmtId="0" fontId="120" fillId="2" borderId="3" xfId="0" applyFont="1" applyFill="1" applyBorder="1" applyAlignment="1">
      <alignment horizontal="center"/>
    </xf>
    <xf numFmtId="0" fontId="120" fillId="2" borderId="0" xfId="0" applyFont="1" applyFill="1" applyAlignment="1">
      <alignment horizontal="center"/>
    </xf>
    <xf numFmtId="0" fontId="120" fillId="2" borderId="9" xfId="0" applyFont="1" applyFill="1" applyBorder="1" applyAlignment="1">
      <alignment horizontal="center"/>
    </xf>
    <xf numFmtId="0" fontId="119" fillId="3" borderId="4" xfId="0" applyFont="1" applyFill="1" applyBorder="1" applyAlignment="1">
      <alignment horizontal="center"/>
    </xf>
    <xf numFmtId="164" fontId="1" fillId="4" borderId="7" xfId="0" applyNumberFormat="1" applyFont="1" applyFill="1" applyBorder="1" applyAlignment="1" applyProtection="1">
      <alignment horizontal="center"/>
      <protection locked="0"/>
    </xf>
    <xf numFmtId="0" fontId="1" fillId="4" borderId="6" xfId="0" applyFont="1" applyFill="1" applyBorder="1" applyAlignment="1" applyProtection="1">
      <alignment horizontal="left"/>
      <protection locked="0"/>
    </xf>
    <xf numFmtId="0" fontId="1" fillId="4" borderId="6" xfId="0" applyFont="1" applyFill="1" applyBorder="1" applyProtection="1">
      <protection locked="0"/>
    </xf>
    <xf numFmtId="0" fontId="1" fillId="7" borderId="6" xfId="0" applyFont="1" applyFill="1" applyBorder="1" applyAlignment="1" applyProtection="1">
      <alignment horizontal="left"/>
      <protection locked="0"/>
    </xf>
  </cellXfs>
  <cellStyles count="2">
    <cellStyle name="Comma" xfId="1" builtinId="3"/>
    <cellStyle name="Normal" xfId="0" builtinId="0"/>
  </cellStyles>
  <dxfs count="30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13</xdr:row>
      <xdr:rowOff>0</xdr:rowOff>
    </xdr:from>
    <xdr:to>
      <xdr:col>11</xdr:col>
      <xdr:colOff>9525</xdr:colOff>
      <xdr:row>14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DA02E66-4E40-52B6-70D3-CC4EBD866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34900" y="8991600"/>
          <a:ext cx="10382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47302-96C5-4262-931D-59537E878DCF}">
  <sheetPr>
    <pageSetUpPr fitToPage="1"/>
  </sheetPr>
  <dimension ref="B1:N120"/>
  <sheetViews>
    <sheetView topLeftCell="A25" zoomScale="85" zoomScaleNormal="85" workbookViewId="0">
      <selection activeCell="I56" sqref="I56"/>
    </sheetView>
  </sheetViews>
  <sheetFormatPr defaultColWidth="8.5703125" defaultRowHeight="15"/>
  <cols>
    <col min="1" max="1" width="3.140625" style="107" customWidth="1"/>
    <col min="2" max="2" width="29.5703125" style="148" customWidth="1"/>
    <col min="3" max="3" width="14.42578125" style="107" customWidth="1"/>
    <col min="4" max="4" width="38.42578125" style="140" bestFit="1" customWidth="1"/>
    <col min="5" max="5" width="20.42578125" style="107" customWidth="1"/>
    <col min="6" max="6" width="17.140625" style="107" customWidth="1"/>
    <col min="7" max="8" width="15.42578125" style="149" customWidth="1"/>
    <col min="9" max="10" width="17" style="149" customWidth="1"/>
    <col min="11" max="11" width="15.42578125" style="121" customWidth="1"/>
    <col min="12" max="12" width="41.140625" style="107" customWidth="1"/>
    <col min="13" max="13" width="12.85546875" style="107" bestFit="1" customWidth="1"/>
    <col min="14" max="14" width="28.140625" style="107" customWidth="1"/>
    <col min="15" max="15" width="48.42578125" style="107" customWidth="1"/>
    <col min="16" max="16" width="9.85546875" style="107" customWidth="1"/>
    <col min="17" max="16384" width="8.5703125" style="107"/>
  </cols>
  <sheetData>
    <row r="1" spans="2:14" ht="9" customHeight="1" thickBot="1">
      <c r="B1" s="772"/>
      <c r="C1" s="772"/>
      <c r="D1" s="772"/>
      <c r="E1" s="772"/>
      <c r="F1" s="772"/>
      <c r="G1" s="772"/>
      <c r="H1" s="772"/>
      <c r="I1" s="772"/>
      <c r="J1" s="106"/>
      <c r="K1" s="106"/>
    </row>
    <row r="2" spans="2:14" ht="9" customHeight="1">
      <c r="B2" s="108"/>
      <c r="C2" s="109"/>
      <c r="D2" s="110"/>
      <c r="E2" s="109"/>
      <c r="F2" s="109"/>
      <c r="G2" s="111"/>
      <c r="H2" s="111"/>
      <c r="I2" s="112"/>
      <c r="J2" s="117"/>
      <c r="K2" s="113"/>
    </row>
    <row r="3" spans="2:14">
      <c r="B3" s="773" t="s">
        <v>70</v>
      </c>
      <c r="C3" s="774"/>
      <c r="D3" s="774"/>
      <c r="E3" s="774"/>
      <c r="F3" s="774"/>
      <c r="G3" s="774"/>
      <c r="H3" s="774"/>
      <c r="I3" s="775"/>
      <c r="J3" s="114"/>
      <c r="K3" s="114"/>
    </row>
    <row r="4" spans="2:14">
      <c r="B4" s="115"/>
      <c r="C4" s="106"/>
      <c r="D4" s="116"/>
      <c r="E4" s="106"/>
      <c r="F4" s="106"/>
      <c r="G4" s="117"/>
      <c r="H4" s="117"/>
      <c r="I4" s="118"/>
      <c r="J4" s="117"/>
      <c r="K4" s="113"/>
    </row>
    <row r="5" spans="2:14">
      <c r="B5" s="115" t="s">
        <v>0</v>
      </c>
      <c r="C5" s="776" t="s">
        <v>32</v>
      </c>
      <c r="D5" s="777"/>
      <c r="E5" s="777"/>
      <c r="G5" s="119"/>
      <c r="H5" s="119"/>
      <c r="I5" s="120"/>
      <c r="J5" s="119"/>
    </row>
    <row r="6" spans="2:14">
      <c r="B6" s="122" t="s">
        <v>1</v>
      </c>
      <c r="C6" s="123" t="s">
        <v>2</v>
      </c>
      <c r="D6" s="124" t="s">
        <v>3</v>
      </c>
      <c r="E6" s="125" t="s">
        <v>4</v>
      </c>
      <c r="F6" s="124" t="s">
        <v>5</v>
      </c>
      <c r="G6" s="126" t="s">
        <v>6</v>
      </c>
      <c r="H6" s="126" t="s">
        <v>7</v>
      </c>
      <c r="I6" s="127" t="s">
        <v>8</v>
      </c>
      <c r="J6" s="243" t="s">
        <v>145</v>
      </c>
      <c r="K6" s="128" t="s">
        <v>9</v>
      </c>
      <c r="L6" s="128" t="s">
        <v>33</v>
      </c>
      <c r="M6" s="129"/>
      <c r="N6" s="129"/>
    </row>
    <row r="7" spans="2:14">
      <c r="B7" s="130"/>
      <c r="C7" s="123"/>
      <c r="D7" s="124"/>
      <c r="E7" s="125"/>
      <c r="F7" s="124"/>
      <c r="G7" s="126"/>
      <c r="H7" s="126"/>
      <c r="I7" s="131"/>
      <c r="J7" s="243"/>
      <c r="K7" s="128"/>
      <c r="L7" s="128"/>
      <c r="M7" s="129"/>
      <c r="N7" s="129"/>
    </row>
    <row r="8" spans="2:14">
      <c r="B8" s="172" t="s">
        <v>81</v>
      </c>
      <c r="C8" s="168" t="s">
        <v>35</v>
      </c>
      <c r="D8" s="167" t="s">
        <v>83</v>
      </c>
      <c r="E8" s="168">
        <v>139307</v>
      </c>
      <c r="F8" s="173" t="s">
        <v>84</v>
      </c>
      <c r="G8" s="170">
        <v>1924.7</v>
      </c>
      <c r="H8" s="170">
        <v>288.70999999999998</v>
      </c>
      <c r="I8" s="171">
        <f t="shared" ref="I8" si="0">G8+H8</f>
        <v>2213.41</v>
      </c>
      <c r="J8" s="244">
        <f t="shared" ref="J8:J39" si="1">I8-I8</f>
        <v>0</v>
      </c>
      <c r="K8" s="152" t="s">
        <v>9</v>
      </c>
      <c r="L8" s="138"/>
      <c r="M8" s="138"/>
      <c r="N8" s="137"/>
    </row>
    <row r="9" spans="2:14">
      <c r="B9" s="174" t="s">
        <v>85</v>
      </c>
      <c r="C9" s="167" t="s">
        <v>35</v>
      </c>
      <c r="D9" s="167" t="s">
        <v>87</v>
      </c>
      <c r="E9" s="167">
        <v>67476</v>
      </c>
      <c r="F9" s="175" t="s">
        <v>65</v>
      </c>
      <c r="G9" s="176">
        <v>2965.4</v>
      </c>
      <c r="H9" s="176">
        <v>444.81</v>
      </c>
      <c r="I9" s="177">
        <f>G9+H9</f>
        <v>3410.21</v>
      </c>
      <c r="J9" s="244">
        <f t="shared" si="1"/>
        <v>0</v>
      </c>
      <c r="K9" s="164" t="s">
        <v>9</v>
      </c>
      <c r="L9" s="138" t="s">
        <v>74</v>
      </c>
      <c r="M9" s="138"/>
      <c r="N9" s="137"/>
    </row>
    <row r="10" spans="2:14">
      <c r="B10" s="239" t="s">
        <v>139</v>
      </c>
      <c r="C10" s="240" t="s">
        <v>35</v>
      </c>
      <c r="D10" s="167" t="s">
        <v>142</v>
      </c>
      <c r="E10" s="168">
        <v>30007</v>
      </c>
      <c r="F10" s="241" t="s">
        <v>65</v>
      </c>
      <c r="G10" s="170">
        <v>1140</v>
      </c>
      <c r="H10" s="170">
        <v>171</v>
      </c>
      <c r="I10" s="171">
        <v>1311</v>
      </c>
      <c r="J10" s="244">
        <f t="shared" si="1"/>
        <v>0</v>
      </c>
      <c r="K10" s="152" t="s">
        <v>9</v>
      </c>
      <c r="L10" s="138" t="s">
        <v>74</v>
      </c>
      <c r="M10" s="138"/>
      <c r="N10" s="137"/>
    </row>
    <row r="11" spans="2:14" s="137" customFormat="1">
      <c r="B11" s="172" t="s">
        <v>88</v>
      </c>
      <c r="C11" s="168" t="s">
        <v>35</v>
      </c>
      <c r="D11" s="167" t="s">
        <v>89</v>
      </c>
      <c r="E11" s="168">
        <v>258045</v>
      </c>
      <c r="F11" s="178" t="s">
        <v>64</v>
      </c>
      <c r="G11" s="170">
        <v>4144.43</v>
      </c>
      <c r="H11" s="170">
        <v>621.66</v>
      </c>
      <c r="I11" s="171">
        <f t="shared" ref="I11:I43" si="2">G11+H11</f>
        <v>4766.09</v>
      </c>
      <c r="J11" s="244">
        <f t="shared" si="1"/>
        <v>0</v>
      </c>
      <c r="K11" s="150" t="s">
        <v>9</v>
      </c>
      <c r="L11" s="138" t="s">
        <v>74</v>
      </c>
    </row>
    <row r="12" spans="2:14">
      <c r="B12" s="210" t="s">
        <v>94</v>
      </c>
      <c r="C12" s="211" t="s">
        <v>35</v>
      </c>
      <c r="D12" s="211" t="s">
        <v>89</v>
      </c>
      <c r="E12" s="211">
        <v>258347</v>
      </c>
      <c r="F12" s="212" t="s">
        <v>64</v>
      </c>
      <c r="G12" s="213">
        <v>577</v>
      </c>
      <c r="H12" s="213">
        <v>86.63</v>
      </c>
      <c r="I12" s="214">
        <f t="shared" si="2"/>
        <v>663.63</v>
      </c>
      <c r="J12" s="244">
        <f t="shared" si="1"/>
        <v>0</v>
      </c>
      <c r="K12" s="188" t="s">
        <v>9</v>
      </c>
      <c r="L12" s="189" t="s">
        <v>74</v>
      </c>
      <c r="M12" s="138"/>
      <c r="N12" s="137"/>
    </row>
    <row r="13" spans="2:14">
      <c r="B13" s="172" t="s">
        <v>109</v>
      </c>
      <c r="C13" s="168" t="s">
        <v>35</v>
      </c>
      <c r="D13" s="167" t="s">
        <v>89</v>
      </c>
      <c r="E13" s="168">
        <v>258871</v>
      </c>
      <c r="F13" s="178" t="s">
        <v>64</v>
      </c>
      <c r="G13" s="170">
        <v>8426.39</v>
      </c>
      <c r="H13" s="170">
        <v>1263.98</v>
      </c>
      <c r="I13" s="171">
        <f t="shared" si="2"/>
        <v>9690.369999999999</v>
      </c>
      <c r="J13" s="244">
        <f t="shared" si="1"/>
        <v>0</v>
      </c>
      <c r="K13" s="150" t="s">
        <v>9</v>
      </c>
      <c r="L13" s="138" t="s">
        <v>74</v>
      </c>
      <c r="M13" s="138"/>
      <c r="N13" s="137"/>
    </row>
    <row r="14" spans="2:14" s="328" customFormat="1">
      <c r="B14" s="239" t="s">
        <v>139</v>
      </c>
      <c r="C14" s="240" t="s">
        <v>35</v>
      </c>
      <c r="D14" s="167" t="s">
        <v>89</v>
      </c>
      <c r="E14" s="168">
        <v>259855</v>
      </c>
      <c r="F14" s="241" t="s">
        <v>64</v>
      </c>
      <c r="G14" s="170">
        <v>4108.7700000000004</v>
      </c>
      <c r="H14" s="170">
        <v>616.33000000000004</v>
      </c>
      <c r="I14" s="171">
        <f t="shared" si="2"/>
        <v>4725.1000000000004</v>
      </c>
      <c r="J14" s="244">
        <f t="shared" si="1"/>
        <v>0</v>
      </c>
      <c r="K14" s="152" t="s">
        <v>9</v>
      </c>
      <c r="L14" s="138" t="s">
        <v>74</v>
      </c>
      <c r="M14" s="332"/>
      <c r="N14" s="333"/>
    </row>
    <row r="15" spans="2:14">
      <c r="B15" s="239" t="s">
        <v>139</v>
      </c>
      <c r="C15" s="240" t="s">
        <v>35</v>
      </c>
      <c r="D15" s="167" t="s">
        <v>89</v>
      </c>
      <c r="E15" s="168">
        <v>259762</v>
      </c>
      <c r="F15" s="241" t="s">
        <v>64</v>
      </c>
      <c r="G15" s="170">
        <v>9669.8799999999992</v>
      </c>
      <c r="H15" s="170">
        <v>1450.49</v>
      </c>
      <c r="I15" s="171">
        <f t="shared" si="2"/>
        <v>11120.369999999999</v>
      </c>
      <c r="J15" s="244">
        <f t="shared" si="1"/>
        <v>0</v>
      </c>
      <c r="K15" s="152" t="s">
        <v>9</v>
      </c>
      <c r="L15" s="138" t="s">
        <v>74</v>
      </c>
      <c r="M15" s="138"/>
      <c r="N15" s="137"/>
    </row>
    <row r="16" spans="2:14">
      <c r="B16" s="165" t="s">
        <v>43</v>
      </c>
      <c r="C16" s="166" t="s">
        <v>35</v>
      </c>
      <c r="D16" s="167" t="s">
        <v>44</v>
      </c>
      <c r="E16" s="168">
        <v>579009</v>
      </c>
      <c r="F16" s="169" t="s">
        <v>64</v>
      </c>
      <c r="G16" s="170">
        <v>22671.43</v>
      </c>
      <c r="H16" s="170">
        <v>3400.71</v>
      </c>
      <c r="I16" s="171">
        <f t="shared" si="2"/>
        <v>26072.14</v>
      </c>
      <c r="J16" s="244">
        <f t="shared" si="1"/>
        <v>0</v>
      </c>
      <c r="K16" s="152" t="s">
        <v>9</v>
      </c>
      <c r="L16" s="138" t="s">
        <v>74</v>
      </c>
      <c r="M16" s="138"/>
      <c r="N16" s="137"/>
    </row>
    <row r="17" spans="2:14" s="332" customFormat="1">
      <c r="B17" s="207" t="s">
        <v>115</v>
      </c>
      <c r="C17" s="208" t="s">
        <v>42</v>
      </c>
      <c r="D17" s="167" t="s">
        <v>121</v>
      </c>
      <c r="E17" s="168">
        <v>75682</v>
      </c>
      <c r="F17" s="209" t="s">
        <v>65</v>
      </c>
      <c r="G17" s="170">
        <v>1616.03</v>
      </c>
      <c r="H17" s="170">
        <v>242.4</v>
      </c>
      <c r="I17" s="171">
        <f t="shared" si="2"/>
        <v>1858.43</v>
      </c>
      <c r="J17" s="244">
        <f t="shared" si="1"/>
        <v>0</v>
      </c>
      <c r="K17" s="152" t="s">
        <v>9</v>
      </c>
      <c r="L17" s="138" t="s">
        <v>291</v>
      </c>
    </row>
    <row r="18" spans="2:14">
      <c r="B18" s="174" t="s">
        <v>139</v>
      </c>
      <c r="C18" s="167" t="s">
        <v>35</v>
      </c>
      <c r="D18" s="167" t="s">
        <v>140</v>
      </c>
      <c r="E18" s="167">
        <v>131620814</v>
      </c>
      <c r="F18" s="175" t="s">
        <v>64</v>
      </c>
      <c r="G18" s="176">
        <v>11121.96</v>
      </c>
      <c r="H18" s="176">
        <v>1571.99</v>
      </c>
      <c r="I18" s="177">
        <f t="shared" si="2"/>
        <v>12693.949999999999</v>
      </c>
      <c r="J18" s="307">
        <f t="shared" si="1"/>
        <v>0</v>
      </c>
      <c r="K18" s="164" t="s">
        <v>9</v>
      </c>
      <c r="L18" s="138" t="s">
        <v>293</v>
      </c>
      <c r="M18" s="138"/>
      <c r="N18" s="137"/>
    </row>
    <row r="19" spans="2:14" s="138" customFormat="1">
      <c r="B19" s="174" t="s">
        <v>88</v>
      </c>
      <c r="C19" s="167" t="s">
        <v>35</v>
      </c>
      <c r="D19" s="167" t="s">
        <v>90</v>
      </c>
      <c r="E19" s="167">
        <v>1723573</v>
      </c>
      <c r="F19" s="175" t="s">
        <v>65</v>
      </c>
      <c r="G19" s="176">
        <v>1735.9</v>
      </c>
      <c r="H19" s="176">
        <v>260.39</v>
      </c>
      <c r="I19" s="177">
        <f t="shared" si="2"/>
        <v>1996.29</v>
      </c>
      <c r="J19" s="244">
        <f t="shared" si="1"/>
        <v>0</v>
      </c>
      <c r="K19" s="164" t="s">
        <v>9</v>
      </c>
      <c r="L19" s="138" t="s">
        <v>74</v>
      </c>
    </row>
    <row r="20" spans="2:14" s="138" customFormat="1">
      <c r="B20" s="174" t="s">
        <v>102</v>
      </c>
      <c r="C20" s="167" t="s">
        <v>35</v>
      </c>
      <c r="D20" s="167" t="s">
        <v>103</v>
      </c>
      <c r="E20" s="167" t="s">
        <v>104</v>
      </c>
      <c r="F20" s="175" t="s">
        <v>64</v>
      </c>
      <c r="G20" s="176">
        <v>1330</v>
      </c>
      <c r="H20" s="176">
        <v>199.5</v>
      </c>
      <c r="I20" s="177">
        <f t="shared" si="2"/>
        <v>1529.5</v>
      </c>
      <c r="J20" s="244">
        <f t="shared" si="1"/>
        <v>0</v>
      </c>
      <c r="K20" s="152" t="s">
        <v>9</v>
      </c>
      <c r="L20" s="138" t="s">
        <v>318</v>
      </c>
    </row>
    <row r="21" spans="2:14">
      <c r="B21" s="172" t="s">
        <v>94</v>
      </c>
      <c r="C21" s="168" t="s">
        <v>35</v>
      </c>
      <c r="D21" s="167" t="s">
        <v>95</v>
      </c>
      <c r="E21" s="168">
        <v>26011137</v>
      </c>
      <c r="F21" s="178" t="s">
        <v>64</v>
      </c>
      <c r="G21" s="170">
        <v>7338.48</v>
      </c>
      <c r="H21" s="170">
        <v>1100.77</v>
      </c>
      <c r="I21" s="171">
        <f t="shared" si="2"/>
        <v>8439.25</v>
      </c>
      <c r="J21" s="244">
        <f t="shared" si="1"/>
        <v>0</v>
      </c>
      <c r="K21" s="152" t="s">
        <v>9</v>
      </c>
      <c r="L21" s="138" t="s">
        <v>74</v>
      </c>
      <c r="M21" s="138"/>
      <c r="N21" s="137"/>
    </row>
    <row r="22" spans="2:14" s="138" customFormat="1">
      <c r="B22" s="174" t="s">
        <v>102</v>
      </c>
      <c r="C22" s="167" t="s">
        <v>35</v>
      </c>
      <c r="D22" s="167" t="s">
        <v>106</v>
      </c>
      <c r="E22" s="167">
        <v>102374</v>
      </c>
      <c r="F22" s="175" t="s">
        <v>65</v>
      </c>
      <c r="G22" s="176">
        <v>8973.3700000000008</v>
      </c>
      <c r="H22" s="176">
        <v>1346.02</v>
      </c>
      <c r="I22" s="177">
        <f t="shared" si="2"/>
        <v>10319.390000000001</v>
      </c>
      <c r="J22" s="244">
        <f t="shared" si="1"/>
        <v>0</v>
      </c>
      <c r="K22" s="164" t="s">
        <v>9</v>
      </c>
      <c r="L22" s="138" t="s">
        <v>74</v>
      </c>
    </row>
    <row r="23" spans="2:14">
      <c r="B23" s="347" t="s">
        <v>143</v>
      </c>
      <c r="C23" s="348" t="s">
        <v>35</v>
      </c>
      <c r="D23" s="167" t="s">
        <v>106</v>
      </c>
      <c r="E23" s="168">
        <v>103212</v>
      </c>
      <c r="F23" s="349" t="s">
        <v>65</v>
      </c>
      <c r="G23" s="170">
        <v>4397.71</v>
      </c>
      <c r="H23" s="170">
        <v>659.67</v>
      </c>
      <c r="I23" s="171">
        <f t="shared" si="2"/>
        <v>5057.38</v>
      </c>
      <c r="J23" s="244">
        <f t="shared" si="1"/>
        <v>0</v>
      </c>
      <c r="K23" s="150" t="s">
        <v>9</v>
      </c>
      <c r="L23" s="138" t="s">
        <v>306</v>
      </c>
      <c r="M23" s="332"/>
      <c r="N23" s="137"/>
    </row>
    <row r="24" spans="2:14" s="328" customFormat="1">
      <c r="B24" s="190" t="s">
        <v>82</v>
      </c>
      <c r="C24" s="191" t="s">
        <v>35</v>
      </c>
      <c r="D24" s="167" t="s">
        <v>80</v>
      </c>
      <c r="E24" s="168">
        <v>95821802</v>
      </c>
      <c r="F24" s="192" t="s">
        <v>77</v>
      </c>
      <c r="G24" s="170">
        <v>568559.68999999994</v>
      </c>
      <c r="H24" s="170">
        <v>0</v>
      </c>
      <c r="I24" s="171">
        <f t="shared" si="2"/>
        <v>568559.68999999994</v>
      </c>
      <c r="J24" s="244">
        <f t="shared" si="1"/>
        <v>0</v>
      </c>
      <c r="K24" s="150" t="s">
        <v>9</v>
      </c>
      <c r="L24" s="138" t="s">
        <v>289</v>
      </c>
      <c r="M24" s="332"/>
      <c r="N24" s="333"/>
    </row>
    <row r="25" spans="2:14" s="328" customFormat="1">
      <c r="B25" s="172" t="s">
        <v>75</v>
      </c>
      <c r="C25" s="168" t="s">
        <v>35</v>
      </c>
      <c r="D25" s="167" t="s">
        <v>80</v>
      </c>
      <c r="E25" s="168">
        <v>803684795</v>
      </c>
      <c r="F25" s="178" t="s">
        <v>77</v>
      </c>
      <c r="G25" s="170">
        <v>324086.34000000003</v>
      </c>
      <c r="H25" s="170"/>
      <c r="I25" s="171">
        <f t="shared" si="2"/>
        <v>324086.34000000003</v>
      </c>
      <c r="J25" s="244">
        <f t="shared" si="1"/>
        <v>0</v>
      </c>
      <c r="K25" s="150" t="s">
        <v>9</v>
      </c>
      <c r="L25" s="138" t="s">
        <v>74</v>
      </c>
      <c r="M25" s="332"/>
      <c r="N25" s="333"/>
    </row>
    <row r="26" spans="2:14">
      <c r="B26" s="172" t="s">
        <v>102</v>
      </c>
      <c r="C26" s="168" t="s">
        <v>35</v>
      </c>
      <c r="D26" s="167" t="s">
        <v>80</v>
      </c>
      <c r="E26" s="168">
        <v>95942455</v>
      </c>
      <c r="F26" s="178" t="s">
        <v>77</v>
      </c>
      <c r="G26" s="170">
        <v>479534.3</v>
      </c>
      <c r="H26" s="170"/>
      <c r="I26" s="171">
        <f t="shared" si="2"/>
        <v>479534.3</v>
      </c>
      <c r="J26" s="244">
        <f t="shared" si="1"/>
        <v>0</v>
      </c>
      <c r="K26" s="150" t="s">
        <v>9</v>
      </c>
      <c r="L26" s="138" t="s">
        <v>74</v>
      </c>
      <c r="M26" s="332" t="s">
        <v>320</v>
      </c>
      <c r="N26" s="137"/>
    </row>
    <row r="27" spans="2:14" s="189" customFormat="1">
      <c r="B27" s="172" t="s">
        <v>115</v>
      </c>
      <c r="C27" s="168" t="s">
        <v>35</v>
      </c>
      <c r="D27" s="167" t="s">
        <v>130</v>
      </c>
      <c r="E27" s="168">
        <v>95976705</v>
      </c>
      <c r="F27" s="178" t="s">
        <v>77</v>
      </c>
      <c r="G27" s="170">
        <v>316144.69</v>
      </c>
      <c r="H27" s="170"/>
      <c r="I27" s="171">
        <f t="shared" si="2"/>
        <v>316144.69</v>
      </c>
      <c r="J27" s="244">
        <f t="shared" si="1"/>
        <v>0</v>
      </c>
      <c r="K27" s="150" t="s">
        <v>9</v>
      </c>
      <c r="L27" s="138"/>
      <c r="M27" s="340"/>
    </row>
    <row r="28" spans="2:14" s="333" customFormat="1">
      <c r="B28" s="207" t="s">
        <v>113</v>
      </c>
      <c r="C28" s="208" t="s">
        <v>35</v>
      </c>
      <c r="D28" s="167" t="s">
        <v>120</v>
      </c>
      <c r="E28" s="168">
        <v>95959752</v>
      </c>
      <c r="F28" s="209" t="s">
        <v>64</v>
      </c>
      <c r="G28" s="170">
        <v>5203.91</v>
      </c>
      <c r="H28" s="170">
        <v>780.59</v>
      </c>
      <c r="I28" s="171">
        <f t="shared" si="2"/>
        <v>5984.5</v>
      </c>
      <c r="J28" s="244">
        <f t="shared" si="1"/>
        <v>0</v>
      </c>
      <c r="K28" s="152" t="s">
        <v>9</v>
      </c>
      <c r="L28" s="138"/>
      <c r="M28" s="332"/>
    </row>
    <row r="29" spans="2:14">
      <c r="B29" s="174" t="s">
        <v>85</v>
      </c>
      <c r="C29" s="167" t="s">
        <v>35</v>
      </c>
      <c r="D29" s="167" t="s">
        <v>86</v>
      </c>
      <c r="E29" s="167">
        <v>201892</v>
      </c>
      <c r="F29" s="175" t="s">
        <v>64</v>
      </c>
      <c r="G29" s="176">
        <v>3784.15</v>
      </c>
      <c r="H29" s="176">
        <v>567.66999999999996</v>
      </c>
      <c r="I29" s="177">
        <f t="shared" si="2"/>
        <v>4351.82</v>
      </c>
      <c r="J29" s="244">
        <f t="shared" si="1"/>
        <v>0</v>
      </c>
      <c r="K29" s="164" t="s">
        <v>9</v>
      </c>
      <c r="L29" s="138" t="s">
        <v>74</v>
      </c>
      <c r="M29" s="332"/>
      <c r="N29" s="137"/>
    </row>
    <row r="30" spans="2:14">
      <c r="B30" s="172" t="s">
        <v>75</v>
      </c>
      <c r="C30" s="168" t="s">
        <v>35</v>
      </c>
      <c r="D30" s="167" t="s">
        <v>76</v>
      </c>
      <c r="E30" s="168">
        <v>1442848</v>
      </c>
      <c r="F30" s="178" t="s">
        <v>64</v>
      </c>
      <c r="G30" s="170">
        <v>5455.6</v>
      </c>
      <c r="H30" s="170">
        <v>698.36</v>
      </c>
      <c r="I30" s="171">
        <f t="shared" si="2"/>
        <v>6153.96</v>
      </c>
      <c r="J30" s="244">
        <f t="shared" si="1"/>
        <v>0</v>
      </c>
      <c r="K30" s="152" t="s">
        <v>9</v>
      </c>
      <c r="L30" s="138" t="s">
        <v>318</v>
      </c>
      <c r="M30" s="332"/>
      <c r="N30" s="137"/>
    </row>
    <row r="31" spans="2:14">
      <c r="B31" s="289" t="s">
        <v>139</v>
      </c>
      <c r="C31" s="290" t="s">
        <v>35</v>
      </c>
      <c r="D31" s="290" t="s">
        <v>76</v>
      </c>
      <c r="E31" s="290">
        <v>11446675</v>
      </c>
      <c r="F31" s="291" t="s">
        <v>64</v>
      </c>
      <c r="G31" s="292">
        <v>2910.27</v>
      </c>
      <c r="H31" s="292">
        <v>436.54</v>
      </c>
      <c r="I31" s="293">
        <f t="shared" si="2"/>
        <v>3346.81</v>
      </c>
      <c r="J31" s="244">
        <f t="shared" si="1"/>
        <v>0</v>
      </c>
      <c r="K31" s="152" t="s">
        <v>9</v>
      </c>
      <c r="L31" s="138" t="s">
        <v>319</v>
      </c>
      <c r="M31" s="332"/>
      <c r="N31" s="137"/>
    </row>
    <row r="32" spans="2:14" s="137" customFormat="1">
      <c r="B32" s="174" t="s">
        <v>75</v>
      </c>
      <c r="C32" s="167" t="s">
        <v>35</v>
      </c>
      <c r="D32" s="167" t="s">
        <v>79</v>
      </c>
      <c r="E32" s="167">
        <v>221839</v>
      </c>
      <c r="F32" s="175" t="s">
        <v>65</v>
      </c>
      <c r="G32" s="176">
        <v>609.16</v>
      </c>
      <c r="H32" s="176">
        <v>91.37</v>
      </c>
      <c r="I32" s="177">
        <f t="shared" si="2"/>
        <v>700.53</v>
      </c>
      <c r="J32" s="244">
        <f t="shared" si="1"/>
        <v>0</v>
      </c>
      <c r="K32" s="164" t="s">
        <v>9</v>
      </c>
      <c r="L32" s="332" t="s">
        <v>317</v>
      </c>
    </row>
    <row r="33" spans="2:14">
      <c r="B33" s="174" t="s">
        <v>98</v>
      </c>
      <c r="C33" s="167" t="s">
        <v>35</v>
      </c>
      <c r="D33" s="167" t="s">
        <v>79</v>
      </c>
      <c r="E33" s="167">
        <v>222390</v>
      </c>
      <c r="F33" s="175" t="s">
        <v>65</v>
      </c>
      <c r="G33" s="176">
        <v>684.06</v>
      </c>
      <c r="H33" s="176">
        <v>102.61</v>
      </c>
      <c r="I33" s="177">
        <f t="shared" si="2"/>
        <v>786.67</v>
      </c>
      <c r="J33" s="244">
        <f t="shared" si="1"/>
        <v>0</v>
      </c>
      <c r="K33" s="164" t="s">
        <v>9</v>
      </c>
      <c r="L33" s="332" t="s">
        <v>318</v>
      </c>
      <c r="M33" s="138"/>
      <c r="N33" s="137"/>
    </row>
    <row r="34" spans="2:14">
      <c r="B34" s="334" t="s">
        <v>110</v>
      </c>
      <c r="C34" s="335" t="s">
        <v>35</v>
      </c>
      <c r="D34" s="216" t="s">
        <v>79</v>
      </c>
      <c r="E34" s="215">
        <v>223006</v>
      </c>
      <c r="F34" s="336" t="s">
        <v>65</v>
      </c>
      <c r="G34" s="217">
        <v>171.54</v>
      </c>
      <c r="H34" s="217">
        <v>25.77</v>
      </c>
      <c r="I34" s="329">
        <f t="shared" si="2"/>
        <v>197.31</v>
      </c>
      <c r="J34" s="330">
        <f t="shared" si="1"/>
        <v>0</v>
      </c>
      <c r="K34" s="331"/>
      <c r="L34" s="332"/>
      <c r="M34" s="138"/>
      <c r="N34" s="137"/>
    </row>
    <row r="35" spans="2:14">
      <c r="B35" s="174" t="s">
        <v>112</v>
      </c>
      <c r="C35" s="167" t="s">
        <v>35</v>
      </c>
      <c r="D35" s="167" t="s">
        <v>79</v>
      </c>
      <c r="E35" s="167">
        <v>223383</v>
      </c>
      <c r="F35" s="175" t="s">
        <v>65</v>
      </c>
      <c r="G35" s="176">
        <v>597.86</v>
      </c>
      <c r="H35" s="176">
        <v>89.69</v>
      </c>
      <c r="I35" s="177">
        <f t="shared" si="2"/>
        <v>687.55</v>
      </c>
      <c r="J35" s="244">
        <f t="shared" si="1"/>
        <v>0</v>
      </c>
      <c r="K35" s="152" t="s">
        <v>9</v>
      </c>
      <c r="L35" s="332" t="s">
        <v>318</v>
      </c>
      <c r="M35" s="138"/>
      <c r="N35" s="137"/>
    </row>
    <row r="36" spans="2:14" s="328" customFormat="1">
      <c r="B36" s="230" t="s">
        <v>115</v>
      </c>
      <c r="C36" s="216" t="s">
        <v>35</v>
      </c>
      <c r="D36" s="216" t="s">
        <v>79</v>
      </c>
      <c r="E36" s="216">
        <v>223661</v>
      </c>
      <c r="F36" s="231" t="s">
        <v>65</v>
      </c>
      <c r="G36" s="232">
        <v>367.84</v>
      </c>
      <c r="H36" s="232">
        <v>55.18</v>
      </c>
      <c r="I36" s="337">
        <f t="shared" si="2"/>
        <v>423.02</v>
      </c>
      <c r="J36" s="339">
        <f t="shared" si="1"/>
        <v>0</v>
      </c>
      <c r="K36" s="338" t="s">
        <v>9</v>
      </c>
      <c r="L36" s="332"/>
      <c r="M36" s="332"/>
      <c r="N36" s="333"/>
    </row>
    <row r="37" spans="2:14" s="328" customFormat="1">
      <c r="B37" s="229" t="s">
        <v>143</v>
      </c>
      <c r="C37" s="134" t="s">
        <v>35</v>
      </c>
      <c r="D37" s="134" t="s">
        <v>79</v>
      </c>
      <c r="E37" s="134">
        <v>223947</v>
      </c>
      <c r="F37" s="225" t="s">
        <v>65</v>
      </c>
      <c r="G37" s="226">
        <v>417.69</v>
      </c>
      <c r="H37" s="226">
        <v>62.65</v>
      </c>
      <c r="I37" s="227">
        <f t="shared" si="2"/>
        <v>480.34</v>
      </c>
      <c r="J37" s="339">
        <f t="shared" si="1"/>
        <v>0</v>
      </c>
      <c r="K37" s="338" t="b">
        <v>0</v>
      </c>
      <c r="L37" s="138"/>
      <c r="M37" s="332"/>
      <c r="N37" s="357"/>
    </row>
    <row r="38" spans="2:14" s="328" customFormat="1">
      <c r="B38" s="314" t="s">
        <v>115</v>
      </c>
      <c r="C38" s="315" t="s">
        <v>42</v>
      </c>
      <c r="D38" s="315" t="s">
        <v>135</v>
      </c>
      <c r="E38" s="315" t="s">
        <v>136</v>
      </c>
      <c r="F38" s="316" t="s">
        <v>138</v>
      </c>
      <c r="G38" s="317">
        <v>6200</v>
      </c>
      <c r="H38" s="317"/>
      <c r="I38" s="318">
        <f t="shared" si="2"/>
        <v>6200</v>
      </c>
      <c r="J38" s="244">
        <f t="shared" si="1"/>
        <v>0</v>
      </c>
      <c r="K38" s="152" t="s">
        <v>9</v>
      </c>
      <c r="L38" s="138" t="s">
        <v>292</v>
      </c>
      <c r="M38" s="332"/>
      <c r="N38" s="333"/>
    </row>
    <row r="39" spans="2:14" s="328" customFormat="1">
      <c r="B39" s="172" t="s">
        <v>112</v>
      </c>
      <c r="C39" s="168" t="s">
        <v>35</v>
      </c>
      <c r="D39" s="167" t="s">
        <v>129</v>
      </c>
      <c r="E39" s="168">
        <v>577986</v>
      </c>
      <c r="F39" s="178" t="s">
        <v>64</v>
      </c>
      <c r="G39" s="170">
        <v>535.20000000000005</v>
      </c>
      <c r="H39" s="170">
        <v>80.28</v>
      </c>
      <c r="I39" s="171">
        <f t="shared" si="2"/>
        <v>615.48</v>
      </c>
      <c r="J39" s="244">
        <f t="shared" si="1"/>
        <v>0</v>
      </c>
      <c r="K39" s="150" t="s">
        <v>9</v>
      </c>
      <c r="L39" s="332" t="s">
        <v>286</v>
      </c>
      <c r="M39" s="332"/>
      <c r="N39" s="357"/>
    </row>
    <row r="40" spans="2:14">
      <c r="B40" s="174" t="s">
        <v>39</v>
      </c>
      <c r="C40" s="167" t="s">
        <v>35</v>
      </c>
      <c r="D40" s="167" t="s">
        <v>40</v>
      </c>
      <c r="E40" s="167">
        <v>572097</v>
      </c>
      <c r="F40" s="175" t="s">
        <v>64</v>
      </c>
      <c r="G40" s="176">
        <v>48974.61</v>
      </c>
      <c r="H40" s="176">
        <v>7346.2</v>
      </c>
      <c r="I40" s="177">
        <f t="shared" si="2"/>
        <v>56320.81</v>
      </c>
      <c r="J40" s="307">
        <f>I40-40777.32</f>
        <v>15543.489999999998</v>
      </c>
      <c r="K40" s="164" t="s">
        <v>9</v>
      </c>
      <c r="L40" s="138" t="s">
        <v>290</v>
      </c>
      <c r="M40" s="242"/>
      <c r="N40" s="137"/>
    </row>
    <row r="41" spans="2:14">
      <c r="B41" s="341" t="s">
        <v>73</v>
      </c>
      <c r="C41" s="342" t="s">
        <v>35</v>
      </c>
      <c r="D41" s="167" t="s">
        <v>40</v>
      </c>
      <c r="E41" s="168">
        <v>573952</v>
      </c>
      <c r="F41" s="343" t="s">
        <v>64</v>
      </c>
      <c r="G41" s="170">
        <v>7403.75</v>
      </c>
      <c r="H41" s="170">
        <v>1110.58</v>
      </c>
      <c r="I41" s="171">
        <f t="shared" si="2"/>
        <v>8514.33</v>
      </c>
      <c r="J41" s="244">
        <f t="shared" ref="J41:J47" si="3">I41-I41</f>
        <v>0</v>
      </c>
      <c r="K41" s="150" t="s">
        <v>9</v>
      </c>
      <c r="L41" s="332" t="s">
        <v>287</v>
      </c>
      <c r="M41" s="138"/>
      <c r="N41" s="137"/>
    </row>
    <row r="42" spans="2:14" s="328" customFormat="1">
      <c r="B42" s="172" t="s">
        <v>94</v>
      </c>
      <c r="C42" s="168" t="s">
        <v>35</v>
      </c>
      <c r="D42" s="167" t="s">
        <v>40</v>
      </c>
      <c r="E42" s="168">
        <v>575456</v>
      </c>
      <c r="F42" s="178" t="s">
        <v>64</v>
      </c>
      <c r="G42" s="170">
        <v>10470.1</v>
      </c>
      <c r="H42" s="170">
        <v>1570.52</v>
      </c>
      <c r="I42" s="171">
        <f t="shared" si="2"/>
        <v>12040.62</v>
      </c>
      <c r="J42" s="244">
        <f t="shared" si="3"/>
        <v>0</v>
      </c>
      <c r="K42" s="150" t="s">
        <v>9</v>
      </c>
      <c r="L42" s="332" t="s">
        <v>286</v>
      </c>
      <c r="M42" s="332"/>
      <c r="N42" s="333"/>
    </row>
    <row r="43" spans="2:14">
      <c r="B43" s="172" t="s">
        <v>94</v>
      </c>
      <c r="C43" s="168" t="s">
        <v>35</v>
      </c>
      <c r="D43" s="167" t="s">
        <v>40</v>
      </c>
      <c r="E43" s="168">
        <v>575535</v>
      </c>
      <c r="F43" s="178" t="s">
        <v>64</v>
      </c>
      <c r="G43" s="170">
        <v>1169.8</v>
      </c>
      <c r="H43" s="170">
        <v>175.47</v>
      </c>
      <c r="I43" s="171">
        <f t="shared" si="2"/>
        <v>1345.27</v>
      </c>
      <c r="J43" s="244">
        <f t="shared" si="3"/>
        <v>0</v>
      </c>
      <c r="K43" s="150" t="s">
        <v>9</v>
      </c>
      <c r="L43" s="332" t="s">
        <v>286</v>
      </c>
      <c r="M43" s="138"/>
      <c r="N43" s="137"/>
    </row>
    <row r="44" spans="2:14" s="328" customFormat="1">
      <c r="B44" s="174" t="s">
        <v>109</v>
      </c>
      <c r="C44" s="167" t="s">
        <v>35</v>
      </c>
      <c r="D44" s="167" t="s">
        <v>40</v>
      </c>
      <c r="E44" s="167">
        <v>577133</v>
      </c>
      <c r="F44" s="175" t="s">
        <v>64</v>
      </c>
      <c r="G44" s="176">
        <v>16820.75</v>
      </c>
      <c r="H44" s="176">
        <v>2523.13</v>
      </c>
      <c r="I44" s="177">
        <v>19343.88</v>
      </c>
      <c r="J44" s="244">
        <f t="shared" si="3"/>
        <v>0</v>
      </c>
      <c r="K44" s="152" t="s">
        <v>9</v>
      </c>
      <c r="L44" s="242" t="s">
        <v>74</v>
      </c>
      <c r="M44" s="332"/>
      <c r="N44" s="333"/>
    </row>
    <row r="45" spans="2:14">
      <c r="B45" s="172" t="s">
        <v>110</v>
      </c>
      <c r="C45" s="168" t="s">
        <v>35</v>
      </c>
      <c r="D45" s="167" t="s">
        <v>40</v>
      </c>
      <c r="E45" s="168">
        <v>577346</v>
      </c>
      <c r="F45" s="178" t="s">
        <v>64</v>
      </c>
      <c r="G45" s="170">
        <v>1490.4</v>
      </c>
      <c r="H45" s="170">
        <v>223.56</v>
      </c>
      <c r="I45" s="171">
        <f t="shared" ref="I45:I76" si="4">G45+H45</f>
        <v>1713.96</v>
      </c>
      <c r="J45" s="244">
        <f t="shared" si="3"/>
        <v>0</v>
      </c>
      <c r="K45" s="150" t="s">
        <v>9</v>
      </c>
      <c r="L45" s="332" t="s">
        <v>286</v>
      </c>
      <c r="M45" s="242"/>
      <c r="N45" s="137"/>
    </row>
    <row r="46" spans="2:14" s="328" customFormat="1">
      <c r="B46" s="172" t="s">
        <v>110</v>
      </c>
      <c r="C46" s="168" t="s">
        <v>35</v>
      </c>
      <c r="D46" s="167" t="s">
        <v>40</v>
      </c>
      <c r="E46" s="168">
        <v>577420</v>
      </c>
      <c r="F46" s="178" t="s">
        <v>64</v>
      </c>
      <c r="G46" s="170">
        <v>901.6</v>
      </c>
      <c r="H46" s="170">
        <v>135.24</v>
      </c>
      <c r="I46" s="171">
        <f t="shared" si="4"/>
        <v>1036.8400000000001</v>
      </c>
      <c r="J46" s="244">
        <f t="shared" si="3"/>
        <v>0</v>
      </c>
      <c r="K46" s="150" t="s">
        <v>9</v>
      </c>
      <c r="L46" s="332" t="s">
        <v>286</v>
      </c>
      <c r="M46" s="332"/>
      <c r="N46" s="333"/>
    </row>
    <row r="47" spans="2:14">
      <c r="B47" s="344" t="s">
        <v>113</v>
      </c>
      <c r="C47" s="345" t="s">
        <v>35</v>
      </c>
      <c r="D47" s="167" t="s">
        <v>40</v>
      </c>
      <c r="E47" s="168">
        <v>577983</v>
      </c>
      <c r="F47" s="346" t="s">
        <v>64</v>
      </c>
      <c r="G47" s="170">
        <v>8718.3799999999992</v>
      </c>
      <c r="H47" s="170">
        <v>1307.79</v>
      </c>
      <c r="I47" s="171">
        <f t="shared" si="4"/>
        <v>10026.169999999998</v>
      </c>
      <c r="J47" s="244">
        <f t="shared" si="3"/>
        <v>0</v>
      </c>
      <c r="K47" s="150" t="s">
        <v>9</v>
      </c>
      <c r="L47" s="332" t="s">
        <v>286</v>
      </c>
      <c r="M47" s="242"/>
      <c r="N47" s="137"/>
    </row>
    <row r="48" spans="2:14">
      <c r="B48" s="174" t="s">
        <v>82</v>
      </c>
      <c r="C48" s="167" t="s">
        <v>35</v>
      </c>
      <c r="D48" s="167" t="s">
        <v>34</v>
      </c>
      <c r="E48" s="167">
        <v>2868013</v>
      </c>
      <c r="F48" s="175" t="s">
        <v>64</v>
      </c>
      <c r="G48" s="176">
        <v>75577.41</v>
      </c>
      <c r="H48" s="176">
        <v>11336.61</v>
      </c>
      <c r="I48" s="177">
        <f t="shared" si="4"/>
        <v>86914.02</v>
      </c>
      <c r="J48" s="244">
        <v>0</v>
      </c>
      <c r="K48" s="152" t="s">
        <v>9</v>
      </c>
      <c r="L48" s="138" t="s">
        <v>321</v>
      </c>
      <c r="M48" s="138"/>
      <c r="N48" s="137"/>
    </row>
    <row r="49" spans="2:14">
      <c r="B49" s="172" t="s">
        <v>75</v>
      </c>
      <c r="C49" s="168" t="s">
        <v>35</v>
      </c>
      <c r="D49" s="167" t="s">
        <v>34</v>
      </c>
      <c r="E49" s="168">
        <v>2873115</v>
      </c>
      <c r="F49" s="178" t="s">
        <v>64</v>
      </c>
      <c r="G49" s="170">
        <v>4137.76</v>
      </c>
      <c r="H49" s="170">
        <v>620.66999999999996</v>
      </c>
      <c r="I49" s="171">
        <f t="shared" si="4"/>
        <v>4758.43</v>
      </c>
      <c r="J49" s="244">
        <f t="shared" ref="J49:J80" si="5">I49-I49</f>
        <v>0</v>
      </c>
      <c r="K49" s="150" t="s">
        <v>9</v>
      </c>
      <c r="L49" s="138" t="s">
        <v>74</v>
      </c>
      <c r="M49" s="138"/>
      <c r="N49" s="137"/>
    </row>
    <row r="50" spans="2:14">
      <c r="B50" s="218" t="s">
        <v>94</v>
      </c>
      <c r="C50" s="219" t="s">
        <v>35</v>
      </c>
      <c r="D50" s="167" t="s">
        <v>34</v>
      </c>
      <c r="E50" s="168">
        <v>2875470</v>
      </c>
      <c r="F50" s="220" t="s">
        <v>65</v>
      </c>
      <c r="G50" s="170">
        <v>8208.9599999999991</v>
      </c>
      <c r="H50" s="170">
        <v>1231.3399999999999</v>
      </c>
      <c r="I50" s="171">
        <f t="shared" si="4"/>
        <v>9440.2999999999993</v>
      </c>
      <c r="J50" s="244">
        <f t="shared" si="5"/>
        <v>0</v>
      </c>
      <c r="K50" s="150" t="s">
        <v>9</v>
      </c>
      <c r="L50" s="138" t="s">
        <v>74</v>
      </c>
      <c r="M50" s="138"/>
      <c r="N50" s="137"/>
    </row>
    <row r="51" spans="2:14">
      <c r="B51" s="221" t="s">
        <v>99</v>
      </c>
      <c r="C51" s="222" t="s">
        <v>35</v>
      </c>
      <c r="D51" s="167" t="s">
        <v>34</v>
      </c>
      <c r="E51" s="168">
        <v>276318</v>
      </c>
      <c r="F51" s="223" t="s">
        <v>64</v>
      </c>
      <c r="G51" s="170">
        <v>4336.7299999999996</v>
      </c>
      <c r="H51" s="170">
        <v>650.54</v>
      </c>
      <c r="I51" s="171">
        <f t="shared" si="4"/>
        <v>4987.2699999999995</v>
      </c>
      <c r="J51" s="244">
        <f t="shared" si="5"/>
        <v>0</v>
      </c>
      <c r="K51" s="150" t="s">
        <v>9</v>
      </c>
      <c r="L51" s="138" t="s">
        <v>74</v>
      </c>
      <c r="M51" s="138"/>
      <c r="N51" s="137"/>
    </row>
    <row r="52" spans="2:14">
      <c r="B52" s="172" t="s">
        <v>110</v>
      </c>
      <c r="C52" s="168" t="s">
        <v>35</v>
      </c>
      <c r="D52" s="167" t="s">
        <v>34</v>
      </c>
      <c r="E52" s="168">
        <v>2879030</v>
      </c>
      <c r="F52" s="178" t="s">
        <v>65</v>
      </c>
      <c r="G52" s="170">
        <v>3088.76</v>
      </c>
      <c r="H52" s="170">
        <v>463.31</v>
      </c>
      <c r="I52" s="171">
        <f t="shared" si="4"/>
        <v>3552.07</v>
      </c>
      <c r="J52" s="244">
        <f t="shared" si="5"/>
        <v>0</v>
      </c>
      <c r="K52" s="150" t="s">
        <v>9</v>
      </c>
      <c r="L52" s="138" t="s">
        <v>74</v>
      </c>
      <c r="M52" s="138"/>
      <c r="N52" s="137"/>
    </row>
    <row r="53" spans="2:14">
      <c r="B53" s="174" t="s">
        <v>112</v>
      </c>
      <c r="C53" s="167" t="s">
        <v>35</v>
      </c>
      <c r="D53" s="167" t="s">
        <v>34</v>
      </c>
      <c r="E53" s="167">
        <v>2879648</v>
      </c>
      <c r="F53" s="175" t="s">
        <v>64</v>
      </c>
      <c r="G53" s="176">
        <v>1733.65</v>
      </c>
      <c r="H53" s="176">
        <v>260.04000000000002</v>
      </c>
      <c r="I53" s="177">
        <f t="shared" si="4"/>
        <v>1993.69</v>
      </c>
      <c r="J53" s="244">
        <f t="shared" si="5"/>
        <v>0</v>
      </c>
      <c r="K53" s="152" t="s">
        <v>9</v>
      </c>
      <c r="L53" s="138" t="s">
        <v>74</v>
      </c>
      <c r="M53" s="138"/>
      <c r="N53" s="137"/>
    </row>
    <row r="54" spans="2:14" s="138" customFormat="1">
      <c r="B54" s="174" t="s">
        <v>113</v>
      </c>
      <c r="C54" s="167" t="s">
        <v>35</v>
      </c>
      <c r="D54" s="167" t="s">
        <v>34</v>
      </c>
      <c r="E54" s="167">
        <v>2879961</v>
      </c>
      <c r="F54" s="175" t="s">
        <v>64</v>
      </c>
      <c r="G54" s="176">
        <v>2031.92</v>
      </c>
      <c r="H54" s="176">
        <v>304.8</v>
      </c>
      <c r="I54" s="177">
        <f t="shared" si="4"/>
        <v>2336.7200000000003</v>
      </c>
      <c r="J54" s="244">
        <f t="shared" si="5"/>
        <v>0</v>
      </c>
      <c r="K54" s="152" t="s">
        <v>9</v>
      </c>
    </row>
    <row r="55" spans="2:14">
      <c r="B55" s="174" t="s">
        <v>36</v>
      </c>
      <c r="C55" s="167" t="s">
        <v>35</v>
      </c>
      <c r="D55" s="167" t="s">
        <v>37</v>
      </c>
      <c r="E55" s="167" t="s">
        <v>38</v>
      </c>
      <c r="F55" s="175" t="s">
        <v>64</v>
      </c>
      <c r="G55" s="176">
        <v>3396</v>
      </c>
      <c r="H55" s="176">
        <v>509.4</v>
      </c>
      <c r="I55" s="177">
        <f t="shared" si="4"/>
        <v>3905.4</v>
      </c>
      <c r="J55" s="244">
        <f t="shared" si="5"/>
        <v>0</v>
      </c>
      <c r="K55" s="164" t="s">
        <v>9</v>
      </c>
      <c r="L55" s="138" t="s">
        <v>74</v>
      </c>
      <c r="M55" s="138"/>
      <c r="N55" s="137"/>
    </row>
    <row r="56" spans="2:14">
      <c r="B56" s="132" t="s">
        <v>143</v>
      </c>
      <c r="C56" s="133" t="s">
        <v>42</v>
      </c>
      <c r="D56" s="134" t="s">
        <v>667</v>
      </c>
      <c r="E56" s="133">
        <v>256385</v>
      </c>
      <c r="F56" s="135" t="s">
        <v>65</v>
      </c>
      <c r="G56" s="136">
        <v>2047</v>
      </c>
      <c r="H56" s="136">
        <v>307.05</v>
      </c>
      <c r="I56" s="105">
        <f t="shared" si="4"/>
        <v>2354.0500000000002</v>
      </c>
      <c r="J56" s="244">
        <f t="shared" si="5"/>
        <v>0</v>
      </c>
      <c r="K56" s="150" t="b">
        <v>0</v>
      </c>
      <c r="L56" s="242"/>
      <c r="M56" s="138"/>
      <c r="N56" s="137"/>
    </row>
    <row r="57" spans="2:14">
      <c r="B57" s="132"/>
      <c r="C57" s="133"/>
      <c r="D57" s="134"/>
      <c r="E57" s="133"/>
      <c r="F57" s="135"/>
      <c r="G57" s="136"/>
      <c r="H57" s="136"/>
      <c r="I57" s="105">
        <f t="shared" si="4"/>
        <v>0</v>
      </c>
      <c r="J57" s="244">
        <f t="shared" si="5"/>
        <v>0</v>
      </c>
      <c r="K57" s="150" t="b">
        <v>0</v>
      </c>
      <c r="L57" s="138"/>
      <c r="M57" s="138"/>
      <c r="N57" s="137"/>
    </row>
    <row r="58" spans="2:14">
      <c r="B58" s="132"/>
      <c r="C58" s="133"/>
      <c r="D58" s="134"/>
      <c r="E58" s="133"/>
      <c r="F58" s="135"/>
      <c r="G58" s="136"/>
      <c r="H58" s="136"/>
      <c r="I58" s="105">
        <f t="shared" si="4"/>
        <v>0</v>
      </c>
      <c r="J58" s="244">
        <f t="shared" si="5"/>
        <v>0</v>
      </c>
      <c r="K58" s="150" t="b">
        <v>0</v>
      </c>
      <c r="L58" s="138"/>
      <c r="M58" s="138"/>
      <c r="N58" s="137"/>
    </row>
    <row r="59" spans="2:14">
      <c r="B59" s="132"/>
      <c r="C59" s="133"/>
      <c r="D59" s="134"/>
      <c r="E59" s="133"/>
      <c r="F59" s="135"/>
      <c r="G59" s="136"/>
      <c r="H59" s="136"/>
      <c r="I59" s="105">
        <f t="shared" si="4"/>
        <v>0</v>
      </c>
      <c r="J59" s="244">
        <f t="shared" si="5"/>
        <v>0</v>
      </c>
      <c r="K59" s="150" t="b">
        <v>0</v>
      </c>
      <c r="L59" s="138"/>
      <c r="M59" s="138"/>
      <c r="N59" s="137"/>
    </row>
    <row r="60" spans="2:14">
      <c r="B60" s="132"/>
      <c r="C60" s="133"/>
      <c r="D60" s="134"/>
      <c r="E60" s="133"/>
      <c r="F60" s="135"/>
      <c r="G60" s="136"/>
      <c r="H60" s="136"/>
      <c r="I60" s="105">
        <f t="shared" si="4"/>
        <v>0</v>
      </c>
      <c r="J60" s="244">
        <f t="shared" si="5"/>
        <v>0</v>
      </c>
      <c r="K60" s="150" t="b">
        <v>0</v>
      </c>
      <c r="L60" s="138"/>
      <c r="M60" s="138"/>
      <c r="N60" s="137"/>
    </row>
    <row r="61" spans="2:14">
      <c r="B61" s="132"/>
      <c r="C61" s="133"/>
      <c r="D61" s="134"/>
      <c r="E61" s="133"/>
      <c r="F61" s="135"/>
      <c r="G61" s="136"/>
      <c r="H61" s="136"/>
      <c r="I61" s="105">
        <f t="shared" si="4"/>
        <v>0</v>
      </c>
      <c r="J61" s="244">
        <f t="shared" si="5"/>
        <v>0</v>
      </c>
      <c r="K61" s="150" t="b">
        <v>0</v>
      </c>
      <c r="L61" s="138"/>
      <c r="M61" s="138"/>
      <c r="N61" s="137"/>
    </row>
    <row r="62" spans="2:14">
      <c r="B62" s="132"/>
      <c r="C62" s="133"/>
      <c r="D62" s="134"/>
      <c r="E62" s="133"/>
      <c r="F62" s="135"/>
      <c r="G62" s="136"/>
      <c r="H62" s="136"/>
      <c r="I62" s="105">
        <f t="shared" si="4"/>
        <v>0</v>
      </c>
      <c r="J62" s="244">
        <f t="shared" si="5"/>
        <v>0</v>
      </c>
      <c r="K62" s="150" t="b">
        <v>0</v>
      </c>
      <c r="L62" s="138"/>
      <c r="M62" s="138"/>
      <c r="N62" s="137"/>
    </row>
    <row r="63" spans="2:14">
      <c r="B63" s="132"/>
      <c r="C63" s="133"/>
      <c r="D63" s="134"/>
      <c r="E63" s="133"/>
      <c r="F63" s="135"/>
      <c r="G63" s="136"/>
      <c r="H63" s="136"/>
      <c r="I63" s="105">
        <f t="shared" si="4"/>
        <v>0</v>
      </c>
      <c r="J63" s="244">
        <f t="shared" si="5"/>
        <v>0</v>
      </c>
      <c r="K63" s="150" t="b">
        <v>0</v>
      </c>
      <c r="L63" s="138"/>
      <c r="M63" s="138"/>
      <c r="N63" s="137"/>
    </row>
    <row r="64" spans="2:14">
      <c r="B64" s="132"/>
      <c r="C64" s="133"/>
      <c r="D64" s="134"/>
      <c r="E64" s="133"/>
      <c r="F64" s="135"/>
      <c r="G64" s="136"/>
      <c r="H64" s="136"/>
      <c r="I64" s="105">
        <f t="shared" si="4"/>
        <v>0</v>
      </c>
      <c r="J64" s="244">
        <f t="shared" si="5"/>
        <v>0</v>
      </c>
      <c r="K64" s="150" t="b">
        <v>0</v>
      </c>
      <c r="L64" s="138"/>
      <c r="M64" s="138"/>
      <c r="N64" s="137"/>
    </row>
    <row r="65" spans="2:14">
      <c r="B65" s="132"/>
      <c r="C65" s="133"/>
      <c r="D65" s="134"/>
      <c r="E65" s="133"/>
      <c r="F65" s="135"/>
      <c r="G65" s="136"/>
      <c r="H65" s="136"/>
      <c r="I65" s="105">
        <f t="shared" si="4"/>
        <v>0</v>
      </c>
      <c r="J65" s="244">
        <f t="shared" si="5"/>
        <v>0</v>
      </c>
      <c r="K65" s="150" t="b">
        <v>0</v>
      </c>
      <c r="L65" s="138"/>
      <c r="M65" s="138"/>
      <c r="N65" s="137"/>
    </row>
    <row r="66" spans="2:14">
      <c r="B66" s="132"/>
      <c r="C66" s="133"/>
      <c r="D66" s="134"/>
      <c r="E66" s="133"/>
      <c r="F66" s="135"/>
      <c r="G66" s="136"/>
      <c r="H66" s="136"/>
      <c r="I66" s="105">
        <f t="shared" si="4"/>
        <v>0</v>
      </c>
      <c r="J66" s="244">
        <f t="shared" si="5"/>
        <v>0</v>
      </c>
      <c r="K66" s="150" t="b">
        <v>0</v>
      </c>
      <c r="L66" s="138"/>
      <c r="M66" s="138"/>
      <c r="N66" s="137"/>
    </row>
    <row r="67" spans="2:14">
      <c r="B67" s="132"/>
      <c r="C67" s="133"/>
      <c r="D67" s="134"/>
      <c r="E67" s="133"/>
      <c r="F67" s="135"/>
      <c r="G67" s="136"/>
      <c r="H67" s="136"/>
      <c r="I67" s="105">
        <f t="shared" si="4"/>
        <v>0</v>
      </c>
      <c r="J67" s="244">
        <f t="shared" si="5"/>
        <v>0</v>
      </c>
      <c r="K67" s="150" t="b">
        <v>0</v>
      </c>
      <c r="L67" s="138"/>
      <c r="M67" s="138"/>
      <c r="N67" s="137"/>
    </row>
    <row r="68" spans="2:14">
      <c r="B68" s="132"/>
      <c r="C68" s="133"/>
      <c r="D68" s="134"/>
      <c r="E68" s="133"/>
      <c r="F68" s="135"/>
      <c r="G68" s="136"/>
      <c r="H68" s="136"/>
      <c r="I68" s="105">
        <f t="shared" si="4"/>
        <v>0</v>
      </c>
      <c r="J68" s="244">
        <f t="shared" si="5"/>
        <v>0</v>
      </c>
      <c r="K68" s="150" t="b">
        <v>0</v>
      </c>
      <c r="L68" s="138"/>
      <c r="M68" s="138"/>
      <c r="N68" s="137"/>
    </row>
    <row r="69" spans="2:14">
      <c r="B69" s="132"/>
      <c r="C69" s="133"/>
      <c r="D69" s="134"/>
      <c r="E69" s="133"/>
      <c r="F69" s="135"/>
      <c r="G69" s="136"/>
      <c r="H69" s="136"/>
      <c r="I69" s="105">
        <f t="shared" si="4"/>
        <v>0</v>
      </c>
      <c r="J69" s="244">
        <f t="shared" si="5"/>
        <v>0</v>
      </c>
      <c r="K69" s="150" t="b">
        <v>0</v>
      </c>
      <c r="L69" s="138"/>
      <c r="M69" s="138"/>
      <c r="N69" s="137"/>
    </row>
    <row r="70" spans="2:14">
      <c r="B70" s="132"/>
      <c r="C70" s="133"/>
      <c r="D70" s="134"/>
      <c r="E70" s="133"/>
      <c r="F70" s="135"/>
      <c r="G70" s="136"/>
      <c r="H70" s="136"/>
      <c r="I70" s="105">
        <f t="shared" si="4"/>
        <v>0</v>
      </c>
      <c r="J70" s="244">
        <f t="shared" si="5"/>
        <v>0</v>
      </c>
      <c r="K70" s="150" t="b">
        <v>0</v>
      </c>
      <c r="L70" s="138"/>
      <c r="M70" s="138"/>
      <c r="N70" s="137"/>
    </row>
    <row r="71" spans="2:14">
      <c r="B71" s="132"/>
      <c r="C71" s="133"/>
      <c r="D71" s="134"/>
      <c r="E71" s="133"/>
      <c r="F71" s="135"/>
      <c r="G71" s="136"/>
      <c r="H71" s="136"/>
      <c r="I71" s="105">
        <f t="shared" si="4"/>
        <v>0</v>
      </c>
      <c r="J71" s="244">
        <f t="shared" si="5"/>
        <v>0</v>
      </c>
      <c r="K71" s="150" t="b">
        <v>0</v>
      </c>
      <c r="L71" s="138"/>
      <c r="M71" s="138"/>
      <c r="N71" s="137"/>
    </row>
    <row r="72" spans="2:14">
      <c r="B72" s="132"/>
      <c r="C72" s="133"/>
      <c r="D72" s="134"/>
      <c r="E72" s="133"/>
      <c r="F72" s="135"/>
      <c r="G72" s="136"/>
      <c r="H72" s="136"/>
      <c r="I72" s="105">
        <f t="shared" si="4"/>
        <v>0</v>
      </c>
      <c r="J72" s="244">
        <f t="shared" si="5"/>
        <v>0</v>
      </c>
      <c r="K72" s="150" t="b">
        <v>0</v>
      </c>
      <c r="L72" s="138"/>
      <c r="M72" s="138"/>
      <c r="N72" s="137"/>
    </row>
    <row r="73" spans="2:14">
      <c r="B73" s="132"/>
      <c r="C73" s="133"/>
      <c r="D73" s="134"/>
      <c r="E73" s="133"/>
      <c r="F73" s="135"/>
      <c r="G73" s="136"/>
      <c r="H73" s="136"/>
      <c r="I73" s="105">
        <f t="shared" si="4"/>
        <v>0</v>
      </c>
      <c r="J73" s="244">
        <f t="shared" si="5"/>
        <v>0</v>
      </c>
      <c r="K73" s="150" t="b">
        <v>0</v>
      </c>
      <c r="L73" s="138"/>
      <c r="M73" s="138"/>
      <c r="N73" s="137"/>
    </row>
    <row r="74" spans="2:14">
      <c r="B74" s="132"/>
      <c r="C74" s="133"/>
      <c r="D74" s="134"/>
      <c r="E74" s="133"/>
      <c r="F74" s="135"/>
      <c r="G74" s="136"/>
      <c r="H74" s="136"/>
      <c r="I74" s="105">
        <f t="shared" si="4"/>
        <v>0</v>
      </c>
      <c r="J74" s="244">
        <f t="shared" si="5"/>
        <v>0</v>
      </c>
      <c r="K74" s="150" t="b">
        <v>0</v>
      </c>
      <c r="L74" s="138"/>
      <c r="M74" s="138"/>
      <c r="N74" s="137"/>
    </row>
    <row r="75" spans="2:14">
      <c r="B75" s="132"/>
      <c r="C75" s="133"/>
      <c r="D75" s="134"/>
      <c r="E75" s="133"/>
      <c r="F75" s="135"/>
      <c r="G75" s="136"/>
      <c r="H75" s="136"/>
      <c r="I75" s="105">
        <f t="shared" si="4"/>
        <v>0</v>
      </c>
      <c r="J75" s="244">
        <f t="shared" si="5"/>
        <v>0</v>
      </c>
      <c r="K75" s="150" t="b">
        <v>0</v>
      </c>
      <c r="L75" s="138"/>
      <c r="M75" s="138"/>
      <c r="N75" s="137"/>
    </row>
    <row r="76" spans="2:14">
      <c r="B76" s="132"/>
      <c r="C76" s="133"/>
      <c r="D76" s="134"/>
      <c r="E76" s="133"/>
      <c r="F76" s="135"/>
      <c r="G76" s="136"/>
      <c r="H76" s="136"/>
      <c r="I76" s="105">
        <f t="shared" si="4"/>
        <v>0</v>
      </c>
      <c r="J76" s="244">
        <f t="shared" si="5"/>
        <v>0</v>
      </c>
      <c r="K76" s="150" t="b">
        <v>0</v>
      </c>
      <c r="L76" s="138"/>
      <c r="M76" s="138"/>
      <c r="N76" s="137"/>
    </row>
    <row r="77" spans="2:14">
      <c r="B77" s="132"/>
      <c r="C77" s="133"/>
      <c r="D77" s="134"/>
      <c r="E77" s="133"/>
      <c r="F77" s="135"/>
      <c r="G77" s="136"/>
      <c r="H77" s="136"/>
      <c r="I77" s="105">
        <f t="shared" ref="I77:I108" si="6">G77+H77</f>
        <v>0</v>
      </c>
      <c r="J77" s="244">
        <f t="shared" si="5"/>
        <v>0</v>
      </c>
      <c r="K77" s="150" t="b">
        <v>0</v>
      </c>
      <c r="L77" s="138"/>
      <c r="M77" s="138"/>
      <c r="N77" s="137"/>
    </row>
    <row r="78" spans="2:14">
      <c r="B78" s="132"/>
      <c r="C78" s="133"/>
      <c r="D78" s="134"/>
      <c r="E78" s="133"/>
      <c r="F78" s="135"/>
      <c r="G78" s="136"/>
      <c r="H78" s="136"/>
      <c r="I78" s="105">
        <f t="shared" si="6"/>
        <v>0</v>
      </c>
      <c r="J78" s="244">
        <f t="shared" si="5"/>
        <v>0</v>
      </c>
      <c r="K78" s="150" t="b">
        <v>0</v>
      </c>
      <c r="L78" s="138"/>
      <c r="M78" s="138"/>
      <c r="N78" s="137"/>
    </row>
    <row r="79" spans="2:14">
      <c r="B79" s="132"/>
      <c r="C79" s="133"/>
      <c r="D79" s="134"/>
      <c r="E79" s="133"/>
      <c r="F79" s="135"/>
      <c r="G79" s="136"/>
      <c r="H79" s="136"/>
      <c r="I79" s="105">
        <f t="shared" si="6"/>
        <v>0</v>
      </c>
      <c r="J79" s="244">
        <f t="shared" si="5"/>
        <v>0</v>
      </c>
      <c r="K79" s="150" t="b">
        <v>0</v>
      </c>
      <c r="L79" s="138"/>
      <c r="M79" s="138"/>
      <c r="N79" s="137"/>
    </row>
    <row r="80" spans="2:14">
      <c r="B80" s="132"/>
      <c r="C80" s="133"/>
      <c r="D80" s="134"/>
      <c r="E80" s="133"/>
      <c r="F80" s="135"/>
      <c r="G80" s="136"/>
      <c r="H80" s="136"/>
      <c r="I80" s="105">
        <f t="shared" si="6"/>
        <v>0</v>
      </c>
      <c r="J80" s="244">
        <f t="shared" si="5"/>
        <v>0</v>
      </c>
      <c r="K80" s="150" t="b">
        <v>0</v>
      </c>
      <c r="L80" s="138"/>
      <c r="M80" s="138"/>
      <c r="N80" s="137"/>
    </row>
    <row r="81" spans="2:14">
      <c r="B81" s="132"/>
      <c r="C81" s="133"/>
      <c r="D81" s="134"/>
      <c r="E81" s="133"/>
      <c r="F81" s="135"/>
      <c r="G81" s="136"/>
      <c r="H81" s="136"/>
      <c r="I81" s="105">
        <f t="shared" si="6"/>
        <v>0</v>
      </c>
      <c r="J81" s="244">
        <f t="shared" ref="J81:J112" si="7">I81-I81</f>
        <v>0</v>
      </c>
      <c r="K81" s="150" t="b">
        <v>0</v>
      </c>
      <c r="L81" s="138"/>
      <c r="M81" s="138"/>
      <c r="N81" s="137"/>
    </row>
    <row r="82" spans="2:14">
      <c r="B82" s="132"/>
      <c r="C82" s="133"/>
      <c r="D82" s="134"/>
      <c r="E82" s="133"/>
      <c r="F82" s="135"/>
      <c r="G82" s="136"/>
      <c r="H82" s="136"/>
      <c r="I82" s="105">
        <f t="shared" si="6"/>
        <v>0</v>
      </c>
      <c r="J82" s="244">
        <f t="shared" si="7"/>
        <v>0</v>
      </c>
      <c r="K82" s="150" t="b">
        <v>0</v>
      </c>
      <c r="L82" s="138"/>
      <c r="M82" s="138"/>
      <c r="N82" s="137"/>
    </row>
    <row r="83" spans="2:14">
      <c r="B83" s="132"/>
      <c r="C83" s="133"/>
      <c r="D83" s="134"/>
      <c r="E83" s="133"/>
      <c r="F83" s="135"/>
      <c r="G83" s="136"/>
      <c r="H83" s="136"/>
      <c r="I83" s="105">
        <f t="shared" si="6"/>
        <v>0</v>
      </c>
      <c r="J83" s="244">
        <f t="shared" si="7"/>
        <v>0</v>
      </c>
      <c r="K83" s="150" t="b">
        <v>0</v>
      </c>
      <c r="L83" s="138"/>
      <c r="M83" s="138"/>
      <c r="N83" s="137"/>
    </row>
    <row r="84" spans="2:14">
      <c r="B84" s="132"/>
      <c r="C84" s="133"/>
      <c r="D84" s="134"/>
      <c r="E84" s="133"/>
      <c r="F84" s="135"/>
      <c r="G84" s="136"/>
      <c r="H84" s="136"/>
      <c r="I84" s="105">
        <f t="shared" si="6"/>
        <v>0</v>
      </c>
      <c r="J84" s="244">
        <f t="shared" si="7"/>
        <v>0</v>
      </c>
      <c r="K84" s="150" t="b">
        <v>0</v>
      </c>
      <c r="L84" s="138"/>
      <c r="M84" s="138"/>
      <c r="N84" s="137"/>
    </row>
    <row r="85" spans="2:14">
      <c r="B85" s="132"/>
      <c r="C85" s="133"/>
      <c r="D85" s="134"/>
      <c r="E85" s="133"/>
      <c r="F85" s="135"/>
      <c r="G85" s="136"/>
      <c r="H85" s="136"/>
      <c r="I85" s="105">
        <f t="shared" si="6"/>
        <v>0</v>
      </c>
      <c r="J85" s="244">
        <f t="shared" si="7"/>
        <v>0</v>
      </c>
      <c r="K85" s="150" t="b">
        <v>0</v>
      </c>
      <c r="L85" s="138"/>
      <c r="M85" s="138"/>
      <c r="N85" s="137"/>
    </row>
    <row r="86" spans="2:14">
      <c r="B86" s="132"/>
      <c r="C86" s="133"/>
      <c r="D86" s="134"/>
      <c r="E86" s="133"/>
      <c r="F86" s="135"/>
      <c r="G86" s="136"/>
      <c r="H86" s="136"/>
      <c r="I86" s="105">
        <f t="shared" si="6"/>
        <v>0</v>
      </c>
      <c r="J86" s="244">
        <f t="shared" si="7"/>
        <v>0</v>
      </c>
      <c r="K86" s="150" t="b">
        <v>0</v>
      </c>
      <c r="L86" s="138"/>
      <c r="M86" s="138"/>
      <c r="N86" s="137"/>
    </row>
    <row r="87" spans="2:14">
      <c r="B87" s="132"/>
      <c r="C87" s="133"/>
      <c r="D87" s="134"/>
      <c r="E87" s="133"/>
      <c r="F87" s="135"/>
      <c r="G87" s="136"/>
      <c r="H87" s="136"/>
      <c r="I87" s="105">
        <f t="shared" si="6"/>
        <v>0</v>
      </c>
      <c r="J87" s="244">
        <f t="shared" si="7"/>
        <v>0</v>
      </c>
      <c r="K87" s="150" t="b">
        <v>0</v>
      </c>
      <c r="L87" s="138"/>
      <c r="M87" s="138"/>
      <c r="N87" s="137"/>
    </row>
    <row r="88" spans="2:14">
      <c r="B88" s="132"/>
      <c r="C88" s="133"/>
      <c r="D88" s="134"/>
      <c r="E88" s="133"/>
      <c r="F88" s="135"/>
      <c r="G88" s="136"/>
      <c r="H88" s="136"/>
      <c r="I88" s="105">
        <f t="shared" si="6"/>
        <v>0</v>
      </c>
      <c r="J88" s="244">
        <f t="shared" si="7"/>
        <v>0</v>
      </c>
      <c r="K88" s="150" t="b">
        <v>0</v>
      </c>
      <c r="L88" s="138"/>
      <c r="M88" s="138"/>
      <c r="N88" s="137"/>
    </row>
    <row r="89" spans="2:14">
      <c r="B89" s="132"/>
      <c r="C89" s="133"/>
      <c r="D89" s="134"/>
      <c r="E89" s="133"/>
      <c r="F89" s="135"/>
      <c r="G89" s="136"/>
      <c r="H89" s="136"/>
      <c r="I89" s="105">
        <f t="shared" si="6"/>
        <v>0</v>
      </c>
      <c r="J89" s="244">
        <f t="shared" si="7"/>
        <v>0</v>
      </c>
      <c r="K89" s="150" t="b">
        <v>0</v>
      </c>
      <c r="L89" s="138"/>
      <c r="M89" s="138"/>
      <c r="N89" s="137"/>
    </row>
    <row r="90" spans="2:14">
      <c r="B90" s="132"/>
      <c r="C90" s="133"/>
      <c r="D90" s="134"/>
      <c r="E90" s="133"/>
      <c r="F90" s="135"/>
      <c r="G90" s="136"/>
      <c r="H90" s="136"/>
      <c r="I90" s="105">
        <f t="shared" si="6"/>
        <v>0</v>
      </c>
      <c r="J90" s="244">
        <f t="shared" si="7"/>
        <v>0</v>
      </c>
      <c r="K90" s="150" t="b">
        <v>0</v>
      </c>
      <c r="L90" s="138"/>
      <c r="M90" s="138"/>
      <c r="N90" s="137"/>
    </row>
    <row r="91" spans="2:14">
      <c r="B91" s="132"/>
      <c r="C91" s="133"/>
      <c r="D91" s="134"/>
      <c r="E91" s="133"/>
      <c r="F91" s="135"/>
      <c r="G91" s="136"/>
      <c r="H91" s="136"/>
      <c r="I91" s="105">
        <f t="shared" si="6"/>
        <v>0</v>
      </c>
      <c r="J91" s="244">
        <f t="shared" si="7"/>
        <v>0</v>
      </c>
      <c r="K91" s="150" t="b">
        <v>0</v>
      </c>
      <c r="L91" s="138"/>
      <c r="M91" s="138"/>
      <c r="N91" s="137"/>
    </row>
    <row r="92" spans="2:14">
      <c r="B92" s="132"/>
      <c r="C92" s="133"/>
      <c r="D92" s="134"/>
      <c r="E92" s="133"/>
      <c r="F92" s="135"/>
      <c r="G92" s="136"/>
      <c r="H92" s="136"/>
      <c r="I92" s="105">
        <f t="shared" si="6"/>
        <v>0</v>
      </c>
      <c r="J92" s="244">
        <f t="shared" si="7"/>
        <v>0</v>
      </c>
      <c r="K92" s="150" t="b">
        <v>0</v>
      </c>
      <c r="L92" s="138"/>
      <c r="M92" s="138"/>
      <c r="N92" s="137"/>
    </row>
    <row r="93" spans="2:14">
      <c r="B93" s="132"/>
      <c r="C93" s="133"/>
      <c r="D93" s="134"/>
      <c r="E93" s="133"/>
      <c r="F93" s="135"/>
      <c r="G93" s="136"/>
      <c r="H93" s="136"/>
      <c r="I93" s="105">
        <f t="shared" si="6"/>
        <v>0</v>
      </c>
      <c r="J93" s="244">
        <f t="shared" si="7"/>
        <v>0</v>
      </c>
      <c r="K93" s="150" t="b">
        <v>0</v>
      </c>
      <c r="L93" s="138"/>
      <c r="M93" s="138"/>
      <c r="N93" s="137"/>
    </row>
    <row r="94" spans="2:14">
      <c r="B94" s="132"/>
      <c r="C94" s="133"/>
      <c r="D94" s="134"/>
      <c r="E94" s="133"/>
      <c r="F94" s="135"/>
      <c r="G94" s="136"/>
      <c r="H94" s="136"/>
      <c r="I94" s="105">
        <f t="shared" si="6"/>
        <v>0</v>
      </c>
      <c r="J94" s="244">
        <f t="shared" si="7"/>
        <v>0</v>
      </c>
      <c r="K94" s="150" t="b">
        <v>0</v>
      </c>
      <c r="L94" s="138"/>
      <c r="M94" s="138"/>
      <c r="N94" s="137"/>
    </row>
    <row r="95" spans="2:14">
      <c r="B95" s="132"/>
      <c r="C95" s="133"/>
      <c r="D95" s="134"/>
      <c r="E95" s="133"/>
      <c r="F95" s="135"/>
      <c r="G95" s="136"/>
      <c r="H95" s="136"/>
      <c r="I95" s="105">
        <f t="shared" si="6"/>
        <v>0</v>
      </c>
      <c r="J95" s="244">
        <f t="shared" si="7"/>
        <v>0</v>
      </c>
      <c r="K95" s="150" t="b">
        <v>0</v>
      </c>
      <c r="L95" s="138"/>
      <c r="M95" s="138"/>
      <c r="N95" s="137"/>
    </row>
    <row r="96" spans="2:14">
      <c r="B96" s="132"/>
      <c r="C96" s="133"/>
      <c r="D96" s="134"/>
      <c r="E96" s="133"/>
      <c r="F96" s="135"/>
      <c r="G96" s="136"/>
      <c r="H96" s="136"/>
      <c r="I96" s="105">
        <f t="shared" si="6"/>
        <v>0</v>
      </c>
      <c r="J96" s="244">
        <f t="shared" si="7"/>
        <v>0</v>
      </c>
      <c r="K96" s="150" t="b">
        <v>0</v>
      </c>
      <c r="L96" s="138"/>
      <c r="M96" s="138"/>
      <c r="N96" s="137"/>
    </row>
    <row r="97" spans="2:14">
      <c r="B97" s="132"/>
      <c r="C97" s="133"/>
      <c r="D97" s="134"/>
      <c r="E97" s="133"/>
      <c r="F97" s="135"/>
      <c r="G97" s="136"/>
      <c r="H97" s="136"/>
      <c r="I97" s="105">
        <f t="shared" si="6"/>
        <v>0</v>
      </c>
      <c r="J97" s="244">
        <f t="shared" si="7"/>
        <v>0</v>
      </c>
      <c r="K97" s="150" t="b">
        <v>0</v>
      </c>
      <c r="L97" s="138"/>
      <c r="M97" s="138"/>
      <c r="N97" s="137"/>
    </row>
    <row r="98" spans="2:14">
      <c r="B98" s="132"/>
      <c r="C98" s="133"/>
      <c r="D98" s="134"/>
      <c r="E98" s="133"/>
      <c r="F98" s="135"/>
      <c r="G98" s="136"/>
      <c r="H98" s="136"/>
      <c r="I98" s="105">
        <f t="shared" si="6"/>
        <v>0</v>
      </c>
      <c r="J98" s="244">
        <f t="shared" si="7"/>
        <v>0</v>
      </c>
      <c r="K98" s="150" t="b">
        <v>0</v>
      </c>
      <c r="L98" s="138"/>
      <c r="M98" s="138"/>
      <c r="N98" s="137"/>
    </row>
    <row r="99" spans="2:14">
      <c r="B99" s="132"/>
      <c r="C99" s="133"/>
      <c r="D99" s="134"/>
      <c r="E99" s="133"/>
      <c r="F99" s="135"/>
      <c r="G99" s="136"/>
      <c r="H99" s="136"/>
      <c r="I99" s="105">
        <f t="shared" si="6"/>
        <v>0</v>
      </c>
      <c r="J99" s="244">
        <f t="shared" si="7"/>
        <v>0</v>
      </c>
      <c r="K99" s="150" t="b">
        <v>0</v>
      </c>
      <c r="L99" s="138"/>
      <c r="M99" s="138"/>
      <c r="N99" s="137"/>
    </row>
    <row r="100" spans="2:14">
      <c r="B100" s="132"/>
      <c r="C100" s="133"/>
      <c r="D100" s="134"/>
      <c r="E100" s="133"/>
      <c r="F100" s="135"/>
      <c r="G100" s="136"/>
      <c r="H100" s="136"/>
      <c r="I100" s="105">
        <f t="shared" si="6"/>
        <v>0</v>
      </c>
      <c r="J100" s="244">
        <f t="shared" si="7"/>
        <v>0</v>
      </c>
      <c r="K100" s="150" t="b">
        <v>0</v>
      </c>
      <c r="L100" s="138"/>
      <c r="M100" s="138"/>
      <c r="N100" s="137"/>
    </row>
    <row r="101" spans="2:14">
      <c r="B101" s="132"/>
      <c r="C101" s="133"/>
      <c r="D101" s="134"/>
      <c r="E101" s="133"/>
      <c r="F101" s="135"/>
      <c r="G101" s="136"/>
      <c r="H101" s="136"/>
      <c r="I101" s="105">
        <f t="shared" si="6"/>
        <v>0</v>
      </c>
      <c r="J101" s="244">
        <f t="shared" si="7"/>
        <v>0</v>
      </c>
      <c r="K101" s="150" t="b">
        <v>0</v>
      </c>
      <c r="L101" s="138"/>
      <c r="M101" s="138"/>
      <c r="N101" s="137"/>
    </row>
    <row r="102" spans="2:14">
      <c r="B102" s="132"/>
      <c r="C102" s="133"/>
      <c r="D102" s="134"/>
      <c r="E102" s="133"/>
      <c r="F102" s="135"/>
      <c r="G102" s="136"/>
      <c r="H102" s="136"/>
      <c r="I102" s="105">
        <f t="shared" si="6"/>
        <v>0</v>
      </c>
      <c r="J102" s="244">
        <f t="shared" si="7"/>
        <v>0</v>
      </c>
      <c r="K102" s="150" t="b">
        <v>0</v>
      </c>
      <c r="L102" s="138"/>
      <c r="M102" s="138"/>
      <c r="N102" s="137"/>
    </row>
    <row r="103" spans="2:14">
      <c r="B103" s="132"/>
      <c r="C103" s="133"/>
      <c r="D103" s="134"/>
      <c r="E103" s="133"/>
      <c r="F103" s="135"/>
      <c r="G103" s="136"/>
      <c r="H103" s="136"/>
      <c r="I103" s="105">
        <f t="shared" si="6"/>
        <v>0</v>
      </c>
      <c r="J103" s="244">
        <f t="shared" si="7"/>
        <v>0</v>
      </c>
      <c r="K103" s="150" t="b">
        <v>0</v>
      </c>
      <c r="L103" s="138"/>
      <c r="M103" s="138"/>
      <c r="N103" s="137"/>
    </row>
    <row r="104" spans="2:14">
      <c r="B104" s="132"/>
      <c r="C104" s="133"/>
      <c r="D104" s="134"/>
      <c r="E104" s="133"/>
      <c r="F104" s="135"/>
      <c r="G104" s="136"/>
      <c r="H104" s="136"/>
      <c r="I104" s="105">
        <f t="shared" si="6"/>
        <v>0</v>
      </c>
      <c r="J104" s="244">
        <f t="shared" si="7"/>
        <v>0</v>
      </c>
      <c r="K104" s="150" t="b">
        <v>0</v>
      </c>
      <c r="L104" s="138"/>
      <c r="M104" s="138"/>
      <c r="N104" s="137"/>
    </row>
    <row r="105" spans="2:14">
      <c r="B105" s="132"/>
      <c r="C105" s="133"/>
      <c r="D105" s="134"/>
      <c r="E105" s="133"/>
      <c r="F105" s="135"/>
      <c r="G105" s="136"/>
      <c r="H105" s="136"/>
      <c r="I105" s="105">
        <f t="shared" si="6"/>
        <v>0</v>
      </c>
      <c r="J105" s="244">
        <f t="shared" si="7"/>
        <v>0</v>
      </c>
      <c r="K105" s="150" t="b">
        <v>0</v>
      </c>
      <c r="L105" s="138"/>
      <c r="M105" s="138"/>
      <c r="N105" s="137"/>
    </row>
    <row r="106" spans="2:14">
      <c r="B106" s="132"/>
      <c r="C106" s="133"/>
      <c r="D106" s="134"/>
      <c r="E106" s="133"/>
      <c r="F106" s="135"/>
      <c r="G106" s="136"/>
      <c r="H106" s="136"/>
      <c r="I106" s="105">
        <f t="shared" si="6"/>
        <v>0</v>
      </c>
      <c r="J106" s="244">
        <f t="shared" si="7"/>
        <v>0</v>
      </c>
      <c r="K106" s="150" t="b">
        <v>0</v>
      </c>
      <c r="L106" s="138"/>
      <c r="M106" s="138"/>
      <c r="N106" s="137"/>
    </row>
    <row r="107" spans="2:14">
      <c r="B107" s="132"/>
      <c r="C107" s="133"/>
      <c r="D107" s="134"/>
      <c r="E107" s="133"/>
      <c r="F107" s="135"/>
      <c r="G107" s="136"/>
      <c r="H107" s="136"/>
      <c r="I107" s="105">
        <f t="shared" si="6"/>
        <v>0</v>
      </c>
      <c r="J107" s="244">
        <f t="shared" si="7"/>
        <v>0</v>
      </c>
      <c r="K107" s="150" t="b">
        <v>0</v>
      </c>
      <c r="L107" s="138"/>
      <c r="M107" s="138"/>
      <c r="N107" s="137"/>
    </row>
    <row r="108" spans="2:14">
      <c r="B108" s="132"/>
      <c r="C108" s="133"/>
      <c r="D108" s="134"/>
      <c r="E108" s="133"/>
      <c r="F108" s="135"/>
      <c r="G108" s="136"/>
      <c r="H108" s="136"/>
      <c r="I108" s="105">
        <f t="shared" si="6"/>
        <v>0</v>
      </c>
      <c r="J108" s="244">
        <f t="shared" si="7"/>
        <v>0</v>
      </c>
      <c r="K108" s="150" t="b">
        <v>0</v>
      </c>
      <c r="L108" s="138"/>
      <c r="M108" s="138"/>
      <c r="N108" s="137"/>
    </row>
    <row r="109" spans="2:14">
      <c r="B109" s="132"/>
      <c r="C109" s="133"/>
      <c r="D109" s="134"/>
      <c r="E109" s="133"/>
      <c r="F109" s="135"/>
      <c r="G109" s="136"/>
      <c r="H109" s="136"/>
      <c r="I109" s="105">
        <f t="shared" ref="I109:I118" si="8">G109+H109</f>
        <v>0</v>
      </c>
      <c r="J109" s="244">
        <f t="shared" si="7"/>
        <v>0</v>
      </c>
      <c r="K109" s="150" t="b">
        <v>0</v>
      </c>
      <c r="L109" s="138"/>
      <c r="M109" s="138"/>
      <c r="N109" s="137"/>
    </row>
    <row r="110" spans="2:14">
      <c r="B110" s="132"/>
      <c r="C110" s="133"/>
      <c r="D110" s="134"/>
      <c r="E110" s="133"/>
      <c r="F110" s="135"/>
      <c r="G110" s="136"/>
      <c r="H110" s="136"/>
      <c r="I110" s="105">
        <f t="shared" si="8"/>
        <v>0</v>
      </c>
      <c r="J110" s="244">
        <f t="shared" si="7"/>
        <v>0</v>
      </c>
      <c r="K110" s="150" t="b">
        <v>0</v>
      </c>
      <c r="L110" s="138"/>
      <c r="M110" s="138"/>
      <c r="N110" s="137"/>
    </row>
    <row r="111" spans="2:14">
      <c r="B111" s="132"/>
      <c r="C111" s="133"/>
      <c r="D111" s="134"/>
      <c r="E111" s="133"/>
      <c r="F111" s="135"/>
      <c r="G111" s="136"/>
      <c r="H111" s="136"/>
      <c r="I111" s="105">
        <f t="shared" si="8"/>
        <v>0</v>
      </c>
      <c r="J111" s="244">
        <f t="shared" si="7"/>
        <v>0</v>
      </c>
      <c r="K111" s="150" t="b">
        <v>0</v>
      </c>
      <c r="L111" s="138"/>
      <c r="M111" s="138"/>
      <c r="N111" s="137"/>
    </row>
    <row r="112" spans="2:14">
      <c r="B112" s="132"/>
      <c r="C112" s="133"/>
      <c r="D112" s="134"/>
      <c r="E112" s="133"/>
      <c r="F112" s="135"/>
      <c r="G112" s="136"/>
      <c r="H112" s="136"/>
      <c r="I112" s="105">
        <f t="shared" si="8"/>
        <v>0</v>
      </c>
      <c r="J112" s="244">
        <f t="shared" si="7"/>
        <v>0</v>
      </c>
      <c r="K112" s="150" t="b">
        <v>0</v>
      </c>
      <c r="L112" s="138"/>
      <c r="M112" s="138"/>
      <c r="N112" s="137"/>
    </row>
    <row r="113" spans="2:14">
      <c r="B113" s="132"/>
      <c r="C113" s="133"/>
      <c r="D113" s="134"/>
      <c r="E113" s="133"/>
      <c r="F113" s="135"/>
      <c r="G113" s="136"/>
      <c r="H113" s="136"/>
      <c r="I113" s="105">
        <f t="shared" si="8"/>
        <v>0</v>
      </c>
      <c r="J113" s="244">
        <f t="shared" ref="J113:J118" si="9">I113-I113</f>
        <v>0</v>
      </c>
      <c r="K113" s="150" t="b">
        <v>0</v>
      </c>
      <c r="L113" s="138"/>
      <c r="M113" s="138"/>
      <c r="N113" s="137"/>
    </row>
    <row r="114" spans="2:14">
      <c r="B114" s="132"/>
      <c r="C114" s="133"/>
      <c r="D114" s="134"/>
      <c r="E114" s="133"/>
      <c r="F114" s="135"/>
      <c r="G114" s="136"/>
      <c r="H114" s="136"/>
      <c r="I114" s="105">
        <f t="shared" si="8"/>
        <v>0</v>
      </c>
      <c r="J114" s="244">
        <f t="shared" si="9"/>
        <v>0</v>
      </c>
      <c r="K114" s="150" t="b">
        <v>0</v>
      </c>
      <c r="L114" s="138"/>
      <c r="M114" s="138"/>
      <c r="N114" s="137"/>
    </row>
    <row r="115" spans="2:14">
      <c r="B115" s="132"/>
      <c r="C115" s="133"/>
      <c r="D115" s="134"/>
      <c r="E115" s="133"/>
      <c r="F115" s="135"/>
      <c r="G115" s="136"/>
      <c r="H115" s="136"/>
      <c r="I115" s="105">
        <f t="shared" si="8"/>
        <v>0</v>
      </c>
      <c r="J115" s="244">
        <f t="shared" si="9"/>
        <v>0</v>
      </c>
      <c r="K115" s="150" t="b">
        <v>0</v>
      </c>
      <c r="L115" s="138"/>
      <c r="M115" s="138"/>
      <c r="N115" s="137"/>
    </row>
    <row r="116" spans="2:14">
      <c r="B116" s="132"/>
      <c r="C116" s="133"/>
      <c r="D116" s="134"/>
      <c r="E116" s="133"/>
      <c r="F116" s="135"/>
      <c r="G116" s="136"/>
      <c r="H116" s="136"/>
      <c r="I116" s="105">
        <f t="shared" si="8"/>
        <v>0</v>
      </c>
      <c r="J116" s="244">
        <f t="shared" si="9"/>
        <v>0</v>
      </c>
      <c r="K116" s="150" t="b">
        <v>0</v>
      </c>
      <c r="L116" s="138"/>
      <c r="M116" s="138"/>
      <c r="N116" s="137"/>
    </row>
    <row r="117" spans="2:14">
      <c r="B117" s="132"/>
      <c r="C117" s="133"/>
      <c r="D117" s="134"/>
      <c r="E117" s="133"/>
      <c r="F117" s="135"/>
      <c r="G117" s="136"/>
      <c r="H117" s="136"/>
      <c r="I117" s="105">
        <f t="shared" si="8"/>
        <v>0</v>
      </c>
      <c r="J117" s="244">
        <f t="shared" si="9"/>
        <v>0</v>
      </c>
      <c r="K117" s="150" t="b">
        <v>0</v>
      </c>
      <c r="L117" s="138"/>
      <c r="M117" s="138"/>
      <c r="N117" s="137"/>
    </row>
    <row r="118" spans="2:14">
      <c r="B118" s="132"/>
      <c r="C118" s="133"/>
      <c r="D118" s="134"/>
      <c r="E118" s="133"/>
      <c r="F118" s="135"/>
      <c r="G118" s="136"/>
      <c r="H118" s="136"/>
      <c r="I118" s="105">
        <f t="shared" si="8"/>
        <v>0</v>
      </c>
      <c r="J118" s="244">
        <f t="shared" si="9"/>
        <v>0</v>
      </c>
      <c r="K118" s="150" t="b">
        <v>0</v>
      </c>
      <c r="L118" s="138"/>
      <c r="M118" s="138"/>
      <c r="N118" s="137"/>
    </row>
    <row r="119" spans="2:14" ht="15.75" thickBot="1">
      <c r="B119" s="139"/>
      <c r="G119" s="141">
        <f>SUM(G8:G113)</f>
        <v>2007911.3299999998</v>
      </c>
      <c r="H119" s="141">
        <f>SUM(H8:H113)</f>
        <v>46792.020000000011</v>
      </c>
      <c r="I119" s="141">
        <f>SUM(I8:I111)</f>
        <v>2054703.3500000003</v>
      </c>
      <c r="J119" s="141">
        <f>SUM(J8:J118)</f>
        <v>15543.489999999998</v>
      </c>
      <c r="K119" s="142"/>
      <c r="L119" s="138"/>
      <c r="M119" s="138"/>
    </row>
    <row r="120" spans="2:14" ht="16.5" thickTop="1" thickBot="1">
      <c r="B120" s="143"/>
      <c r="C120" s="144"/>
      <c r="D120" s="145"/>
      <c r="E120" s="144"/>
      <c r="F120" s="144"/>
      <c r="G120" s="146"/>
      <c r="H120" s="146"/>
      <c r="I120" s="147"/>
      <c r="J120" s="119"/>
      <c r="L120" s="138"/>
      <c r="M120" s="138"/>
    </row>
  </sheetData>
  <autoFilter ref="B8:L119" xr:uid="{CBA47302-96C5-4262-931D-59537E878DCF}">
    <sortState xmlns:xlrd2="http://schemas.microsoft.com/office/spreadsheetml/2017/richdata2" ref="B9:L119">
      <sortCondition ref="D8:D119"/>
    </sortState>
  </autoFilter>
  <mergeCells count="3">
    <mergeCell ref="B1:I1"/>
    <mergeCell ref="B3:I3"/>
    <mergeCell ref="C5:E5"/>
  </mergeCells>
  <conditionalFormatting sqref="K1:K1048576">
    <cfRule type="containsText" dxfId="29" priority="1" operator="containsText" text="FALSE">
      <formula>NOT(ISERROR(SEARCH("FALSE",K1)))</formula>
    </cfRule>
    <cfRule type="containsText" dxfId="28" priority="2" operator="containsText" text="TRUE">
      <formula>NOT(ISERROR(SEARCH("TRUE",K1)))</formula>
    </cfRule>
  </conditionalFormatting>
  <pageMargins left="0.7" right="0.7" top="0.75" bottom="0.75" header="0.3" footer="0.3"/>
  <pageSetup paperSize="9" scale="74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789EE-B347-40D1-ACDD-2B033C4966DB}">
  <dimension ref="A1:H28"/>
  <sheetViews>
    <sheetView workbookViewId="0">
      <selection activeCell="K12" sqref="K12"/>
    </sheetView>
  </sheetViews>
  <sheetFormatPr defaultRowHeight="15"/>
  <cols>
    <col min="4" max="4" width="10" bestFit="1" customWidth="1"/>
    <col min="6" max="6" width="11.7109375" bestFit="1" customWidth="1"/>
    <col min="7" max="7" width="10.7109375" bestFit="1" customWidth="1"/>
    <col min="8" max="8" width="11.7109375" bestFit="1" customWidth="1"/>
  </cols>
  <sheetData>
    <row r="1" spans="1:8">
      <c r="A1" s="159" t="s">
        <v>115</v>
      </c>
      <c r="B1" s="160" t="s">
        <v>35</v>
      </c>
      <c r="C1" s="160" t="s">
        <v>79</v>
      </c>
      <c r="D1" s="160">
        <v>223661</v>
      </c>
      <c r="E1" s="161" t="s">
        <v>65</v>
      </c>
      <c r="F1" s="162">
        <v>367.84</v>
      </c>
      <c r="G1" s="162">
        <v>55.18</v>
      </c>
      <c r="H1" s="163">
        <f t="shared" ref="H1:H6" si="0">F1+G1</f>
        <v>423.02</v>
      </c>
    </row>
    <row r="2" spans="1:8">
      <c r="A2" s="159" t="s">
        <v>115</v>
      </c>
      <c r="B2" s="160" t="s">
        <v>42</v>
      </c>
      <c r="C2" s="160" t="s">
        <v>135</v>
      </c>
      <c r="D2" s="160" t="s">
        <v>136</v>
      </c>
      <c r="E2" s="161" t="s">
        <v>138</v>
      </c>
      <c r="F2" s="162">
        <v>6200</v>
      </c>
      <c r="G2" s="162"/>
      <c r="H2" s="163">
        <f t="shared" si="0"/>
        <v>6200</v>
      </c>
    </row>
    <row r="3" spans="1:8">
      <c r="A3" s="159" t="s">
        <v>139</v>
      </c>
      <c r="B3" s="160" t="s">
        <v>35</v>
      </c>
      <c r="C3" s="160" t="s">
        <v>140</v>
      </c>
      <c r="D3" s="160">
        <v>131620814</v>
      </c>
      <c r="E3" s="161" t="s">
        <v>64</v>
      </c>
      <c r="F3" s="162">
        <v>11121.96</v>
      </c>
      <c r="G3" s="162">
        <v>1571.99</v>
      </c>
      <c r="H3" s="163">
        <f t="shared" si="0"/>
        <v>12693.949999999999</v>
      </c>
    </row>
    <row r="4" spans="1:8">
      <c r="A4" s="159" t="s">
        <v>139</v>
      </c>
      <c r="B4" s="160" t="s">
        <v>35</v>
      </c>
      <c r="C4" s="160" t="s">
        <v>76</v>
      </c>
      <c r="D4" s="160">
        <v>11446675</v>
      </c>
      <c r="E4" s="161" t="s">
        <v>64</v>
      </c>
      <c r="F4" s="162">
        <v>2910.27</v>
      </c>
      <c r="G4" s="162">
        <v>436.54</v>
      </c>
      <c r="H4" s="163">
        <f t="shared" si="0"/>
        <v>3346.81</v>
      </c>
    </row>
    <row r="5" spans="1:8">
      <c r="A5" s="159" t="s">
        <v>143</v>
      </c>
      <c r="B5" s="160" t="s">
        <v>35</v>
      </c>
      <c r="C5" s="160" t="s">
        <v>79</v>
      </c>
      <c r="D5" s="160">
        <v>223947</v>
      </c>
      <c r="E5" s="161" t="s">
        <v>65</v>
      </c>
      <c r="F5" s="162">
        <v>417.69</v>
      </c>
      <c r="G5" s="162">
        <v>62.65</v>
      </c>
      <c r="H5" s="163">
        <f t="shared" si="0"/>
        <v>480.34</v>
      </c>
    </row>
    <row r="6" spans="1:8">
      <c r="A6" s="159" t="s">
        <v>115</v>
      </c>
      <c r="B6" s="160" t="s">
        <v>42</v>
      </c>
      <c r="C6" s="160" t="s">
        <v>72</v>
      </c>
      <c r="D6" s="160">
        <v>40629</v>
      </c>
      <c r="E6" s="161" t="s">
        <v>65</v>
      </c>
      <c r="F6" s="162">
        <v>1198</v>
      </c>
      <c r="G6" s="162">
        <v>179.7</v>
      </c>
      <c r="H6" s="163">
        <f t="shared" si="0"/>
        <v>1377.7</v>
      </c>
    </row>
    <row r="8" spans="1:8">
      <c r="H8" s="358" t="e" cm="1">
        <f t="array" ref="H8">H1+H5+January!I36+January!I</f>
        <v>#NAME?</v>
      </c>
    </row>
    <row r="10" spans="1:8">
      <c r="A10" s="355"/>
      <c r="B10" s="355"/>
      <c r="C10" s="355"/>
      <c r="D10" s="355"/>
      <c r="E10" s="355"/>
      <c r="F10" s="355"/>
      <c r="G10" s="355"/>
      <c r="H10" s="355"/>
    </row>
    <row r="11" spans="1:8">
      <c r="A11" s="363" t="s">
        <v>208</v>
      </c>
      <c r="B11" s="233" t="s">
        <v>35</v>
      </c>
      <c r="C11" s="233" t="s">
        <v>159</v>
      </c>
      <c r="D11" s="233">
        <v>2883312</v>
      </c>
      <c r="E11" s="234" t="s">
        <v>64</v>
      </c>
      <c r="F11" s="235">
        <v>6957.08</v>
      </c>
      <c r="G11" s="235">
        <v>1043.56</v>
      </c>
      <c r="H11" s="364">
        <v>8000.64</v>
      </c>
    </row>
    <row r="12" spans="1:8">
      <c r="A12" s="363" t="s">
        <v>208</v>
      </c>
      <c r="B12" s="233" t="s">
        <v>35</v>
      </c>
      <c r="C12" s="233" t="s">
        <v>159</v>
      </c>
      <c r="D12" s="233">
        <v>2883118</v>
      </c>
      <c r="E12" s="234" t="s">
        <v>64</v>
      </c>
      <c r="F12" s="235">
        <v>612.16</v>
      </c>
      <c r="G12" s="235">
        <v>91.82</v>
      </c>
      <c r="H12" s="364">
        <v>703.98</v>
      </c>
    </row>
    <row r="13" spans="1:8">
      <c r="A13" s="363" t="s">
        <v>208</v>
      </c>
      <c r="B13" s="233" t="s">
        <v>35</v>
      </c>
      <c r="C13" s="233" t="s">
        <v>171</v>
      </c>
      <c r="D13" s="233">
        <v>67807</v>
      </c>
      <c r="E13" s="234" t="s">
        <v>65</v>
      </c>
      <c r="F13" s="235">
        <v>5936.82</v>
      </c>
      <c r="G13" s="235">
        <v>890.52</v>
      </c>
      <c r="H13" s="364">
        <v>6827.34</v>
      </c>
    </row>
    <row r="14" spans="1:8">
      <c r="A14" s="363" t="s">
        <v>217</v>
      </c>
      <c r="B14" s="233" t="s">
        <v>35</v>
      </c>
      <c r="C14" s="233" t="s">
        <v>159</v>
      </c>
      <c r="D14" s="233">
        <v>2883693</v>
      </c>
      <c r="E14" s="234" t="s">
        <v>65</v>
      </c>
      <c r="F14" s="235">
        <v>3530.02</v>
      </c>
      <c r="G14" s="235">
        <v>529.5</v>
      </c>
      <c r="H14" s="364">
        <v>4059.52</v>
      </c>
    </row>
    <row r="15" spans="1:8">
      <c r="A15" s="363" t="s">
        <v>280</v>
      </c>
      <c r="B15" s="233" t="s">
        <v>35</v>
      </c>
      <c r="C15" s="233" t="s">
        <v>163</v>
      </c>
      <c r="D15" s="233">
        <v>224922</v>
      </c>
      <c r="E15" s="234" t="s">
        <v>65</v>
      </c>
      <c r="F15" s="235">
        <v>809.48</v>
      </c>
      <c r="G15" s="235">
        <v>121.44</v>
      </c>
      <c r="H15" s="364">
        <v>930.92000000000007</v>
      </c>
    </row>
    <row r="16" spans="1:8">
      <c r="A16" s="363" t="s">
        <v>280</v>
      </c>
      <c r="B16" s="233" t="s">
        <v>35</v>
      </c>
      <c r="C16" s="365" t="s">
        <v>281</v>
      </c>
      <c r="D16" s="233">
        <v>38275</v>
      </c>
      <c r="E16" s="234" t="s">
        <v>64</v>
      </c>
      <c r="F16" s="235">
        <v>1379.46</v>
      </c>
      <c r="G16" s="235">
        <v>185.92</v>
      </c>
      <c r="H16" s="364">
        <v>1565.38</v>
      </c>
    </row>
    <row r="17" spans="1:8">
      <c r="A17" s="363" t="s">
        <v>280</v>
      </c>
      <c r="B17" s="233" t="s">
        <v>35</v>
      </c>
      <c r="C17" s="233" t="s">
        <v>284</v>
      </c>
      <c r="D17" s="233">
        <v>1448423</v>
      </c>
      <c r="E17" s="234" t="s">
        <v>64</v>
      </c>
      <c r="F17" s="235">
        <v>2848.85</v>
      </c>
      <c r="G17" s="235">
        <v>427.35</v>
      </c>
      <c r="H17" s="364">
        <v>3276.2</v>
      </c>
    </row>
    <row r="18" spans="1:8">
      <c r="A18" s="363" t="s">
        <v>285</v>
      </c>
      <c r="B18" s="233" t="s">
        <v>35</v>
      </c>
      <c r="C18" s="233" t="s">
        <v>159</v>
      </c>
      <c r="D18" s="233">
        <v>2886687</v>
      </c>
      <c r="E18" s="234" t="s">
        <v>64</v>
      </c>
      <c r="F18" s="235">
        <v>2786.65</v>
      </c>
      <c r="G18" s="235">
        <v>417.99</v>
      </c>
      <c r="H18" s="364">
        <v>3204.6400000000003</v>
      </c>
    </row>
    <row r="19" spans="1:8">
      <c r="A19" s="363" t="s">
        <v>285</v>
      </c>
      <c r="B19" s="233" t="s">
        <v>35</v>
      </c>
      <c r="C19" s="233" t="s">
        <v>159</v>
      </c>
      <c r="D19" s="233">
        <v>2886631</v>
      </c>
      <c r="E19" s="234" t="s">
        <v>64</v>
      </c>
      <c r="F19" s="235">
        <v>250.5</v>
      </c>
      <c r="G19" s="235">
        <v>37.58</v>
      </c>
      <c r="H19" s="364">
        <v>288.08</v>
      </c>
    </row>
    <row r="20" spans="1:8">
      <c r="A20" s="363" t="s">
        <v>285</v>
      </c>
      <c r="B20" s="233" t="s">
        <v>35</v>
      </c>
      <c r="C20" s="233" t="s">
        <v>159</v>
      </c>
      <c r="D20" s="233">
        <v>2886688</v>
      </c>
      <c r="E20" s="234" t="s">
        <v>64</v>
      </c>
      <c r="F20" s="235">
        <v>392.56</v>
      </c>
      <c r="G20" s="235">
        <v>58.88</v>
      </c>
      <c r="H20" s="364">
        <v>451.44</v>
      </c>
    </row>
    <row r="21" spans="1:8">
      <c r="A21" s="363" t="s">
        <v>285</v>
      </c>
      <c r="B21" s="233" t="s">
        <v>35</v>
      </c>
      <c r="C21" s="233" t="s">
        <v>159</v>
      </c>
      <c r="D21" s="233">
        <v>2886689</v>
      </c>
      <c r="E21" s="234" t="s">
        <v>64</v>
      </c>
      <c r="F21" s="235">
        <v>8212.85</v>
      </c>
      <c r="G21" s="235">
        <v>1231.96</v>
      </c>
      <c r="H21" s="364">
        <v>9444.8100000000013</v>
      </c>
    </row>
    <row r="22" spans="1:8">
      <c r="A22" s="363" t="s">
        <v>288</v>
      </c>
      <c r="B22" s="233" t="s">
        <v>42</v>
      </c>
      <c r="C22" s="233" t="s">
        <v>294</v>
      </c>
      <c r="D22" s="233">
        <v>40660</v>
      </c>
      <c r="E22" s="234" t="s">
        <v>65</v>
      </c>
      <c r="F22" s="235">
        <v>238</v>
      </c>
      <c r="G22" s="235">
        <v>35.700000000000003</v>
      </c>
      <c r="H22" s="364">
        <v>273.7</v>
      </c>
    </row>
    <row r="23" spans="1:8">
      <c r="A23" s="363" t="s">
        <v>295</v>
      </c>
      <c r="B23" s="233" t="s">
        <v>35</v>
      </c>
      <c r="C23" s="233" t="s">
        <v>140</v>
      </c>
      <c r="D23" s="233">
        <v>131904796</v>
      </c>
      <c r="E23" s="234" t="s">
        <v>64</v>
      </c>
      <c r="F23" s="235">
        <v>1099.76</v>
      </c>
      <c r="G23" s="235">
        <v>91.71</v>
      </c>
      <c r="H23" s="364">
        <v>1191.47</v>
      </c>
    </row>
    <row r="24" spans="1:8">
      <c r="A24" s="363" t="s">
        <v>295</v>
      </c>
      <c r="B24" s="233" t="s">
        <v>35</v>
      </c>
      <c r="C24" s="233" t="s">
        <v>163</v>
      </c>
      <c r="D24" s="233">
        <v>225521</v>
      </c>
      <c r="E24" s="234" t="s">
        <v>65</v>
      </c>
      <c r="F24" s="235"/>
      <c r="G24" s="235"/>
      <c r="H24" s="364">
        <v>930</v>
      </c>
    </row>
    <row r="25" spans="1:8">
      <c r="A25" s="363" t="s">
        <v>295</v>
      </c>
      <c r="B25" s="233" t="s">
        <v>42</v>
      </c>
      <c r="C25" s="233" t="s">
        <v>297</v>
      </c>
      <c r="D25" s="233"/>
      <c r="E25" s="234"/>
      <c r="F25" s="235">
        <v>8950</v>
      </c>
      <c r="G25" s="235">
        <v>1342.5</v>
      </c>
      <c r="H25" s="364">
        <v>10292.5</v>
      </c>
    </row>
    <row r="26" spans="1:8">
      <c r="A26" s="363" t="s">
        <v>295</v>
      </c>
      <c r="B26" s="233" t="s">
        <v>35</v>
      </c>
      <c r="C26" s="233" t="s">
        <v>159</v>
      </c>
      <c r="D26" s="233">
        <v>2887098</v>
      </c>
      <c r="E26" s="234" t="s">
        <v>64</v>
      </c>
      <c r="F26" s="235">
        <v>10118.42</v>
      </c>
      <c r="G26" s="235">
        <v>1517.8</v>
      </c>
      <c r="H26" s="364">
        <v>11636.22</v>
      </c>
    </row>
    <row r="27" spans="1:8">
      <c r="A27" s="363" t="s">
        <v>307</v>
      </c>
      <c r="B27" s="233" t="s">
        <v>35</v>
      </c>
      <c r="C27" s="233" t="s">
        <v>129</v>
      </c>
      <c r="D27" s="233">
        <v>583572</v>
      </c>
      <c r="E27" s="234" t="s">
        <v>64</v>
      </c>
      <c r="F27" s="235">
        <v>17746.43</v>
      </c>
      <c r="G27" s="235">
        <v>2647.89</v>
      </c>
      <c r="H27" s="364">
        <v>20394.32</v>
      </c>
    </row>
    <row r="28" spans="1:8">
      <c r="H28" s="358">
        <f>SUM(H11:H27)</f>
        <v>83471.16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2A65F-D2AD-47F0-B895-22283432BB91}">
  <dimension ref="B1:M120"/>
  <sheetViews>
    <sheetView topLeftCell="B25" workbookViewId="0">
      <selection activeCell="D25" sqref="D25"/>
    </sheetView>
  </sheetViews>
  <sheetFormatPr defaultColWidth="8.5703125" defaultRowHeight="15"/>
  <cols>
    <col min="1" max="1" width="3.140625" style="107" customWidth="1"/>
    <col min="2" max="2" width="29.5703125" style="148" customWidth="1"/>
    <col min="3" max="3" width="14.42578125" style="107" customWidth="1"/>
    <col min="4" max="4" width="38.42578125" style="140" bestFit="1" customWidth="1"/>
    <col min="5" max="5" width="20.42578125" style="107" customWidth="1"/>
    <col min="6" max="6" width="17.140625" style="107" customWidth="1"/>
    <col min="7" max="8" width="15.42578125" style="149" customWidth="1"/>
    <col min="9" max="9" width="17" style="149" customWidth="1"/>
    <col min="10" max="10" width="15.42578125" style="121" customWidth="1"/>
    <col min="11" max="11" width="41.140625" style="107" customWidth="1"/>
    <col min="12" max="12" width="12.85546875" style="107" bestFit="1" customWidth="1"/>
    <col min="13" max="13" width="28.140625" style="107" customWidth="1"/>
    <col min="14" max="14" width="48.42578125" style="107" customWidth="1"/>
    <col min="15" max="15" width="9.85546875" style="107" customWidth="1"/>
    <col min="16" max="16384" width="8.5703125" style="107"/>
  </cols>
  <sheetData>
    <row r="1" spans="2:13" ht="9" customHeight="1" thickBot="1">
      <c r="B1" s="772"/>
      <c r="C1" s="772"/>
      <c r="D1" s="772"/>
      <c r="E1" s="772"/>
      <c r="F1" s="772"/>
      <c r="G1" s="772"/>
      <c r="H1" s="772"/>
      <c r="I1" s="772"/>
      <c r="J1" s="106"/>
    </row>
    <row r="2" spans="2:13" ht="9" customHeight="1">
      <c r="B2" s="108"/>
      <c r="C2" s="109"/>
      <c r="D2" s="110"/>
      <c r="E2" s="109"/>
      <c r="F2" s="109"/>
      <c r="G2" s="111"/>
      <c r="H2" s="111"/>
      <c r="I2" s="112"/>
      <c r="J2" s="113"/>
    </row>
    <row r="3" spans="2:13">
      <c r="B3" s="773" t="s">
        <v>70</v>
      </c>
      <c r="C3" s="774"/>
      <c r="D3" s="774"/>
      <c r="E3" s="774"/>
      <c r="F3" s="774"/>
      <c r="G3" s="774"/>
      <c r="H3" s="774"/>
      <c r="I3" s="775"/>
      <c r="J3" s="114"/>
    </row>
    <row r="4" spans="2:13">
      <c r="B4" s="115"/>
      <c r="C4" s="106"/>
      <c r="D4" s="116"/>
      <c r="E4" s="106"/>
      <c r="F4" s="106"/>
      <c r="G4" s="117"/>
      <c r="H4" s="117"/>
      <c r="I4" s="118"/>
      <c r="J4" s="113"/>
    </row>
    <row r="5" spans="2:13">
      <c r="B5" s="115" t="s">
        <v>0</v>
      </c>
      <c r="C5" s="776" t="s">
        <v>32</v>
      </c>
      <c r="D5" s="777"/>
      <c r="E5" s="777"/>
      <c r="G5" s="119"/>
      <c r="H5" s="119"/>
      <c r="I5" s="120"/>
    </row>
    <row r="6" spans="2:13">
      <c r="B6" s="122" t="s">
        <v>1</v>
      </c>
      <c r="C6" s="123" t="s">
        <v>2</v>
      </c>
      <c r="D6" s="124" t="s">
        <v>3</v>
      </c>
      <c r="E6" s="125" t="s">
        <v>4</v>
      </c>
      <c r="F6" s="124" t="s">
        <v>5</v>
      </c>
      <c r="G6" s="126" t="s">
        <v>6</v>
      </c>
      <c r="H6" s="126" t="s">
        <v>7</v>
      </c>
      <c r="I6" s="127" t="s">
        <v>8</v>
      </c>
      <c r="J6" s="128" t="s">
        <v>9</v>
      </c>
      <c r="K6" s="128" t="s">
        <v>33</v>
      </c>
      <c r="L6" s="129"/>
      <c r="M6" s="129"/>
    </row>
    <row r="7" spans="2:13">
      <c r="B7" s="130"/>
      <c r="C7" s="123"/>
      <c r="D7" s="124"/>
      <c r="E7" s="125"/>
      <c r="F7" s="124"/>
      <c r="G7" s="126"/>
      <c r="H7" s="126"/>
      <c r="I7" s="131"/>
      <c r="J7" s="128"/>
      <c r="K7" s="128"/>
      <c r="L7" s="129"/>
      <c r="M7" s="129"/>
    </row>
    <row r="8" spans="2:13">
      <c r="B8" s="193" t="s">
        <v>107</v>
      </c>
      <c r="C8" s="202" t="s">
        <v>42</v>
      </c>
      <c r="D8" s="194" t="s">
        <v>108</v>
      </c>
      <c r="E8" s="125"/>
      <c r="F8" s="124"/>
      <c r="G8" s="195">
        <f>543+520+2133.66+300+1000.06+1200.19+1200.07+517.5</f>
        <v>7414.48</v>
      </c>
      <c r="H8" s="126"/>
      <c r="I8" s="131"/>
      <c r="J8" s="128"/>
      <c r="K8" s="128"/>
      <c r="L8" s="129"/>
      <c r="M8" s="129"/>
    </row>
    <row r="9" spans="2:13">
      <c r="B9" s="193" t="s">
        <v>117</v>
      </c>
      <c r="C9" s="202" t="s">
        <v>42</v>
      </c>
      <c r="D9" s="194" t="s">
        <v>118</v>
      </c>
      <c r="E9" s="203">
        <v>227153</v>
      </c>
      <c r="F9" s="194" t="s">
        <v>65</v>
      </c>
      <c r="G9" s="195"/>
      <c r="H9" s="126"/>
      <c r="I9" s="204">
        <v>63213.85</v>
      </c>
      <c r="J9" s="205" t="s">
        <v>9</v>
      </c>
      <c r="K9" s="206" t="s">
        <v>119</v>
      </c>
      <c r="L9" s="129"/>
      <c r="M9" s="129"/>
    </row>
    <row r="10" spans="2:13">
      <c r="B10" s="132" t="s">
        <v>36</v>
      </c>
      <c r="C10" s="133" t="s">
        <v>42</v>
      </c>
      <c r="D10" s="134" t="s">
        <v>48</v>
      </c>
      <c r="E10" s="133"/>
      <c r="F10" s="155" t="s">
        <v>50</v>
      </c>
      <c r="G10" s="136">
        <v>1098</v>
      </c>
      <c r="H10" s="136"/>
      <c r="I10" s="105">
        <f>G10+H10</f>
        <v>1098</v>
      </c>
      <c r="J10" s="152" t="s">
        <v>9</v>
      </c>
      <c r="K10" s="138" t="s">
        <v>49</v>
      </c>
      <c r="L10" s="138"/>
      <c r="M10" s="137"/>
    </row>
    <row r="11" spans="2:13">
      <c r="B11" s="153" t="s">
        <v>36</v>
      </c>
      <c r="C11" s="154" t="s">
        <v>42</v>
      </c>
      <c r="D11" s="134" t="s">
        <v>51</v>
      </c>
      <c r="E11" s="133">
        <v>51134</v>
      </c>
      <c r="F11" s="155" t="s">
        <v>52</v>
      </c>
      <c r="G11" s="136">
        <v>596.91999999999996</v>
      </c>
      <c r="H11" s="136"/>
      <c r="I11" s="105">
        <f>G11+H11</f>
        <v>596.91999999999996</v>
      </c>
      <c r="J11" s="152" t="s">
        <v>9</v>
      </c>
      <c r="K11" s="138" t="s">
        <v>49</v>
      </c>
      <c r="L11" s="138"/>
      <c r="M11" s="137"/>
    </row>
    <row r="12" spans="2:13">
      <c r="B12" s="151" t="s">
        <v>39</v>
      </c>
      <c r="C12" s="133" t="s">
        <v>42</v>
      </c>
      <c r="D12" s="134" t="s">
        <v>71</v>
      </c>
      <c r="E12" s="133">
        <v>4493</v>
      </c>
      <c r="F12" s="155" t="s">
        <v>65</v>
      </c>
      <c r="G12" s="136">
        <v>2789.28</v>
      </c>
      <c r="H12" s="136">
        <v>418.39</v>
      </c>
      <c r="I12" s="105">
        <f t="shared" ref="I12:I71" si="0">G12+H12</f>
        <v>3207.67</v>
      </c>
      <c r="J12" s="152" t="s">
        <v>9</v>
      </c>
      <c r="K12" s="138" t="s">
        <v>74</v>
      </c>
      <c r="L12" s="138"/>
      <c r="M12" s="137"/>
    </row>
    <row r="13" spans="2:13">
      <c r="B13" s="153" t="s">
        <v>39</v>
      </c>
      <c r="C13" s="154" t="s">
        <v>42</v>
      </c>
      <c r="D13" s="134" t="s">
        <v>53</v>
      </c>
      <c r="E13" s="133">
        <v>11</v>
      </c>
      <c r="F13" s="155" t="s">
        <v>54</v>
      </c>
      <c r="G13" s="136">
        <v>1400</v>
      </c>
      <c r="H13" s="136"/>
      <c r="I13" s="105">
        <v>1400</v>
      </c>
      <c r="J13" s="152" t="s">
        <v>9</v>
      </c>
      <c r="K13" s="138" t="s">
        <v>49</v>
      </c>
      <c r="L13" s="138"/>
      <c r="M13" s="137"/>
    </row>
    <row r="14" spans="2:13">
      <c r="B14" s="132" t="s">
        <v>41</v>
      </c>
      <c r="C14" s="133" t="s">
        <v>42</v>
      </c>
      <c r="D14" s="134" t="s">
        <v>72</v>
      </c>
      <c r="E14" s="133">
        <v>40585</v>
      </c>
      <c r="F14" s="155" t="s">
        <v>64</v>
      </c>
      <c r="G14" s="136">
        <v>3390</v>
      </c>
      <c r="H14" s="136">
        <v>508.5</v>
      </c>
      <c r="I14" s="105">
        <f t="shared" si="0"/>
        <v>3898.5</v>
      </c>
      <c r="J14" s="152" t="s">
        <v>9</v>
      </c>
      <c r="K14" s="138" t="s">
        <v>74</v>
      </c>
      <c r="L14" s="138"/>
      <c r="M14" s="137"/>
    </row>
    <row r="15" spans="2:13">
      <c r="B15" s="153" t="s">
        <v>41</v>
      </c>
      <c r="C15" s="154" t="s">
        <v>42</v>
      </c>
      <c r="D15" s="134" t="s">
        <v>55</v>
      </c>
      <c r="E15" s="133">
        <v>10028</v>
      </c>
      <c r="F15" s="155" t="s">
        <v>56</v>
      </c>
      <c r="G15" s="136">
        <v>900</v>
      </c>
      <c r="H15" s="136"/>
      <c r="I15" s="105">
        <v>900</v>
      </c>
      <c r="J15" s="152" t="s">
        <v>9</v>
      </c>
      <c r="K15" s="138" t="s">
        <v>49</v>
      </c>
      <c r="L15" s="138"/>
      <c r="M15" s="137"/>
    </row>
    <row r="16" spans="2:13">
      <c r="B16" s="153" t="s">
        <v>45</v>
      </c>
      <c r="C16" s="154" t="s">
        <v>42</v>
      </c>
      <c r="D16" s="134" t="s">
        <v>46</v>
      </c>
      <c r="E16" s="133"/>
      <c r="F16" s="155" t="s">
        <v>65</v>
      </c>
      <c r="G16" s="136">
        <v>526.72</v>
      </c>
      <c r="H16" s="136"/>
      <c r="I16" s="105">
        <f t="shared" si="0"/>
        <v>526.72</v>
      </c>
      <c r="J16" s="150" t="s">
        <v>9</v>
      </c>
      <c r="K16" s="138" t="s">
        <v>47</v>
      </c>
      <c r="L16" s="138"/>
      <c r="M16" s="137"/>
    </row>
    <row r="17" spans="2:13">
      <c r="B17" s="153" t="s">
        <v>45</v>
      </c>
      <c r="C17" s="154" t="s">
        <v>42</v>
      </c>
      <c r="D17" s="134" t="s">
        <v>51</v>
      </c>
      <c r="E17" s="133">
        <v>512374</v>
      </c>
      <c r="F17" s="155" t="s">
        <v>60</v>
      </c>
      <c r="G17" s="136">
        <v>1454.97</v>
      </c>
      <c r="H17" s="136">
        <v>218.24</v>
      </c>
      <c r="I17" s="105">
        <f t="shared" si="0"/>
        <v>1673.21</v>
      </c>
      <c r="J17" s="156" t="s">
        <v>9</v>
      </c>
      <c r="K17" s="138" t="s">
        <v>47</v>
      </c>
      <c r="L17" s="138"/>
      <c r="M17" s="137"/>
    </row>
    <row r="18" spans="2:13">
      <c r="B18" s="153" t="s">
        <v>45</v>
      </c>
      <c r="C18" s="154" t="s">
        <v>42</v>
      </c>
      <c r="D18" s="134" t="s">
        <v>57</v>
      </c>
      <c r="E18" s="133">
        <v>453</v>
      </c>
      <c r="F18" s="155" t="s">
        <v>58</v>
      </c>
      <c r="G18" s="136">
        <v>500</v>
      </c>
      <c r="H18" s="136"/>
      <c r="I18" s="105">
        <v>500</v>
      </c>
      <c r="J18" s="152" t="s">
        <v>9</v>
      </c>
      <c r="K18" s="138" t="s">
        <v>49</v>
      </c>
      <c r="L18" s="138"/>
      <c r="M18" s="137"/>
    </row>
    <row r="19" spans="2:13">
      <c r="B19" s="153" t="s">
        <v>45</v>
      </c>
      <c r="C19" s="154" t="s">
        <v>42</v>
      </c>
      <c r="D19" s="134" t="s">
        <v>59</v>
      </c>
      <c r="E19" s="133">
        <v>566</v>
      </c>
      <c r="F19" s="155" t="s">
        <v>60</v>
      </c>
      <c r="G19" s="136">
        <v>36</v>
      </c>
      <c r="H19" s="136"/>
      <c r="I19" s="105">
        <v>36</v>
      </c>
      <c r="J19" s="152" t="s">
        <v>61</v>
      </c>
      <c r="K19" s="138" t="s">
        <v>49</v>
      </c>
      <c r="L19" s="138"/>
      <c r="M19" s="375"/>
    </row>
    <row r="20" spans="2:13">
      <c r="B20" s="153" t="s">
        <v>62</v>
      </c>
      <c r="C20" s="154" t="s">
        <v>35</v>
      </c>
      <c r="D20" s="134" t="s">
        <v>63</v>
      </c>
      <c r="E20" s="133">
        <v>1734617</v>
      </c>
      <c r="F20" s="155" t="s">
        <v>64</v>
      </c>
      <c r="G20" s="136">
        <v>146</v>
      </c>
      <c r="H20" s="136"/>
      <c r="I20" s="105">
        <v>146</v>
      </c>
      <c r="J20" s="152" t="s">
        <v>9</v>
      </c>
      <c r="K20" s="138" t="s">
        <v>49</v>
      </c>
      <c r="L20" s="138"/>
      <c r="M20" s="137"/>
    </row>
    <row r="21" spans="2:13">
      <c r="B21" s="153" t="s">
        <v>62</v>
      </c>
      <c r="C21" s="154" t="s">
        <v>42</v>
      </c>
      <c r="D21" s="134" t="s">
        <v>53</v>
      </c>
      <c r="E21" s="133">
        <v>15</v>
      </c>
      <c r="F21" s="155" t="s">
        <v>54</v>
      </c>
      <c r="G21" s="136">
        <v>1220</v>
      </c>
      <c r="H21" s="136"/>
      <c r="I21" s="105">
        <v>1220</v>
      </c>
      <c r="J21" s="152" t="s">
        <v>9</v>
      </c>
      <c r="K21" s="138" t="s">
        <v>49</v>
      </c>
      <c r="L21" s="138"/>
      <c r="M21" s="137"/>
    </row>
    <row r="22" spans="2:13">
      <c r="B22" s="153" t="s">
        <v>66</v>
      </c>
      <c r="C22" s="154" t="s">
        <v>42</v>
      </c>
      <c r="D22" s="134" t="s">
        <v>67</v>
      </c>
      <c r="E22" s="133">
        <v>805</v>
      </c>
      <c r="F22" s="155" t="s">
        <v>60</v>
      </c>
      <c r="G22" s="136">
        <v>1342.37</v>
      </c>
      <c r="H22" s="136">
        <v>201.34</v>
      </c>
      <c r="I22" s="105">
        <f t="shared" si="0"/>
        <v>1543.7099999999998</v>
      </c>
      <c r="J22" s="152" t="s">
        <v>9</v>
      </c>
      <c r="K22" s="138" t="s">
        <v>47</v>
      </c>
      <c r="L22" s="157">
        <v>4000</v>
      </c>
      <c r="M22" s="137" t="s">
        <v>68</v>
      </c>
    </row>
    <row r="23" spans="2:13">
      <c r="B23" s="132" t="s">
        <v>73</v>
      </c>
      <c r="C23" s="133" t="s">
        <v>35</v>
      </c>
      <c r="D23" s="134" t="s">
        <v>63</v>
      </c>
      <c r="E23" s="133">
        <v>1734643</v>
      </c>
      <c r="F23" s="135" t="s">
        <v>64</v>
      </c>
      <c r="G23" s="136">
        <v>292</v>
      </c>
      <c r="H23" s="136"/>
      <c r="I23" s="105">
        <f t="shared" si="0"/>
        <v>292</v>
      </c>
      <c r="J23" s="150" t="s">
        <v>9</v>
      </c>
      <c r="K23" s="138" t="s">
        <v>49</v>
      </c>
      <c r="L23" s="138">
        <v>-526.72</v>
      </c>
      <c r="M23" s="137"/>
    </row>
    <row r="24" spans="2:13">
      <c r="B24" s="132" t="s">
        <v>75</v>
      </c>
      <c r="C24" s="133" t="s">
        <v>35</v>
      </c>
      <c r="D24" s="134" t="s">
        <v>78</v>
      </c>
      <c r="E24" s="133">
        <v>101743</v>
      </c>
      <c r="F24" s="135" t="s">
        <v>64</v>
      </c>
      <c r="G24" s="136">
        <v>182.61</v>
      </c>
      <c r="H24" s="136">
        <v>27.39</v>
      </c>
      <c r="I24" s="105">
        <f t="shared" si="0"/>
        <v>210</v>
      </c>
      <c r="J24" s="150" t="s">
        <v>9</v>
      </c>
      <c r="K24" s="138" t="s">
        <v>49</v>
      </c>
      <c r="L24" s="138">
        <v>-1673.21</v>
      </c>
      <c r="M24" s="137"/>
    </row>
    <row r="25" spans="2:13">
      <c r="B25" s="132" t="s">
        <v>85</v>
      </c>
      <c r="C25" s="133" t="s">
        <v>42</v>
      </c>
      <c r="D25" s="134" t="s">
        <v>92</v>
      </c>
      <c r="E25" s="133">
        <v>16272</v>
      </c>
      <c r="F25" s="135" t="s">
        <v>65</v>
      </c>
      <c r="G25" s="136">
        <v>11062</v>
      </c>
      <c r="H25" s="136">
        <v>1659.3</v>
      </c>
      <c r="I25" s="105">
        <f t="shared" si="0"/>
        <v>12721.3</v>
      </c>
      <c r="J25" s="150" t="s">
        <v>9</v>
      </c>
      <c r="K25" s="138" t="s">
        <v>74</v>
      </c>
      <c r="L25" s="138">
        <v>-1543.71</v>
      </c>
      <c r="M25" s="137"/>
    </row>
    <row r="26" spans="2:13">
      <c r="B26" s="132" t="s">
        <v>91</v>
      </c>
      <c r="C26" s="133" t="s">
        <v>35</v>
      </c>
      <c r="D26" s="134" t="s">
        <v>63</v>
      </c>
      <c r="E26" s="133">
        <v>1734664</v>
      </c>
      <c r="F26" s="135" t="s">
        <v>64</v>
      </c>
      <c r="G26" s="136">
        <v>292</v>
      </c>
      <c r="H26" s="136"/>
      <c r="I26" s="105">
        <f t="shared" si="0"/>
        <v>292</v>
      </c>
      <c r="J26" s="150" t="s">
        <v>9</v>
      </c>
      <c r="K26" s="138" t="s">
        <v>49</v>
      </c>
      <c r="L26" s="158">
        <v>256.36</v>
      </c>
      <c r="M26" s="137" t="s">
        <v>69</v>
      </c>
    </row>
    <row r="27" spans="2:13" s="137" customFormat="1">
      <c r="B27" s="229" t="s">
        <v>91</v>
      </c>
      <c r="C27" s="134" t="s">
        <v>42</v>
      </c>
      <c r="D27" s="134" t="s">
        <v>72</v>
      </c>
      <c r="E27" s="134">
        <v>40598</v>
      </c>
      <c r="F27" s="225" t="s">
        <v>65</v>
      </c>
      <c r="G27" s="226">
        <v>1998</v>
      </c>
      <c r="H27" s="226">
        <v>299.7</v>
      </c>
      <c r="I27" s="227">
        <f t="shared" si="0"/>
        <v>2297.6999999999998</v>
      </c>
      <c r="J27" s="164" t="s">
        <v>9</v>
      </c>
      <c r="K27" s="228" t="s">
        <v>331</v>
      </c>
      <c r="L27" s="158">
        <v>2850</v>
      </c>
      <c r="M27" s="137" t="s">
        <v>68</v>
      </c>
    </row>
    <row r="28" spans="2:13">
      <c r="B28" s="132" t="s">
        <v>93</v>
      </c>
      <c r="C28" s="133" t="s">
        <v>35</v>
      </c>
      <c r="D28" s="134" t="s">
        <v>63</v>
      </c>
      <c r="E28" s="133">
        <v>1734673</v>
      </c>
      <c r="F28" s="135" t="s">
        <v>64</v>
      </c>
      <c r="G28" s="136">
        <v>85</v>
      </c>
      <c r="H28" s="136">
        <v>0</v>
      </c>
      <c r="I28" s="105">
        <f t="shared" si="0"/>
        <v>85</v>
      </c>
      <c r="J28" s="150" t="s">
        <v>9</v>
      </c>
      <c r="K28" s="138" t="s">
        <v>49</v>
      </c>
      <c r="L28" s="138">
        <v>1900</v>
      </c>
      <c r="M28" s="137" t="s">
        <v>101</v>
      </c>
    </row>
    <row r="29" spans="2:13">
      <c r="B29" s="132" t="s">
        <v>94</v>
      </c>
      <c r="C29" s="133" t="s">
        <v>42</v>
      </c>
      <c r="D29" s="134" t="s">
        <v>96</v>
      </c>
      <c r="E29" s="133">
        <v>2088</v>
      </c>
      <c r="F29" s="135" t="s">
        <v>65</v>
      </c>
      <c r="G29" s="136">
        <v>1950</v>
      </c>
      <c r="H29" s="136"/>
      <c r="I29" s="105">
        <f t="shared" si="0"/>
        <v>1950</v>
      </c>
      <c r="J29" s="150" t="s">
        <v>9</v>
      </c>
      <c r="K29" s="138" t="s">
        <v>49</v>
      </c>
      <c r="L29" s="158">
        <f>L26+L27+L28</f>
        <v>5006.3600000000006</v>
      </c>
      <c r="M29" s="137" t="s">
        <v>69</v>
      </c>
    </row>
    <row r="30" spans="2:13">
      <c r="B30" s="132" t="s">
        <v>94</v>
      </c>
      <c r="C30" s="133" t="s">
        <v>42</v>
      </c>
      <c r="D30" s="134" t="s">
        <v>97</v>
      </c>
      <c r="E30" s="133">
        <v>2957</v>
      </c>
      <c r="F30" s="135" t="s">
        <v>65</v>
      </c>
      <c r="G30" s="136">
        <v>2150</v>
      </c>
      <c r="H30" s="136"/>
      <c r="I30" s="105">
        <f t="shared" si="0"/>
        <v>2150</v>
      </c>
      <c r="J30" s="150" t="s">
        <v>61</v>
      </c>
      <c r="K30" s="138" t="s">
        <v>49</v>
      </c>
      <c r="L30" s="138">
        <v>-1952.07</v>
      </c>
      <c r="M30" s="137"/>
    </row>
    <row r="31" spans="2:13">
      <c r="B31" s="132" t="s">
        <v>98</v>
      </c>
      <c r="C31" s="133" t="s">
        <v>35</v>
      </c>
      <c r="D31" s="134" t="s">
        <v>63</v>
      </c>
      <c r="E31" s="133">
        <v>1734689</v>
      </c>
      <c r="F31" s="135" t="s">
        <v>64</v>
      </c>
      <c r="G31" s="136">
        <v>146</v>
      </c>
      <c r="H31" s="136">
        <v>146</v>
      </c>
      <c r="I31" s="105">
        <f t="shared" si="0"/>
        <v>292</v>
      </c>
      <c r="J31" s="150" t="s">
        <v>9</v>
      </c>
      <c r="K31" s="138" t="s">
        <v>49</v>
      </c>
      <c r="L31" s="138">
        <v>-1396</v>
      </c>
      <c r="M31" s="137"/>
    </row>
    <row r="32" spans="2:13">
      <c r="B32" s="179" t="s">
        <v>98</v>
      </c>
      <c r="C32" s="180" t="s">
        <v>42</v>
      </c>
      <c r="D32" s="134" t="s">
        <v>67</v>
      </c>
      <c r="E32" s="133">
        <v>190018</v>
      </c>
      <c r="F32" s="181" t="s">
        <v>65</v>
      </c>
      <c r="G32" s="136">
        <v>1697.45</v>
      </c>
      <c r="H32" s="136">
        <v>254.62</v>
      </c>
      <c r="I32" s="105">
        <f t="shared" si="0"/>
        <v>1952.0700000000002</v>
      </c>
      <c r="J32" s="152" t="s">
        <v>9</v>
      </c>
      <c r="K32" s="138" t="s">
        <v>68</v>
      </c>
      <c r="L32" s="138">
        <f>5006.36-1952.07-1396</f>
        <v>1658.29</v>
      </c>
      <c r="M32" s="137" t="s">
        <v>69</v>
      </c>
    </row>
    <row r="33" spans="2:13">
      <c r="B33" s="179" t="s">
        <v>98</v>
      </c>
      <c r="C33" s="180" t="s">
        <v>42</v>
      </c>
      <c r="D33" s="134" t="s">
        <v>100</v>
      </c>
      <c r="E33" s="133">
        <v>160032</v>
      </c>
      <c r="F33" s="181" t="s">
        <v>60</v>
      </c>
      <c r="G33" s="136">
        <v>1213.9100000000001</v>
      </c>
      <c r="H33" s="136">
        <v>182.09</v>
      </c>
      <c r="I33" s="105">
        <f t="shared" si="0"/>
        <v>1396</v>
      </c>
      <c r="J33" s="152" t="s">
        <v>9</v>
      </c>
      <c r="K33" s="138" t="s">
        <v>68</v>
      </c>
      <c r="L33" s="138">
        <v>-2192.9</v>
      </c>
      <c r="M33" s="137"/>
    </row>
    <row r="34" spans="2:13">
      <c r="B34" s="182" t="s">
        <v>102</v>
      </c>
      <c r="C34" s="183" t="s">
        <v>35</v>
      </c>
      <c r="D34" s="134" t="s">
        <v>105</v>
      </c>
      <c r="E34" s="133">
        <v>7798297</v>
      </c>
      <c r="F34" s="184" t="s">
        <v>64</v>
      </c>
      <c r="G34" s="136">
        <v>322.2</v>
      </c>
      <c r="H34" s="136"/>
      <c r="I34" s="105">
        <f t="shared" si="0"/>
        <v>322.2</v>
      </c>
      <c r="J34" s="152" t="s">
        <v>9</v>
      </c>
      <c r="K34" s="138" t="s">
        <v>49</v>
      </c>
      <c r="L34" s="138">
        <v>534.61</v>
      </c>
      <c r="M34" s="137" t="s">
        <v>128</v>
      </c>
    </row>
    <row r="35" spans="2:13">
      <c r="B35" s="185" t="s">
        <v>102</v>
      </c>
      <c r="C35" s="186" t="s">
        <v>35</v>
      </c>
      <c r="D35" s="134" t="s">
        <v>63</v>
      </c>
      <c r="E35" s="133">
        <v>1734697</v>
      </c>
      <c r="F35" s="187" t="s">
        <v>64</v>
      </c>
      <c r="G35" s="136">
        <v>214</v>
      </c>
      <c r="H35" s="136"/>
      <c r="I35" s="105">
        <f t="shared" si="0"/>
        <v>214</v>
      </c>
      <c r="J35" s="152" t="s">
        <v>9</v>
      </c>
      <c r="K35" s="138" t="s">
        <v>49</v>
      </c>
      <c r="L35" s="138"/>
      <c r="M35" s="137"/>
    </row>
    <row r="36" spans="2:13">
      <c r="B36" s="229" t="s">
        <v>111</v>
      </c>
      <c r="C36" s="134" t="s">
        <v>42</v>
      </c>
      <c r="D36" s="134" t="s">
        <v>72</v>
      </c>
      <c r="E36" s="134">
        <v>40618</v>
      </c>
      <c r="F36" s="225" t="s">
        <v>60</v>
      </c>
      <c r="G36" s="226">
        <v>987</v>
      </c>
      <c r="H36" s="226">
        <v>148.05000000000001</v>
      </c>
      <c r="I36" s="227">
        <f t="shared" si="0"/>
        <v>1135.05</v>
      </c>
      <c r="J36" s="152" t="s">
        <v>9</v>
      </c>
      <c r="K36" s="138" t="s">
        <v>332</v>
      </c>
      <c r="L36" s="138">
        <v>3800</v>
      </c>
      <c r="M36" s="137" t="s">
        <v>123</v>
      </c>
    </row>
    <row r="37" spans="2:13">
      <c r="B37" s="196" t="s">
        <v>112</v>
      </c>
      <c r="C37" s="197" t="s">
        <v>35</v>
      </c>
      <c r="D37" s="134" t="s">
        <v>63</v>
      </c>
      <c r="E37" s="133">
        <v>1819902</v>
      </c>
      <c r="F37" s="198" t="s">
        <v>64</v>
      </c>
      <c r="G37" s="136">
        <v>292</v>
      </c>
      <c r="H37" s="136"/>
      <c r="I37" s="105">
        <f t="shared" si="0"/>
        <v>292</v>
      </c>
      <c r="J37" s="152" t="s">
        <v>9</v>
      </c>
      <c r="K37" s="138" t="s">
        <v>49</v>
      </c>
      <c r="L37" s="138">
        <v>1700</v>
      </c>
      <c r="M37" s="137" t="s">
        <v>131</v>
      </c>
    </row>
    <row r="38" spans="2:13">
      <c r="B38" s="132" t="s">
        <v>112</v>
      </c>
      <c r="C38" s="133" t="s">
        <v>35</v>
      </c>
      <c r="D38" s="134" t="s">
        <v>105</v>
      </c>
      <c r="E38" s="133">
        <v>9439092</v>
      </c>
      <c r="F38" s="135" t="s">
        <v>64</v>
      </c>
      <c r="G38" s="136">
        <v>208</v>
      </c>
      <c r="H38" s="136"/>
      <c r="I38" s="105">
        <f t="shared" si="0"/>
        <v>208</v>
      </c>
      <c r="J38" s="150" t="s">
        <v>9</v>
      </c>
      <c r="K38" s="138" t="s">
        <v>49</v>
      </c>
      <c r="L38" s="224">
        <f>L36+L37</f>
        <v>5500</v>
      </c>
      <c r="M38" s="137" t="s">
        <v>69</v>
      </c>
    </row>
    <row r="39" spans="2:13">
      <c r="B39" s="132" t="s">
        <v>112</v>
      </c>
      <c r="C39" s="133" t="s">
        <v>35</v>
      </c>
      <c r="D39" s="134" t="s">
        <v>63</v>
      </c>
      <c r="E39" s="133">
        <v>1819902</v>
      </c>
      <c r="F39" s="135" t="s">
        <v>64</v>
      </c>
      <c r="G39" s="136">
        <v>292</v>
      </c>
      <c r="H39" s="136"/>
      <c r="I39" s="105">
        <f t="shared" si="0"/>
        <v>292</v>
      </c>
      <c r="J39" s="150" t="s">
        <v>9</v>
      </c>
      <c r="K39" s="138" t="s">
        <v>49</v>
      </c>
      <c r="L39" s="138">
        <v>-40</v>
      </c>
      <c r="M39" s="137"/>
    </row>
    <row r="40" spans="2:13">
      <c r="B40" s="132" t="s">
        <v>112</v>
      </c>
      <c r="C40" s="133" t="s">
        <v>42</v>
      </c>
      <c r="D40" s="134" t="s">
        <v>114</v>
      </c>
      <c r="E40" s="133">
        <v>126</v>
      </c>
      <c r="F40" s="135" t="s">
        <v>65</v>
      </c>
      <c r="G40" s="136"/>
      <c r="H40" s="136"/>
      <c r="I40" s="105">
        <v>2192.9</v>
      </c>
      <c r="J40" s="150" t="s">
        <v>9</v>
      </c>
      <c r="K40" s="138" t="s">
        <v>68</v>
      </c>
      <c r="L40" s="138">
        <v>-589</v>
      </c>
      <c r="M40" s="137"/>
    </row>
    <row r="41" spans="2:13">
      <c r="B41" s="199" t="s">
        <v>113</v>
      </c>
      <c r="C41" s="200" t="s">
        <v>35</v>
      </c>
      <c r="D41" s="134" t="s">
        <v>78</v>
      </c>
      <c r="E41" s="133">
        <v>101777</v>
      </c>
      <c r="F41" s="201" t="s">
        <v>64</v>
      </c>
      <c r="G41" s="136">
        <v>182.61</v>
      </c>
      <c r="H41" s="136">
        <v>27.39</v>
      </c>
      <c r="I41" s="105">
        <f t="shared" si="0"/>
        <v>210</v>
      </c>
      <c r="J41" s="152" t="s">
        <v>9</v>
      </c>
      <c r="K41" s="138" t="s">
        <v>49</v>
      </c>
      <c r="L41" s="138">
        <v>-320.7</v>
      </c>
      <c r="M41" s="137"/>
    </row>
    <row r="42" spans="2:13">
      <c r="B42" s="132" t="s">
        <v>115</v>
      </c>
      <c r="C42" s="133" t="s">
        <v>35</v>
      </c>
      <c r="D42" s="134" t="s">
        <v>63</v>
      </c>
      <c r="E42" s="133">
        <v>49442</v>
      </c>
      <c r="F42" s="135" t="s">
        <v>64</v>
      </c>
      <c r="G42" s="136">
        <v>127.68</v>
      </c>
      <c r="H42" s="136"/>
      <c r="I42" s="105">
        <f t="shared" si="0"/>
        <v>127.68</v>
      </c>
      <c r="J42" s="150" t="s">
        <v>9</v>
      </c>
      <c r="K42" s="138" t="s">
        <v>49</v>
      </c>
      <c r="L42" s="138">
        <v>-858.05</v>
      </c>
      <c r="M42" s="137"/>
    </row>
    <row r="43" spans="2:13">
      <c r="B43" s="132" t="s">
        <v>115</v>
      </c>
      <c r="C43" s="133" t="s">
        <v>42</v>
      </c>
      <c r="D43" s="134" t="s">
        <v>116</v>
      </c>
      <c r="E43" s="133">
        <v>9427</v>
      </c>
      <c r="F43" s="135" t="s">
        <v>65</v>
      </c>
      <c r="G43" s="136">
        <v>52226.09</v>
      </c>
      <c r="H43" s="136">
        <v>7833.91</v>
      </c>
      <c r="I43" s="105">
        <f t="shared" si="0"/>
        <v>60060</v>
      </c>
      <c r="J43" s="150" t="s">
        <v>61</v>
      </c>
      <c r="K43" s="138" t="s">
        <v>74</v>
      </c>
      <c r="L43" s="138">
        <v>-400</v>
      </c>
      <c r="M43" s="137"/>
    </row>
    <row r="44" spans="2:13">
      <c r="B44" s="159" t="s">
        <v>115</v>
      </c>
      <c r="C44" s="160" t="s">
        <v>42</v>
      </c>
      <c r="D44" s="160" t="s">
        <v>72</v>
      </c>
      <c r="E44" s="160">
        <v>40629</v>
      </c>
      <c r="F44" s="161" t="s">
        <v>65</v>
      </c>
      <c r="G44" s="162">
        <v>1198</v>
      </c>
      <c r="H44" s="162">
        <v>179.7</v>
      </c>
      <c r="I44" s="163">
        <f t="shared" si="0"/>
        <v>1377.7</v>
      </c>
      <c r="J44" s="356" t="b">
        <v>0</v>
      </c>
      <c r="K44" s="138"/>
      <c r="L44" s="138">
        <v>-534.61</v>
      </c>
      <c r="M44" s="137" t="s">
        <v>132</v>
      </c>
    </row>
    <row r="45" spans="2:13">
      <c r="B45" s="132" t="s">
        <v>115</v>
      </c>
      <c r="C45" s="133" t="s">
        <v>42</v>
      </c>
      <c r="D45" s="134" t="s">
        <v>100</v>
      </c>
      <c r="E45" s="133">
        <v>161210</v>
      </c>
      <c r="F45" s="135" t="s">
        <v>77</v>
      </c>
      <c r="G45" s="136">
        <v>40</v>
      </c>
      <c r="H45" s="136"/>
      <c r="I45" s="105">
        <f t="shared" si="0"/>
        <v>40</v>
      </c>
      <c r="J45" s="150" t="s">
        <v>9</v>
      </c>
      <c r="K45" s="138" t="s">
        <v>123</v>
      </c>
      <c r="L45" s="224">
        <f>5500-40-589-320.7-858.05-400-534.61</f>
        <v>2757.64</v>
      </c>
      <c r="M45" s="137" t="s">
        <v>69</v>
      </c>
    </row>
    <row r="46" spans="2:13">
      <c r="B46" s="132" t="s">
        <v>115</v>
      </c>
      <c r="C46" s="133" t="s">
        <v>42</v>
      </c>
      <c r="D46" s="134" t="s">
        <v>100</v>
      </c>
      <c r="E46" s="133">
        <v>161209</v>
      </c>
      <c r="F46" s="135" t="s">
        <v>60</v>
      </c>
      <c r="G46" s="136">
        <v>589</v>
      </c>
      <c r="H46" s="136"/>
      <c r="I46" s="105">
        <f t="shared" si="0"/>
        <v>589</v>
      </c>
      <c r="J46" s="150" t="s">
        <v>9</v>
      </c>
      <c r="K46" s="138" t="s">
        <v>123</v>
      </c>
      <c r="L46" s="138">
        <v>2750</v>
      </c>
      <c r="M46" s="137" t="s">
        <v>133</v>
      </c>
    </row>
    <row r="47" spans="2:13">
      <c r="B47" s="132" t="s">
        <v>115</v>
      </c>
      <c r="C47" s="133" t="s">
        <v>42</v>
      </c>
      <c r="D47" s="134" t="s">
        <v>122</v>
      </c>
      <c r="E47" s="133">
        <v>70027</v>
      </c>
      <c r="F47" s="135" t="s">
        <v>65</v>
      </c>
      <c r="G47" s="136">
        <v>320.7</v>
      </c>
      <c r="H47" s="136"/>
      <c r="I47" s="105">
        <f t="shared" si="0"/>
        <v>320.7</v>
      </c>
      <c r="J47" s="150" t="s">
        <v>9</v>
      </c>
      <c r="K47" s="138" t="s">
        <v>123</v>
      </c>
      <c r="L47" s="138">
        <v>7.64</v>
      </c>
      <c r="M47" s="137" t="s">
        <v>134</v>
      </c>
    </row>
    <row r="48" spans="2:13">
      <c r="B48" s="132" t="s">
        <v>115</v>
      </c>
      <c r="C48" s="133" t="s">
        <v>42</v>
      </c>
      <c r="D48" s="134" t="s">
        <v>124</v>
      </c>
      <c r="E48" s="133">
        <v>23</v>
      </c>
      <c r="F48" s="135" t="s">
        <v>125</v>
      </c>
      <c r="G48" s="136">
        <v>858.05</v>
      </c>
      <c r="H48" s="136"/>
      <c r="I48" s="105">
        <f t="shared" si="0"/>
        <v>858.05</v>
      </c>
      <c r="J48" s="150" t="s">
        <v>9</v>
      </c>
      <c r="K48" s="138" t="s">
        <v>123</v>
      </c>
      <c r="L48" s="138"/>
      <c r="M48" s="137"/>
    </row>
    <row r="49" spans="2:13">
      <c r="B49" s="132" t="s">
        <v>115</v>
      </c>
      <c r="C49" s="133" t="s">
        <v>42</v>
      </c>
      <c r="D49" s="134" t="s">
        <v>126</v>
      </c>
      <c r="E49" s="133">
        <v>8101</v>
      </c>
      <c r="F49" s="135" t="s">
        <v>127</v>
      </c>
      <c r="G49" s="136">
        <v>400</v>
      </c>
      <c r="H49" s="136"/>
      <c r="I49" s="105">
        <v>400</v>
      </c>
      <c r="J49" s="150" t="s">
        <v>9</v>
      </c>
      <c r="K49" s="138" t="s">
        <v>123</v>
      </c>
      <c r="L49" s="138"/>
      <c r="M49" s="137"/>
    </row>
    <row r="50" spans="2:13">
      <c r="B50" s="236" t="s">
        <v>139</v>
      </c>
      <c r="C50" s="237" t="s">
        <v>42</v>
      </c>
      <c r="D50" s="134" t="s">
        <v>114</v>
      </c>
      <c r="E50" s="133">
        <v>126</v>
      </c>
      <c r="F50" s="238" t="s">
        <v>60</v>
      </c>
      <c r="G50" s="136">
        <v>2955</v>
      </c>
      <c r="H50" s="136"/>
      <c r="I50" s="105">
        <v>2955</v>
      </c>
      <c r="J50" s="152" t="s">
        <v>9</v>
      </c>
      <c r="K50" s="138" t="s">
        <v>141</v>
      </c>
      <c r="L50" s="138"/>
      <c r="M50" s="137"/>
    </row>
    <row r="51" spans="2:13">
      <c r="B51" s="236" t="s">
        <v>139</v>
      </c>
      <c r="C51" s="237" t="s">
        <v>35</v>
      </c>
      <c r="D51" s="134" t="s">
        <v>105</v>
      </c>
      <c r="E51" s="133">
        <v>9438896</v>
      </c>
      <c r="F51" s="238" t="s">
        <v>64</v>
      </c>
      <c r="G51" s="136">
        <v>128</v>
      </c>
      <c r="H51" s="136"/>
      <c r="I51" s="105">
        <f t="shared" si="0"/>
        <v>128</v>
      </c>
      <c r="J51" s="152" t="s">
        <v>9</v>
      </c>
      <c r="K51" s="138" t="s">
        <v>49</v>
      </c>
      <c r="L51" s="242">
        <f>I36+I27</f>
        <v>3432.75</v>
      </c>
      <c r="M51" s="137"/>
    </row>
    <row r="52" spans="2:13">
      <c r="B52" s="236" t="s">
        <v>139</v>
      </c>
      <c r="C52" s="237" t="s">
        <v>35</v>
      </c>
      <c r="D52" s="134" t="s">
        <v>78</v>
      </c>
      <c r="E52" s="133">
        <v>10101789</v>
      </c>
      <c r="F52" s="238" t="s">
        <v>64</v>
      </c>
      <c r="G52" s="136">
        <v>182.61</v>
      </c>
      <c r="H52" s="136">
        <v>27.39</v>
      </c>
      <c r="I52" s="105">
        <f t="shared" si="0"/>
        <v>210</v>
      </c>
      <c r="J52" s="152" t="s">
        <v>9</v>
      </c>
      <c r="K52" s="138" t="s">
        <v>49</v>
      </c>
      <c r="L52" s="138"/>
      <c r="M52" s="137"/>
    </row>
    <row r="53" spans="2:13">
      <c r="B53" s="236" t="s">
        <v>139</v>
      </c>
      <c r="C53" s="237" t="s">
        <v>35</v>
      </c>
      <c r="D53" s="134" t="s">
        <v>144</v>
      </c>
      <c r="E53" s="133">
        <v>9453545</v>
      </c>
      <c r="F53" s="238" t="s">
        <v>64</v>
      </c>
      <c r="G53" s="136">
        <v>611.54999999999995</v>
      </c>
      <c r="H53" s="136">
        <v>51.65</v>
      </c>
      <c r="I53" s="105">
        <f t="shared" si="0"/>
        <v>663.19999999999993</v>
      </c>
      <c r="J53" s="152" t="s">
        <v>9</v>
      </c>
      <c r="K53" s="138" t="s">
        <v>49</v>
      </c>
      <c r="L53" s="138"/>
      <c r="M53" s="137"/>
    </row>
    <row r="54" spans="2:13">
      <c r="B54" s="248" t="s">
        <v>143</v>
      </c>
      <c r="C54" s="249" t="s">
        <v>42</v>
      </c>
      <c r="D54" s="134" t="s">
        <v>48</v>
      </c>
      <c r="E54" s="133">
        <v>124</v>
      </c>
      <c r="F54" s="250" t="s">
        <v>178</v>
      </c>
      <c r="G54" s="136">
        <v>716.1</v>
      </c>
      <c r="H54" s="136"/>
      <c r="I54" s="105">
        <f t="shared" si="0"/>
        <v>716.1</v>
      </c>
      <c r="J54" s="152" t="s">
        <v>9</v>
      </c>
      <c r="K54" s="138" t="s">
        <v>179</v>
      </c>
      <c r="L54" s="138"/>
      <c r="M54" s="137"/>
    </row>
    <row r="55" spans="2:13">
      <c r="B55" s="132" t="s">
        <v>204</v>
      </c>
      <c r="C55" s="133" t="s">
        <v>42</v>
      </c>
      <c r="D55" s="134" t="s">
        <v>205</v>
      </c>
      <c r="E55" s="133">
        <v>2294</v>
      </c>
      <c r="F55" s="135" t="s">
        <v>65</v>
      </c>
      <c r="G55" s="136"/>
      <c r="H55" s="136"/>
      <c r="I55" s="105">
        <v>17</v>
      </c>
      <c r="J55" s="150" t="s">
        <v>9</v>
      </c>
      <c r="K55" s="138" t="s">
        <v>49</v>
      </c>
      <c r="L55" s="138"/>
      <c r="M55" s="137"/>
    </row>
    <row r="56" spans="2:13">
      <c r="B56" s="132" t="s">
        <v>204</v>
      </c>
      <c r="C56" s="133" t="s">
        <v>42</v>
      </c>
      <c r="D56" s="134" t="s">
        <v>207</v>
      </c>
      <c r="E56" s="133">
        <v>5008</v>
      </c>
      <c r="F56" s="135" t="s">
        <v>60</v>
      </c>
      <c r="G56" s="136">
        <v>298.91000000000003</v>
      </c>
      <c r="H56" s="136"/>
      <c r="I56" s="105">
        <f t="shared" si="0"/>
        <v>298.91000000000003</v>
      </c>
      <c r="J56" s="150" t="s">
        <v>9</v>
      </c>
      <c r="K56" s="138" t="s">
        <v>206</v>
      </c>
      <c r="L56" s="138"/>
      <c r="M56" s="137"/>
    </row>
    <row r="57" spans="2:13">
      <c r="B57" s="132"/>
      <c r="C57" s="133"/>
      <c r="D57" s="134"/>
      <c r="E57" s="133"/>
      <c r="F57" s="135"/>
      <c r="G57" s="136"/>
      <c r="H57" s="136"/>
      <c r="I57" s="105">
        <f t="shared" si="0"/>
        <v>0</v>
      </c>
      <c r="J57" s="150" t="b">
        <v>0</v>
      </c>
      <c r="K57" s="138"/>
      <c r="L57" s="138"/>
      <c r="M57" s="137"/>
    </row>
    <row r="58" spans="2:13">
      <c r="B58" s="132"/>
      <c r="C58" s="133"/>
      <c r="D58" s="134"/>
      <c r="E58" s="133"/>
      <c r="F58" s="135"/>
      <c r="G58" s="136"/>
      <c r="H58" s="136"/>
      <c r="I58" s="105">
        <f t="shared" si="0"/>
        <v>0</v>
      </c>
      <c r="J58" s="150" t="b">
        <v>0</v>
      </c>
      <c r="K58" s="138"/>
      <c r="L58" s="138"/>
      <c r="M58" s="137"/>
    </row>
    <row r="59" spans="2:13">
      <c r="B59" s="132"/>
      <c r="C59" s="133"/>
      <c r="D59" s="134"/>
      <c r="E59" s="133"/>
      <c r="F59" s="135"/>
      <c r="G59" s="136"/>
      <c r="H59" s="136"/>
      <c r="I59" s="105">
        <f t="shared" si="0"/>
        <v>0</v>
      </c>
      <c r="J59" s="150" t="b">
        <v>0</v>
      </c>
      <c r="K59" s="138"/>
      <c r="L59" s="138"/>
      <c r="M59" s="137"/>
    </row>
    <row r="60" spans="2:13">
      <c r="B60" s="132"/>
      <c r="C60" s="133"/>
      <c r="D60" s="134"/>
      <c r="E60" s="133"/>
      <c r="F60" s="135"/>
      <c r="G60" s="136"/>
      <c r="H60" s="136"/>
      <c r="I60" s="105">
        <f t="shared" si="0"/>
        <v>0</v>
      </c>
      <c r="J60" s="150" t="b">
        <v>0</v>
      </c>
      <c r="K60" s="138"/>
      <c r="L60" s="138"/>
      <c r="M60" s="137"/>
    </row>
    <row r="61" spans="2:13">
      <c r="B61" s="132"/>
      <c r="C61" s="133"/>
      <c r="D61" s="134"/>
      <c r="E61" s="133"/>
      <c r="F61" s="135"/>
      <c r="G61" s="136"/>
      <c r="H61" s="136"/>
      <c r="I61" s="105">
        <f t="shared" si="0"/>
        <v>0</v>
      </c>
      <c r="J61" s="150" t="b">
        <v>0</v>
      </c>
      <c r="K61" s="138"/>
      <c r="L61" s="138"/>
      <c r="M61" s="137"/>
    </row>
    <row r="62" spans="2:13">
      <c r="B62" s="132"/>
      <c r="C62" s="133"/>
      <c r="D62" s="134"/>
      <c r="E62" s="133"/>
      <c r="F62" s="135"/>
      <c r="G62" s="136"/>
      <c r="H62" s="136"/>
      <c r="I62" s="105">
        <f t="shared" si="0"/>
        <v>0</v>
      </c>
      <c r="J62" s="150" t="b">
        <v>0</v>
      </c>
      <c r="K62" s="138"/>
      <c r="L62" s="138"/>
      <c r="M62" s="137"/>
    </row>
    <row r="63" spans="2:13">
      <c r="B63" s="132"/>
      <c r="C63" s="133"/>
      <c r="D63" s="134"/>
      <c r="E63" s="133"/>
      <c r="F63" s="135"/>
      <c r="G63" s="136"/>
      <c r="H63" s="136"/>
      <c r="I63" s="105">
        <f t="shared" si="0"/>
        <v>0</v>
      </c>
      <c r="J63" s="150" t="b">
        <v>0</v>
      </c>
      <c r="K63" s="138"/>
      <c r="L63" s="138"/>
      <c r="M63" s="137"/>
    </row>
    <row r="64" spans="2:13">
      <c r="B64" s="132"/>
      <c r="C64" s="133"/>
      <c r="D64" s="134"/>
      <c r="E64" s="133"/>
      <c r="F64" s="135"/>
      <c r="G64" s="136"/>
      <c r="H64" s="136"/>
      <c r="I64" s="105">
        <f t="shared" si="0"/>
        <v>0</v>
      </c>
      <c r="J64" s="150" t="b">
        <v>0</v>
      </c>
      <c r="K64" s="138"/>
      <c r="L64" s="138"/>
      <c r="M64" s="137"/>
    </row>
    <row r="65" spans="2:13">
      <c r="B65" s="132"/>
      <c r="C65" s="133"/>
      <c r="D65" s="134"/>
      <c r="E65" s="133"/>
      <c r="F65" s="135"/>
      <c r="G65" s="136"/>
      <c r="H65" s="136"/>
      <c r="I65" s="105">
        <f t="shared" si="0"/>
        <v>0</v>
      </c>
      <c r="J65" s="150" t="b">
        <v>0</v>
      </c>
      <c r="K65" s="138"/>
      <c r="L65" s="138"/>
      <c r="M65" s="137"/>
    </row>
    <row r="66" spans="2:13">
      <c r="B66" s="132"/>
      <c r="C66" s="133"/>
      <c r="D66" s="134"/>
      <c r="E66" s="133"/>
      <c r="F66" s="135"/>
      <c r="G66" s="136"/>
      <c r="H66" s="136"/>
      <c r="I66" s="105">
        <f t="shared" si="0"/>
        <v>0</v>
      </c>
      <c r="J66" s="150" t="b">
        <v>0</v>
      </c>
      <c r="K66" s="138"/>
      <c r="L66" s="138"/>
      <c r="M66" s="137"/>
    </row>
    <row r="67" spans="2:13">
      <c r="B67" s="132"/>
      <c r="C67" s="133"/>
      <c r="D67" s="134"/>
      <c r="E67" s="133"/>
      <c r="F67" s="135"/>
      <c r="G67" s="136"/>
      <c r="H67" s="136"/>
      <c r="I67" s="105">
        <f t="shared" si="0"/>
        <v>0</v>
      </c>
      <c r="J67" s="150" t="b">
        <v>0</v>
      </c>
      <c r="K67" s="138"/>
      <c r="L67" s="138"/>
      <c r="M67" s="137"/>
    </row>
    <row r="68" spans="2:13">
      <c r="B68" s="132"/>
      <c r="C68" s="133"/>
      <c r="D68" s="134"/>
      <c r="E68" s="133"/>
      <c r="F68" s="135"/>
      <c r="G68" s="136"/>
      <c r="H68" s="136"/>
      <c r="I68" s="105">
        <f t="shared" si="0"/>
        <v>0</v>
      </c>
      <c r="J68" s="150" t="b">
        <v>0</v>
      </c>
      <c r="K68" s="138"/>
      <c r="L68" s="138"/>
      <c r="M68" s="137"/>
    </row>
    <row r="69" spans="2:13">
      <c r="B69" s="132"/>
      <c r="C69" s="133"/>
      <c r="D69" s="134"/>
      <c r="E69" s="133"/>
      <c r="F69" s="135"/>
      <c r="G69" s="136"/>
      <c r="H69" s="136"/>
      <c r="I69" s="105">
        <f t="shared" si="0"/>
        <v>0</v>
      </c>
      <c r="J69" s="150" t="b">
        <v>0</v>
      </c>
      <c r="K69" s="138"/>
      <c r="L69" s="138"/>
      <c r="M69" s="137"/>
    </row>
    <row r="70" spans="2:13">
      <c r="B70" s="132"/>
      <c r="C70" s="133"/>
      <c r="D70" s="134"/>
      <c r="E70" s="133"/>
      <c r="F70" s="135"/>
      <c r="G70" s="136"/>
      <c r="H70" s="136"/>
      <c r="I70" s="105">
        <f t="shared" si="0"/>
        <v>0</v>
      </c>
      <c r="J70" s="150" t="b">
        <v>0</v>
      </c>
      <c r="K70" s="138"/>
      <c r="L70" s="138"/>
      <c r="M70" s="137"/>
    </row>
    <row r="71" spans="2:13">
      <c r="B71" s="132"/>
      <c r="C71" s="133"/>
      <c r="D71" s="134"/>
      <c r="E71" s="133"/>
      <c r="F71" s="135"/>
      <c r="G71" s="136"/>
      <c r="H71" s="136"/>
      <c r="I71" s="105">
        <f t="shared" si="0"/>
        <v>0</v>
      </c>
      <c r="J71" s="150" t="b">
        <v>0</v>
      </c>
      <c r="K71" s="138"/>
      <c r="L71" s="138"/>
      <c r="M71" s="137"/>
    </row>
    <row r="72" spans="2:13">
      <c r="B72" s="132"/>
      <c r="C72" s="133"/>
      <c r="D72" s="134"/>
      <c r="E72" s="133"/>
      <c r="F72" s="135"/>
      <c r="G72" s="136"/>
      <c r="H72" s="136"/>
      <c r="I72" s="105">
        <f t="shared" ref="I72:I116" si="1">G72+H72</f>
        <v>0</v>
      </c>
      <c r="J72" s="150" t="b">
        <v>0</v>
      </c>
      <c r="K72" s="138"/>
      <c r="L72" s="138"/>
      <c r="M72" s="137"/>
    </row>
    <row r="73" spans="2:13">
      <c r="B73" s="132"/>
      <c r="C73" s="133"/>
      <c r="D73" s="134"/>
      <c r="E73" s="133"/>
      <c r="F73" s="135"/>
      <c r="G73" s="136"/>
      <c r="H73" s="136"/>
      <c r="I73" s="105">
        <f t="shared" si="1"/>
        <v>0</v>
      </c>
      <c r="J73" s="150" t="b">
        <v>0</v>
      </c>
      <c r="K73" s="138"/>
      <c r="L73" s="138"/>
      <c r="M73" s="137"/>
    </row>
    <row r="74" spans="2:13">
      <c r="B74" s="132"/>
      <c r="C74" s="133"/>
      <c r="D74" s="134"/>
      <c r="E74" s="133"/>
      <c r="F74" s="135"/>
      <c r="G74" s="136"/>
      <c r="H74" s="136"/>
      <c r="I74" s="105">
        <f t="shared" si="1"/>
        <v>0</v>
      </c>
      <c r="J74" s="150" t="b">
        <v>0</v>
      </c>
      <c r="K74" s="138"/>
      <c r="L74" s="138"/>
      <c r="M74" s="137"/>
    </row>
    <row r="75" spans="2:13">
      <c r="B75" s="132"/>
      <c r="C75" s="133"/>
      <c r="D75" s="134"/>
      <c r="E75" s="133"/>
      <c r="F75" s="135"/>
      <c r="G75" s="136"/>
      <c r="H75" s="136"/>
      <c r="I75" s="105">
        <f t="shared" si="1"/>
        <v>0</v>
      </c>
      <c r="J75" s="150" t="b">
        <v>0</v>
      </c>
      <c r="K75" s="138"/>
      <c r="L75" s="138"/>
      <c r="M75" s="137"/>
    </row>
    <row r="76" spans="2:13">
      <c r="B76" s="132"/>
      <c r="C76" s="133"/>
      <c r="D76" s="134"/>
      <c r="E76" s="133"/>
      <c r="F76" s="135"/>
      <c r="G76" s="136"/>
      <c r="H76" s="136"/>
      <c r="I76" s="105">
        <f t="shared" si="1"/>
        <v>0</v>
      </c>
      <c r="J76" s="150" t="b">
        <v>0</v>
      </c>
      <c r="K76" s="138"/>
      <c r="L76" s="138"/>
      <c r="M76" s="137"/>
    </row>
    <row r="77" spans="2:13">
      <c r="B77" s="132"/>
      <c r="C77" s="133"/>
      <c r="D77" s="134"/>
      <c r="E77" s="133"/>
      <c r="F77" s="135"/>
      <c r="G77" s="136"/>
      <c r="H77" s="136"/>
      <c r="I77" s="105">
        <f t="shared" si="1"/>
        <v>0</v>
      </c>
      <c r="J77" s="150" t="b">
        <v>0</v>
      </c>
      <c r="K77" s="138"/>
      <c r="L77" s="138"/>
      <c r="M77" s="137"/>
    </row>
    <row r="78" spans="2:13">
      <c r="B78" s="132"/>
      <c r="C78" s="133"/>
      <c r="D78" s="134"/>
      <c r="E78" s="133"/>
      <c r="F78" s="135"/>
      <c r="G78" s="136"/>
      <c r="H78" s="136"/>
      <c r="I78" s="105">
        <f t="shared" si="1"/>
        <v>0</v>
      </c>
      <c r="J78" s="150" t="b">
        <v>0</v>
      </c>
      <c r="K78" s="138"/>
      <c r="L78" s="138"/>
      <c r="M78" s="137"/>
    </row>
    <row r="79" spans="2:13">
      <c r="B79" s="132"/>
      <c r="C79" s="133"/>
      <c r="D79" s="134"/>
      <c r="E79" s="133"/>
      <c r="F79" s="135"/>
      <c r="G79" s="136"/>
      <c r="H79" s="136"/>
      <c r="I79" s="105">
        <f t="shared" si="1"/>
        <v>0</v>
      </c>
      <c r="J79" s="150" t="b">
        <v>0</v>
      </c>
      <c r="K79" s="138"/>
      <c r="L79" s="138"/>
      <c r="M79" s="137"/>
    </row>
    <row r="80" spans="2:13">
      <c r="B80" s="132"/>
      <c r="C80" s="133"/>
      <c r="D80" s="134"/>
      <c r="E80" s="133"/>
      <c r="F80" s="135"/>
      <c r="G80" s="136"/>
      <c r="H80" s="136"/>
      <c r="I80" s="105">
        <f t="shared" si="1"/>
        <v>0</v>
      </c>
      <c r="J80" s="150" t="b">
        <v>0</v>
      </c>
      <c r="K80" s="138"/>
      <c r="L80" s="138"/>
      <c r="M80" s="137"/>
    </row>
    <row r="81" spans="2:13">
      <c r="B81" s="132"/>
      <c r="C81" s="133"/>
      <c r="D81" s="134"/>
      <c r="E81" s="133"/>
      <c r="F81" s="135"/>
      <c r="G81" s="136"/>
      <c r="H81" s="136"/>
      <c r="I81" s="105">
        <f t="shared" si="1"/>
        <v>0</v>
      </c>
      <c r="J81" s="150" t="b">
        <v>0</v>
      </c>
      <c r="K81" s="138"/>
      <c r="L81" s="138"/>
      <c r="M81" s="137"/>
    </row>
    <row r="82" spans="2:13">
      <c r="B82" s="132"/>
      <c r="C82" s="133"/>
      <c r="D82" s="134"/>
      <c r="E82" s="133"/>
      <c r="F82" s="135"/>
      <c r="G82" s="136"/>
      <c r="H82" s="136"/>
      <c r="I82" s="105">
        <f t="shared" si="1"/>
        <v>0</v>
      </c>
      <c r="J82" s="150" t="b">
        <v>0</v>
      </c>
      <c r="K82" s="138"/>
      <c r="L82" s="138"/>
      <c r="M82" s="137"/>
    </row>
    <row r="83" spans="2:13">
      <c r="B83" s="132"/>
      <c r="C83" s="133"/>
      <c r="D83" s="134"/>
      <c r="E83" s="133"/>
      <c r="F83" s="135"/>
      <c r="G83" s="136"/>
      <c r="H83" s="136"/>
      <c r="I83" s="105">
        <f t="shared" si="1"/>
        <v>0</v>
      </c>
      <c r="J83" s="150" t="b">
        <v>0</v>
      </c>
      <c r="K83" s="138"/>
      <c r="L83" s="138"/>
      <c r="M83" s="137"/>
    </row>
    <row r="84" spans="2:13">
      <c r="B84" s="132"/>
      <c r="C84" s="133"/>
      <c r="D84" s="134"/>
      <c r="E84" s="133"/>
      <c r="F84" s="135"/>
      <c r="G84" s="136"/>
      <c r="H84" s="136"/>
      <c r="I84" s="105">
        <f t="shared" si="1"/>
        <v>0</v>
      </c>
      <c r="J84" s="150" t="b">
        <v>0</v>
      </c>
      <c r="K84" s="138"/>
      <c r="L84" s="138"/>
      <c r="M84" s="137"/>
    </row>
    <row r="85" spans="2:13">
      <c r="B85" s="132"/>
      <c r="C85" s="133"/>
      <c r="D85" s="134"/>
      <c r="E85" s="133"/>
      <c r="F85" s="135"/>
      <c r="G85" s="136"/>
      <c r="H85" s="136"/>
      <c r="I85" s="105">
        <f t="shared" si="1"/>
        <v>0</v>
      </c>
      <c r="J85" s="150" t="b">
        <v>0</v>
      </c>
      <c r="K85" s="138"/>
      <c r="L85" s="138"/>
      <c r="M85" s="137"/>
    </row>
    <row r="86" spans="2:13">
      <c r="B86" s="132"/>
      <c r="C86" s="133"/>
      <c r="D86" s="134"/>
      <c r="E86" s="133"/>
      <c r="F86" s="135"/>
      <c r="G86" s="136"/>
      <c r="H86" s="136"/>
      <c r="I86" s="105">
        <f t="shared" si="1"/>
        <v>0</v>
      </c>
      <c r="J86" s="150" t="b">
        <v>0</v>
      </c>
      <c r="K86" s="138"/>
      <c r="L86" s="138"/>
      <c r="M86" s="137"/>
    </row>
    <row r="87" spans="2:13">
      <c r="B87" s="132"/>
      <c r="C87" s="133"/>
      <c r="D87" s="134"/>
      <c r="E87" s="133"/>
      <c r="F87" s="135"/>
      <c r="G87" s="136"/>
      <c r="H87" s="136"/>
      <c r="I87" s="105">
        <f t="shared" si="1"/>
        <v>0</v>
      </c>
      <c r="J87" s="150" t="b">
        <v>0</v>
      </c>
      <c r="K87" s="138"/>
      <c r="L87" s="138"/>
      <c r="M87" s="137"/>
    </row>
    <row r="88" spans="2:13">
      <c r="B88" s="132"/>
      <c r="C88" s="133"/>
      <c r="D88" s="134"/>
      <c r="E88" s="133"/>
      <c r="F88" s="135"/>
      <c r="G88" s="136"/>
      <c r="H88" s="136"/>
      <c r="I88" s="105">
        <f t="shared" si="1"/>
        <v>0</v>
      </c>
      <c r="J88" s="150" t="b">
        <v>0</v>
      </c>
      <c r="K88" s="138"/>
      <c r="L88" s="138"/>
      <c r="M88" s="137"/>
    </row>
    <row r="89" spans="2:13">
      <c r="B89" s="132"/>
      <c r="C89" s="133"/>
      <c r="D89" s="134"/>
      <c r="E89" s="133"/>
      <c r="F89" s="135"/>
      <c r="G89" s="136"/>
      <c r="H89" s="136"/>
      <c r="I89" s="105">
        <f t="shared" si="1"/>
        <v>0</v>
      </c>
      <c r="J89" s="150" t="b">
        <v>0</v>
      </c>
      <c r="K89" s="138"/>
      <c r="L89" s="138"/>
      <c r="M89" s="137"/>
    </row>
    <row r="90" spans="2:13">
      <c r="B90" s="132"/>
      <c r="C90" s="133"/>
      <c r="D90" s="134"/>
      <c r="E90" s="133"/>
      <c r="F90" s="135"/>
      <c r="G90" s="136"/>
      <c r="H90" s="136"/>
      <c r="I90" s="105">
        <f t="shared" si="1"/>
        <v>0</v>
      </c>
      <c r="J90" s="150" t="b">
        <v>0</v>
      </c>
      <c r="K90" s="138"/>
      <c r="L90" s="138"/>
      <c r="M90" s="137"/>
    </row>
    <row r="91" spans="2:13">
      <c r="B91" s="132"/>
      <c r="C91" s="133"/>
      <c r="D91" s="134"/>
      <c r="E91" s="133"/>
      <c r="F91" s="135"/>
      <c r="G91" s="136"/>
      <c r="H91" s="136"/>
      <c r="I91" s="105">
        <f t="shared" si="1"/>
        <v>0</v>
      </c>
      <c r="J91" s="150" t="b">
        <v>0</v>
      </c>
      <c r="K91" s="138"/>
      <c r="L91" s="138"/>
      <c r="M91" s="137"/>
    </row>
    <row r="92" spans="2:13">
      <c r="B92" s="132"/>
      <c r="C92" s="133"/>
      <c r="D92" s="134"/>
      <c r="E92" s="133"/>
      <c r="F92" s="135"/>
      <c r="G92" s="136"/>
      <c r="H92" s="136"/>
      <c r="I92" s="105">
        <f t="shared" si="1"/>
        <v>0</v>
      </c>
      <c r="J92" s="150" t="b">
        <v>0</v>
      </c>
      <c r="K92" s="138"/>
      <c r="L92" s="138"/>
      <c r="M92" s="137"/>
    </row>
    <row r="93" spans="2:13">
      <c r="B93" s="132"/>
      <c r="C93" s="133"/>
      <c r="D93" s="134"/>
      <c r="E93" s="133"/>
      <c r="F93" s="135"/>
      <c r="G93" s="136"/>
      <c r="H93" s="136"/>
      <c r="I93" s="105">
        <f t="shared" si="1"/>
        <v>0</v>
      </c>
      <c r="J93" s="150" t="b">
        <v>0</v>
      </c>
      <c r="K93" s="138"/>
      <c r="L93" s="138"/>
      <c r="M93" s="137"/>
    </row>
    <row r="94" spans="2:13">
      <c r="B94" s="132"/>
      <c r="C94" s="133"/>
      <c r="D94" s="134"/>
      <c r="E94" s="133"/>
      <c r="F94" s="135"/>
      <c r="G94" s="136"/>
      <c r="H94" s="136"/>
      <c r="I94" s="105">
        <f t="shared" si="1"/>
        <v>0</v>
      </c>
      <c r="J94" s="150" t="b">
        <v>0</v>
      </c>
      <c r="K94" s="138"/>
      <c r="L94" s="138"/>
      <c r="M94" s="137"/>
    </row>
    <row r="95" spans="2:13">
      <c r="B95" s="132"/>
      <c r="C95" s="133"/>
      <c r="D95" s="134"/>
      <c r="E95" s="133"/>
      <c r="F95" s="135"/>
      <c r="G95" s="136"/>
      <c r="H95" s="136"/>
      <c r="I95" s="105">
        <f t="shared" si="1"/>
        <v>0</v>
      </c>
      <c r="J95" s="150" t="b">
        <v>0</v>
      </c>
      <c r="K95" s="138"/>
      <c r="L95" s="138"/>
      <c r="M95" s="137"/>
    </row>
    <row r="96" spans="2:13">
      <c r="B96" s="132"/>
      <c r="C96" s="133"/>
      <c r="D96" s="134"/>
      <c r="E96" s="133"/>
      <c r="F96" s="135"/>
      <c r="G96" s="136"/>
      <c r="H96" s="136"/>
      <c r="I96" s="105">
        <f t="shared" si="1"/>
        <v>0</v>
      </c>
      <c r="J96" s="150" t="b">
        <v>0</v>
      </c>
      <c r="K96" s="138"/>
      <c r="L96" s="138"/>
      <c r="M96" s="137"/>
    </row>
    <row r="97" spans="2:13">
      <c r="B97" s="132"/>
      <c r="C97" s="133"/>
      <c r="D97" s="134"/>
      <c r="E97" s="133"/>
      <c r="F97" s="135"/>
      <c r="G97" s="136"/>
      <c r="H97" s="136"/>
      <c r="I97" s="105">
        <f t="shared" si="1"/>
        <v>0</v>
      </c>
      <c r="J97" s="150" t="b">
        <v>0</v>
      </c>
      <c r="K97" s="138"/>
      <c r="L97" s="138"/>
      <c r="M97" s="137"/>
    </row>
    <row r="98" spans="2:13">
      <c r="B98" s="132"/>
      <c r="C98" s="133"/>
      <c r="D98" s="134"/>
      <c r="E98" s="133"/>
      <c r="F98" s="135"/>
      <c r="G98" s="136"/>
      <c r="H98" s="136"/>
      <c r="I98" s="105">
        <f t="shared" si="1"/>
        <v>0</v>
      </c>
      <c r="J98" s="150" t="b">
        <v>0</v>
      </c>
      <c r="K98" s="138"/>
      <c r="L98" s="138"/>
      <c r="M98" s="137"/>
    </row>
    <row r="99" spans="2:13">
      <c r="B99" s="132"/>
      <c r="C99" s="133"/>
      <c r="D99" s="134"/>
      <c r="E99" s="133"/>
      <c r="F99" s="135"/>
      <c r="G99" s="136"/>
      <c r="H99" s="136"/>
      <c r="I99" s="105">
        <f t="shared" si="1"/>
        <v>0</v>
      </c>
      <c r="J99" s="150" t="b">
        <v>0</v>
      </c>
      <c r="K99" s="138"/>
      <c r="L99" s="138"/>
      <c r="M99" s="137"/>
    </row>
    <row r="100" spans="2:13">
      <c r="B100" s="132"/>
      <c r="C100" s="133"/>
      <c r="D100" s="134"/>
      <c r="E100" s="133"/>
      <c r="F100" s="135"/>
      <c r="G100" s="136"/>
      <c r="H100" s="136"/>
      <c r="I100" s="105">
        <f t="shared" si="1"/>
        <v>0</v>
      </c>
      <c r="J100" s="150" t="b">
        <v>0</v>
      </c>
      <c r="K100" s="138"/>
      <c r="L100" s="138"/>
      <c r="M100" s="137"/>
    </row>
    <row r="101" spans="2:13">
      <c r="B101" s="132"/>
      <c r="C101" s="133"/>
      <c r="D101" s="134"/>
      <c r="E101" s="133"/>
      <c r="F101" s="135"/>
      <c r="G101" s="136"/>
      <c r="H101" s="136"/>
      <c r="I101" s="105">
        <f t="shared" si="1"/>
        <v>0</v>
      </c>
      <c r="J101" s="150" t="b">
        <v>0</v>
      </c>
      <c r="K101" s="138"/>
      <c r="L101" s="138"/>
      <c r="M101" s="137"/>
    </row>
    <row r="102" spans="2:13">
      <c r="B102" s="132"/>
      <c r="C102" s="133"/>
      <c r="D102" s="134"/>
      <c r="E102" s="133"/>
      <c r="F102" s="135"/>
      <c r="G102" s="136"/>
      <c r="H102" s="136"/>
      <c r="I102" s="105">
        <f t="shared" si="1"/>
        <v>0</v>
      </c>
      <c r="J102" s="150" t="b">
        <v>0</v>
      </c>
      <c r="K102" s="138"/>
      <c r="L102" s="138"/>
      <c r="M102" s="137"/>
    </row>
    <row r="103" spans="2:13">
      <c r="B103" s="132"/>
      <c r="C103" s="133"/>
      <c r="D103" s="134"/>
      <c r="E103" s="133"/>
      <c r="F103" s="135"/>
      <c r="G103" s="136"/>
      <c r="H103" s="136"/>
      <c r="I103" s="105">
        <f t="shared" si="1"/>
        <v>0</v>
      </c>
      <c r="J103" s="150" t="b">
        <v>0</v>
      </c>
      <c r="K103" s="138"/>
      <c r="L103" s="138"/>
      <c r="M103" s="137"/>
    </row>
    <row r="104" spans="2:13">
      <c r="B104" s="132"/>
      <c r="C104" s="133"/>
      <c r="D104" s="134"/>
      <c r="E104" s="133"/>
      <c r="F104" s="135"/>
      <c r="G104" s="136"/>
      <c r="H104" s="136"/>
      <c r="I104" s="105">
        <f t="shared" si="1"/>
        <v>0</v>
      </c>
      <c r="J104" s="150" t="b">
        <v>0</v>
      </c>
      <c r="K104" s="138"/>
      <c r="L104" s="138"/>
      <c r="M104" s="137"/>
    </row>
    <row r="105" spans="2:13">
      <c r="B105" s="132"/>
      <c r="C105" s="133"/>
      <c r="D105" s="134"/>
      <c r="E105" s="133"/>
      <c r="F105" s="135"/>
      <c r="G105" s="136"/>
      <c r="H105" s="136"/>
      <c r="I105" s="105">
        <f t="shared" si="1"/>
        <v>0</v>
      </c>
      <c r="J105" s="150" t="b">
        <v>0</v>
      </c>
      <c r="K105" s="138"/>
      <c r="L105" s="138"/>
      <c r="M105" s="137"/>
    </row>
    <row r="106" spans="2:13">
      <c r="B106" s="132"/>
      <c r="C106" s="133"/>
      <c r="D106" s="134"/>
      <c r="E106" s="133"/>
      <c r="F106" s="135"/>
      <c r="G106" s="136"/>
      <c r="H106" s="136"/>
      <c r="I106" s="105">
        <f t="shared" si="1"/>
        <v>0</v>
      </c>
      <c r="J106" s="150" t="b">
        <v>0</v>
      </c>
      <c r="K106" s="138"/>
      <c r="L106" s="138"/>
      <c r="M106" s="137"/>
    </row>
    <row r="107" spans="2:13">
      <c r="B107" s="132"/>
      <c r="C107" s="133"/>
      <c r="D107" s="134"/>
      <c r="E107" s="133"/>
      <c r="F107" s="135"/>
      <c r="G107" s="136"/>
      <c r="H107" s="136"/>
      <c r="I107" s="105">
        <f t="shared" si="1"/>
        <v>0</v>
      </c>
      <c r="J107" s="150" t="b">
        <v>0</v>
      </c>
      <c r="K107" s="138"/>
      <c r="L107" s="138"/>
      <c r="M107" s="137"/>
    </row>
    <row r="108" spans="2:13">
      <c r="B108" s="132"/>
      <c r="C108" s="133"/>
      <c r="D108" s="134"/>
      <c r="E108" s="133"/>
      <c r="F108" s="135"/>
      <c r="G108" s="136"/>
      <c r="H108" s="136"/>
      <c r="I108" s="105">
        <f t="shared" si="1"/>
        <v>0</v>
      </c>
      <c r="J108" s="150" t="b">
        <v>0</v>
      </c>
      <c r="K108" s="138"/>
      <c r="L108" s="138"/>
      <c r="M108" s="137"/>
    </row>
    <row r="109" spans="2:13">
      <c r="B109" s="132"/>
      <c r="C109" s="133"/>
      <c r="D109" s="134"/>
      <c r="E109" s="133"/>
      <c r="F109" s="135"/>
      <c r="G109" s="136"/>
      <c r="H109" s="136"/>
      <c r="I109" s="105">
        <f t="shared" si="1"/>
        <v>0</v>
      </c>
      <c r="J109" s="150" t="b">
        <v>0</v>
      </c>
      <c r="K109" s="138"/>
      <c r="L109" s="138"/>
      <c r="M109" s="137"/>
    </row>
    <row r="110" spans="2:13">
      <c r="B110" s="132"/>
      <c r="C110" s="133"/>
      <c r="D110" s="134"/>
      <c r="E110" s="133"/>
      <c r="F110" s="135"/>
      <c r="G110" s="136"/>
      <c r="H110" s="136"/>
      <c r="I110" s="105">
        <f t="shared" si="1"/>
        <v>0</v>
      </c>
      <c r="J110" s="150" t="b">
        <v>0</v>
      </c>
      <c r="K110" s="138"/>
      <c r="L110" s="138"/>
      <c r="M110" s="137"/>
    </row>
    <row r="111" spans="2:13">
      <c r="B111" s="132"/>
      <c r="C111" s="133"/>
      <c r="D111" s="134"/>
      <c r="E111" s="133"/>
      <c r="F111" s="135"/>
      <c r="G111" s="136"/>
      <c r="H111" s="136"/>
      <c r="I111" s="105">
        <f t="shared" si="1"/>
        <v>0</v>
      </c>
      <c r="J111" s="150" t="b">
        <v>0</v>
      </c>
      <c r="K111" s="138"/>
      <c r="L111" s="138"/>
      <c r="M111" s="137"/>
    </row>
    <row r="112" spans="2:13">
      <c r="B112" s="132"/>
      <c r="C112" s="133"/>
      <c r="D112" s="134"/>
      <c r="E112" s="133"/>
      <c r="F112" s="135"/>
      <c r="G112" s="136"/>
      <c r="H112" s="136"/>
      <c r="I112" s="105">
        <f t="shared" si="1"/>
        <v>0</v>
      </c>
      <c r="J112" s="150" t="b">
        <v>0</v>
      </c>
      <c r="K112" s="138"/>
      <c r="L112" s="138"/>
      <c r="M112" s="137"/>
    </row>
    <row r="113" spans="2:13">
      <c r="B113" s="132"/>
      <c r="C113" s="133"/>
      <c r="D113" s="134"/>
      <c r="E113" s="133"/>
      <c r="F113" s="135"/>
      <c r="G113" s="136"/>
      <c r="H113" s="136"/>
      <c r="I113" s="105">
        <f t="shared" si="1"/>
        <v>0</v>
      </c>
      <c r="J113" s="150" t="b">
        <v>0</v>
      </c>
      <c r="K113" s="138"/>
      <c r="L113" s="138"/>
      <c r="M113" s="137"/>
    </row>
    <row r="114" spans="2:13">
      <c r="B114" s="132"/>
      <c r="C114" s="133"/>
      <c r="D114" s="134"/>
      <c r="E114" s="133"/>
      <c r="F114" s="135"/>
      <c r="G114" s="136"/>
      <c r="H114" s="136"/>
      <c r="I114" s="105">
        <f t="shared" si="1"/>
        <v>0</v>
      </c>
      <c r="J114" s="150" t="b">
        <v>0</v>
      </c>
      <c r="K114" s="138"/>
      <c r="L114" s="138"/>
      <c r="M114" s="137"/>
    </row>
    <row r="115" spans="2:13">
      <c r="B115" s="132"/>
      <c r="C115" s="133"/>
      <c r="D115" s="134"/>
      <c r="E115" s="133"/>
      <c r="F115" s="135"/>
      <c r="G115" s="136"/>
      <c r="H115" s="136"/>
      <c r="I115" s="105">
        <f t="shared" si="1"/>
        <v>0</v>
      </c>
      <c r="J115" s="150" t="b">
        <v>0</v>
      </c>
      <c r="K115" s="138"/>
      <c r="L115" s="138"/>
      <c r="M115" s="137"/>
    </row>
    <row r="116" spans="2:13">
      <c r="B116" s="132"/>
      <c r="C116" s="133"/>
      <c r="D116" s="134"/>
      <c r="E116" s="133"/>
      <c r="F116" s="135"/>
      <c r="G116" s="136"/>
      <c r="H116" s="136"/>
      <c r="I116" s="105">
        <f t="shared" si="1"/>
        <v>0</v>
      </c>
      <c r="J116" s="150" t="b">
        <v>0</v>
      </c>
      <c r="K116" s="138"/>
      <c r="L116" s="138"/>
      <c r="M116" s="137"/>
    </row>
    <row r="117" spans="2:13" ht="15.75" thickBot="1">
      <c r="B117" s="139"/>
      <c r="G117" s="141">
        <f>SUM(G12:G111)</f>
        <v>97923.810000000012</v>
      </c>
      <c r="H117" s="141">
        <f>SUM(H12:H111)</f>
        <v>12183.66</v>
      </c>
      <c r="I117" s="141">
        <f>SUM(I12:I109)</f>
        <v>112317.37</v>
      </c>
      <c r="J117" s="142"/>
      <c r="K117" s="138"/>
      <c r="L117" s="138"/>
    </row>
    <row r="118" spans="2:13" ht="16.5" thickTop="1" thickBot="1">
      <c r="B118" s="143"/>
      <c r="C118" s="144"/>
      <c r="D118" s="145"/>
      <c r="E118" s="144"/>
      <c r="F118" s="144"/>
      <c r="G118" s="146"/>
      <c r="H118" s="146"/>
      <c r="I118" s="147"/>
      <c r="K118" s="138"/>
      <c r="L118" s="138"/>
    </row>
    <row r="119" spans="2:13">
      <c r="L119" s="138"/>
    </row>
    <row r="120" spans="2:13">
      <c r="L120" s="138"/>
    </row>
  </sheetData>
  <autoFilter ref="B6:M6" xr:uid="{70E2A65F-D2AD-47F0-B895-22283432BB91}"/>
  <mergeCells count="3">
    <mergeCell ref="B1:I1"/>
    <mergeCell ref="B3:I3"/>
    <mergeCell ref="C5:E5"/>
  </mergeCells>
  <conditionalFormatting sqref="J1:J1048576">
    <cfRule type="containsText" dxfId="27" priority="1" operator="containsText" text="FALSE">
      <formula>NOT(ISERROR(SEARCH("FALSE",J1)))</formula>
    </cfRule>
    <cfRule type="containsText" dxfId="26" priority="2" operator="containsText" text="TRUE">
      <formula>NOT(ISERROR(SEARCH("TRUE",J1)))</formula>
    </cfRule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5A054-359D-4FBE-A547-44206DFE51E5}">
  <dimension ref="B1:M119"/>
  <sheetViews>
    <sheetView topLeftCell="B55" workbookViewId="0">
      <selection activeCell="B5" sqref="A5:XFD5"/>
    </sheetView>
  </sheetViews>
  <sheetFormatPr defaultColWidth="8.5703125" defaultRowHeight="15"/>
  <cols>
    <col min="1" max="1" width="3.140625" style="107" customWidth="1"/>
    <col min="2" max="2" width="29.5703125" style="148" customWidth="1"/>
    <col min="3" max="3" width="16" style="107" customWidth="1"/>
    <col min="4" max="4" width="38.42578125" style="140" bestFit="1" customWidth="1"/>
    <col min="5" max="5" width="20.42578125" style="107" customWidth="1"/>
    <col min="6" max="6" width="17.140625" style="107" customWidth="1"/>
    <col min="7" max="8" width="15.42578125" style="149" customWidth="1"/>
    <col min="9" max="9" width="17" style="149" customWidth="1"/>
    <col min="10" max="10" width="15.42578125" style="121" customWidth="1"/>
    <col min="11" max="11" width="41.140625" style="107" customWidth="1"/>
    <col min="12" max="12" width="12.85546875" style="107" bestFit="1" customWidth="1"/>
    <col min="13" max="13" width="28.140625" style="107" customWidth="1"/>
    <col min="14" max="14" width="48.42578125" style="107" customWidth="1"/>
    <col min="15" max="15" width="9.85546875" style="107" customWidth="1"/>
    <col min="16" max="16384" width="8.5703125" style="107"/>
  </cols>
  <sheetData>
    <row r="1" spans="2:13" ht="9" customHeight="1" thickBot="1">
      <c r="B1" s="772"/>
      <c r="C1" s="772"/>
      <c r="D1" s="772"/>
      <c r="E1" s="772"/>
      <c r="F1" s="772"/>
      <c r="G1" s="772"/>
      <c r="H1" s="772"/>
      <c r="I1" s="772"/>
      <c r="J1" s="106"/>
    </row>
    <row r="2" spans="2:13" ht="9" customHeight="1">
      <c r="B2" s="108"/>
      <c r="C2" s="109"/>
      <c r="D2" s="110"/>
      <c r="E2" s="109"/>
      <c r="F2" s="109"/>
      <c r="G2" s="111"/>
      <c r="H2" s="111"/>
      <c r="I2" s="112"/>
      <c r="J2" s="113"/>
    </row>
    <row r="3" spans="2:13">
      <c r="B3" s="773" t="s">
        <v>70</v>
      </c>
      <c r="C3" s="774"/>
      <c r="D3" s="774"/>
      <c r="E3" s="774"/>
      <c r="F3" s="774"/>
      <c r="G3" s="774"/>
      <c r="H3" s="774"/>
      <c r="I3" s="775"/>
      <c r="J3" s="114"/>
    </row>
    <row r="4" spans="2:13">
      <c r="B4" s="115"/>
      <c r="C4" s="106"/>
      <c r="D4" s="116"/>
      <c r="E4" s="106"/>
      <c r="F4" s="106"/>
      <c r="G4" s="117"/>
      <c r="H4" s="117"/>
      <c r="I4" s="118"/>
      <c r="J4" s="113"/>
    </row>
    <row r="5" spans="2:13">
      <c r="B5" s="697" t="s">
        <v>0</v>
      </c>
      <c r="C5" s="698" t="s">
        <v>137</v>
      </c>
      <c r="D5" s="699" t="s">
        <v>647</v>
      </c>
      <c r="E5" s="699"/>
      <c r="F5" s="135"/>
      <c r="G5" s="700"/>
      <c r="H5" s="700"/>
      <c r="I5" s="700"/>
    </row>
    <row r="6" spans="2:13">
      <c r="B6" s="440" t="s">
        <v>385</v>
      </c>
      <c r="C6" s="423" t="s">
        <v>35</v>
      </c>
      <c r="D6" s="167" t="s">
        <v>130</v>
      </c>
      <c r="E6" s="168">
        <v>96104064</v>
      </c>
      <c r="F6" s="424" t="s">
        <v>77</v>
      </c>
      <c r="G6" s="170">
        <v>287965.2</v>
      </c>
      <c r="H6" s="170"/>
      <c r="I6" s="441">
        <f>G6+H6</f>
        <v>287965.2</v>
      </c>
      <c r="J6" s="152" t="s">
        <v>9</v>
      </c>
      <c r="K6" s="138" t="s">
        <v>396</v>
      </c>
      <c r="L6" s="425">
        <v>326736.2</v>
      </c>
      <c r="M6" s="137"/>
    </row>
    <row r="7" spans="2:13">
      <c r="B7" s="174" t="s">
        <v>208</v>
      </c>
      <c r="C7" s="167" t="s">
        <v>35</v>
      </c>
      <c r="D7" s="167" t="s">
        <v>163</v>
      </c>
      <c r="E7" s="167">
        <v>224297</v>
      </c>
      <c r="F7" s="175" t="s">
        <v>65</v>
      </c>
      <c r="G7" s="176">
        <v>749.49</v>
      </c>
      <c r="H7" s="176">
        <v>112.44</v>
      </c>
      <c r="I7" s="177">
        <v>861.92</v>
      </c>
      <c r="J7" s="164" t="s">
        <v>9</v>
      </c>
      <c r="K7" s="138" t="s">
        <v>360</v>
      </c>
      <c r="L7" s="138"/>
      <c r="M7" s="137"/>
    </row>
    <row r="8" spans="2:13">
      <c r="B8" s="270" t="s">
        <v>208</v>
      </c>
      <c r="C8" s="271" t="s">
        <v>35</v>
      </c>
      <c r="D8" s="167" t="s">
        <v>159</v>
      </c>
      <c r="E8" s="168">
        <v>2883159</v>
      </c>
      <c r="F8" s="269" t="s">
        <v>65</v>
      </c>
      <c r="G8" s="170">
        <v>905.4</v>
      </c>
      <c r="H8" s="170">
        <v>135.81</v>
      </c>
      <c r="I8" s="171">
        <v>1041.21</v>
      </c>
      <c r="J8" s="152" t="s">
        <v>9</v>
      </c>
      <c r="K8" s="138" t="s">
        <v>360</v>
      </c>
      <c r="L8" s="138"/>
      <c r="M8" s="137"/>
    </row>
    <row r="9" spans="2:13">
      <c r="B9" s="270" t="s">
        <v>208</v>
      </c>
      <c r="C9" s="271" t="s">
        <v>35</v>
      </c>
      <c r="D9" s="167" t="s">
        <v>159</v>
      </c>
      <c r="E9" s="168">
        <v>2883158</v>
      </c>
      <c r="F9" s="269" t="s">
        <v>65</v>
      </c>
      <c r="G9" s="170">
        <v>2670.4</v>
      </c>
      <c r="H9" s="170">
        <v>400.56</v>
      </c>
      <c r="I9" s="171">
        <v>3070.96</v>
      </c>
      <c r="J9" s="152" t="s">
        <v>9</v>
      </c>
      <c r="K9" s="138" t="s">
        <v>360</v>
      </c>
      <c r="L9" s="138"/>
      <c r="M9" s="137"/>
    </row>
    <row r="10" spans="2:13" s="137" customFormat="1">
      <c r="B10" s="174" t="s">
        <v>208</v>
      </c>
      <c r="C10" s="167" t="s">
        <v>35</v>
      </c>
      <c r="D10" s="167" t="s">
        <v>159</v>
      </c>
      <c r="E10" s="167">
        <v>2883294</v>
      </c>
      <c r="F10" s="175" t="s">
        <v>65</v>
      </c>
      <c r="G10" s="176">
        <v>4536.6899999999996</v>
      </c>
      <c r="H10" s="176">
        <v>680.51</v>
      </c>
      <c r="I10" s="171">
        <v>5217.2</v>
      </c>
      <c r="J10" s="152" t="s">
        <v>9</v>
      </c>
      <c r="K10" s="138" t="s">
        <v>360</v>
      </c>
    </row>
    <row r="11" spans="2:13">
      <c r="B11" s="270" t="s">
        <v>208</v>
      </c>
      <c r="C11" s="271" t="s">
        <v>35</v>
      </c>
      <c r="D11" s="167" t="s">
        <v>159</v>
      </c>
      <c r="E11" s="168">
        <v>2883312</v>
      </c>
      <c r="F11" s="269" t="s">
        <v>64</v>
      </c>
      <c r="G11" s="170">
        <v>6957.08</v>
      </c>
      <c r="H11" s="170">
        <v>1043.56</v>
      </c>
      <c r="I11" s="171">
        <v>8000.64</v>
      </c>
      <c r="J11" s="150" t="s">
        <v>9</v>
      </c>
      <c r="K11" s="138" t="s">
        <v>325</v>
      </c>
      <c r="L11" s="138"/>
      <c r="M11" s="137"/>
    </row>
    <row r="12" spans="2:13">
      <c r="B12" s="270" t="s">
        <v>208</v>
      </c>
      <c r="C12" s="271" t="s">
        <v>35</v>
      </c>
      <c r="D12" s="167" t="s">
        <v>159</v>
      </c>
      <c r="E12" s="168">
        <v>2883118</v>
      </c>
      <c r="F12" s="269" t="s">
        <v>64</v>
      </c>
      <c r="G12" s="170">
        <v>612.16</v>
      </c>
      <c r="H12" s="170">
        <v>91.82</v>
      </c>
      <c r="I12" s="171">
        <v>703.98</v>
      </c>
      <c r="J12" s="150" t="s">
        <v>9</v>
      </c>
      <c r="K12" s="138" t="s">
        <v>325</v>
      </c>
      <c r="L12" s="138"/>
      <c r="M12" s="137"/>
    </row>
    <row r="13" spans="2:13">
      <c r="B13" s="270" t="s">
        <v>208</v>
      </c>
      <c r="C13" s="271" t="s">
        <v>35</v>
      </c>
      <c r="D13" s="167" t="s">
        <v>129</v>
      </c>
      <c r="E13" s="168">
        <v>579757</v>
      </c>
      <c r="F13" s="269" t="s">
        <v>64</v>
      </c>
      <c r="G13" s="170">
        <v>463.92</v>
      </c>
      <c r="H13" s="170">
        <v>69.58</v>
      </c>
      <c r="I13" s="171">
        <f t="shared" ref="I13:I18" si="0">G13+H13</f>
        <v>533.5</v>
      </c>
      <c r="J13" s="152" t="s">
        <v>9</v>
      </c>
      <c r="K13" s="138"/>
      <c r="L13" s="138"/>
      <c r="M13" s="137"/>
    </row>
    <row r="14" spans="2:13">
      <c r="B14" s="172" t="s">
        <v>208</v>
      </c>
      <c r="C14" s="168" t="s">
        <v>35</v>
      </c>
      <c r="D14" s="167" t="s">
        <v>129</v>
      </c>
      <c r="E14" s="168">
        <v>579677</v>
      </c>
      <c r="F14" s="178" t="s">
        <v>64</v>
      </c>
      <c r="G14" s="170">
        <v>4713.8</v>
      </c>
      <c r="H14" s="170">
        <v>707.07</v>
      </c>
      <c r="I14" s="171">
        <f t="shared" si="0"/>
        <v>5420.87</v>
      </c>
      <c r="J14" s="152" t="s">
        <v>9</v>
      </c>
      <c r="K14" s="138"/>
      <c r="L14" s="138"/>
      <c r="M14" s="137"/>
    </row>
    <row r="15" spans="2:13" s="138" customFormat="1">
      <c r="B15" s="174" t="s">
        <v>208</v>
      </c>
      <c r="C15" s="167" t="s">
        <v>35</v>
      </c>
      <c r="D15" s="167" t="s">
        <v>171</v>
      </c>
      <c r="E15" s="167">
        <v>67807</v>
      </c>
      <c r="F15" s="175" t="s">
        <v>65</v>
      </c>
      <c r="G15" s="176">
        <v>5936.82</v>
      </c>
      <c r="H15" s="176">
        <v>890.52</v>
      </c>
      <c r="I15" s="177">
        <f t="shared" si="0"/>
        <v>6827.34</v>
      </c>
      <c r="J15" s="164" t="s">
        <v>9</v>
      </c>
      <c r="K15" s="138" t="s">
        <v>325</v>
      </c>
    </row>
    <row r="16" spans="2:13" s="138" customFormat="1">
      <c r="B16" s="174" t="s">
        <v>217</v>
      </c>
      <c r="C16" s="167" t="s">
        <v>35</v>
      </c>
      <c r="D16" s="167" t="s">
        <v>159</v>
      </c>
      <c r="E16" s="167">
        <v>2883693</v>
      </c>
      <c r="F16" s="175" t="s">
        <v>65</v>
      </c>
      <c r="G16" s="176">
        <v>3530.02</v>
      </c>
      <c r="H16" s="176">
        <v>529.5</v>
      </c>
      <c r="I16" s="171">
        <f t="shared" si="0"/>
        <v>4059.52</v>
      </c>
      <c r="J16" s="150" t="s">
        <v>9</v>
      </c>
      <c r="K16" s="138" t="s">
        <v>325</v>
      </c>
    </row>
    <row r="17" spans="2:13" s="138" customFormat="1">
      <c r="B17" s="281" t="s">
        <v>217</v>
      </c>
      <c r="C17" s="282" t="s">
        <v>42</v>
      </c>
      <c r="D17" s="282" t="s">
        <v>221</v>
      </c>
      <c r="E17" s="282">
        <v>4312</v>
      </c>
      <c r="F17" s="283" t="s">
        <v>222</v>
      </c>
      <c r="G17" s="284">
        <v>3354</v>
      </c>
      <c r="H17" s="284">
        <v>503.1</v>
      </c>
      <c r="I17" s="285">
        <f t="shared" si="0"/>
        <v>3857.1</v>
      </c>
      <c r="J17" s="280" t="s">
        <v>9</v>
      </c>
      <c r="K17" s="138" t="s">
        <v>74</v>
      </c>
    </row>
    <row r="18" spans="2:13">
      <c r="B18" s="277" t="s">
        <v>219</v>
      </c>
      <c r="C18" s="278" t="s">
        <v>35</v>
      </c>
      <c r="D18" s="167" t="s">
        <v>140</v>
      </c>
      <c r="E18" s="168">
        <v>131723456</v>
      </c>
      <c r="F18" s="276" t="s">
        <v>64</v>
      </c>
      <c r="G18" s="170">
        <v>729.67</v>
      </c>
      <c r="H18" s="170">
        <f>96.52+12.94</f>
        <v>109.46</v>
      </c>
      <c r="I18" s="171">
        <f t="shared" si="0"/>
        <v>839.13</v>
      </c>
      <c r="J18" s="152" t="s">
        <v>9</v>
      </c>
      <c r="K18" s="138" t="s">
        <v>220</v>
      </c>
      <c r="L18" s="138"/>
      <c r="M18" s="137"/>
    </row>
    <row r="19" spans="2:13" s="138" customFormat="1">
      <c r="B19" s="174" t="s">
        <v>219</v>
      </c>
      <c r="C19" s="167" t="s">
        <v>35</v>
      </c>
      <c r="D19" s="167" t="s">
        <v>130</v>
      </c>
      <c r="E19" s="167">
        <v>803780609</v>
      </c>
      <c r="F19" s="175" t="s">
        <v>77</v>
      </c>
      <c r="G19" s="176"/>
      <c r="H19" s="176"/>
      <c r="I19" s="171">
        <v>468281.37</v>
      </c>
      <c r="J19" s="152" t="s">
        <v>9</v>
      </c>
    </row>
    <row r="20" spans="2:13" s="138" customFormat="1">
      <c r="B20" s="174" t="s">
        <v>219</v>
      </c>
      <c r="C20" s="167" t="s">
        <v>35</v>
      </c>
      <c r="D20" s="167" t="s">
        <v>152</v>
      </c>
      <c r="E20" s="167">
        <v>260872</v>
      </c>
      <c r="F20" s="175" t="s">
        <v>64</v>
      </c>
      <c r="G20" s="176">
        <v>2843.74</v>
      </c>
      <c r="H20" s="176">
        <v>370.92</v>
      </c>
      <c r="I20" s="171">
        <f>G20+H20</f>
        <v>3214.66</v>
      </c>
      <c r="J20" s="150" t="s">
        <v>9</v>
      </c>
      <c r="K20" s="138" t="s">
        <v>74</v>
      </c>
    </row>
    <row r="21" spans="2:13">
      <c r="B21" s="172" t="s">
        <v>219</v>
      </c>
      <c r="C21" s="168" t="s">
        <v>35</v>
      </c>
      <c r="D21" s="167" t="s">
        <v>152</v>
      </c>
      <c r="E21" s="168">
        <v>260812</v>
      </c>
      <c r="F21" s="178" t="s">
        <v>64</v>
      </c>
      <c r="G21" s="170">
        <v>5590.13</v>
      </c>
      <c r="H21" s="170">
        <v>838.52</v>
      </c>
      <c r="I21" s="171">
        <f>G21+H21</f>
        <v>6428.65</v>
      </c>
      <c r="J21" s="150" t="s">
        <v>9</v>
      </c>
      <c r="K21" s="138" t="s">
        <v>74</v>
      </c>
      <c r="L21" s="138"/>
      <c r="M21" s="137"/>
    </row>
    <row r="22" spans="2:13" s="138" customFormat="1">
      <c r="B22" s="174" t="s">
        <v>274</v>
      </c>
      <c r="C22" s="167" t="s">
        <v>35</v>
      </c>
      <c r="D22" s="167" t="s">
        <v>130</v>
      </c>
      <c r="E22" s="167">
        <v>803784345</v>
      </c>
      <c r="F22" s="175" t="s">
        <v>77</v>
      </c>
      <c r="G22" s="176"/>
      <c r="H22" s="176"/>
      <c r="I22" s="171">
        <v>373553.23</v>
      </c>
      <c r="J22" s="150" t="b">
        <v>0</v>
      </c>
    </row>
    <row r="23" spans="2:13">
      <c r="B23" s="301" t="s">
        <v>274</v>
      </c>
      <c r="C23" s="302" t="s">
        <v>35</v>
      </c>
      <c r="D23" s="167" t="s">
        <v>120</v>
      </c>
      <c r="E23" s="168">
        <v>96010095</v>
      </c>
      <c r="F23" s="303" t="s">
        <v>77</v>
      </c>
      <c r="G23" s="170">
        <v>886.1</v>
      </c>
      <c r="H23" s="170">
        <v>132.91999999999999</v>
      </c>
      <c r="I23" s="171">
        <f>G23+H23</f>
        <v>1019.02</v>
      </c>
      <c r="J23" s="150" t="s">
        <v>9</v>
      </c>
      <c r="K23" s="138" t="s">
        <v>390</v>
      </c>
      <c r="L23" s="138"/>
      <c r="M23" s="137"/>
    </row>
    <row r="24" spans="2:13" s="138" customFormat="1">
      <c r="B24" s="174" t="s">
        <v>280</v>
      </c>
      <c r="C24" s="167" t="s">
        <v>35</v>
      </c>
      <c r="D24" s="167" t="s">
        <v>163</v>
      </c>
      <c r="E24" s="167">
        <v>224922</v>
      </c>
      <c r="F24" s="175" t="s">
        <v>65</v>
      </c>
      <c r="G24" s="176">
        <v>809.48</v>
      </c>
      <c r="H24" s="176">
        <v>121.44</v>
      </c>
      <c r="I24" s="171">
        <f>G24+H24</f>
        <v>930.92000000000007</v>
      </c>
      <c r="J24" s="164" t="s">
        <v>9</v>
      </c>
      <c r="K24" s="138" t="s">
        <v>359</v>
      </c>
    </row>
    <row r="25" spans="2:13">
      <c r="B25" s="172" t="s">
        <v>280</v>
      </c>
      <c r="C25" s="168" t="s">
        <v>35</v>
      </c>
      <c r="D25" s="167" t="s">
        <v>196</v>
      </c>
      <c r="E25" s="168">
        <v>103717</v>
      </c>
      <c r="F25" s="178" t="s">
        <v>65</v>
      </c>
      <c r="G25" s="170">
        <v>4333.6400000000003</v>
      </c>
      <c r="H25" s="170">
        <v>650.04999999999995</v>
      </c>
      <c r="I25" s="171">
        <f>G25+H25</f>
        <v>4983.6900000000005</v>
      </c>
      <c r="J25" s="150" t="s">
        <v>9</v>
      </c>
      <c r="K25" s="138" t="s">
        <v>323</v>
      </c>
      <c r="L25" s="138"/>
      <c r="M25" s="137"/>
    </row>
    <row r="26" spans="2:13">
      <c r="B26" s="172" t="s">
        <v>280</v>
      </c>
      <c r="C26" s="168" t="s">
        <v>35</v>
      </c>
      <c r="D26" s="369" t="s">
        <v>281</v>
      </c>
      <c r="E26" s="168">
        <v>38275</v>
      </c>
      <c r="F26" s="178" t="s">
        <v>64</v>
      </c>
      <c r="G26" s="170">
        <v>1379.46</v>
      </c>
      <c r="H26" s="170">
        <v>185.92</v>
      </c>
      <c r="I26" s="171">
        <v>1565.38</v>
      </c>
      <c r="J26" s="150" t="s">
        <v>9</v>
      </c>
      <c r="K26" s="138" t="s">
        <v>325</v>
      </c>
      <c r="L26" s="138"/>
      <c r="M26" s="137"/>
    </row>
    <row r="27" spans="2:13" s="189" customFormat="1">
      <c r="B27" s="404" t="s">
        <v>280</v>
      </c>
      <c r="C27" s="405" t="s">
        <v>35</v>
      </c>
      <c r="D27" s="405" t="s">
        <v>284</v>
      </c>
      <c r="E27" s="211">
        <v>1448423</v>
      </c>
      <c r="F27" s="406" t="s">
        <v>64</v>
      </c>
      <c r="G27" s="213">
        <v>2848.85</v>
      </c>
      <c r="H27" s="213">
        <v>427.35</v>
      </c>
      <c r="I27" s="171">
        <f t="shared" ref="I27:I33" si="1">G27+H27</f>
        <v>3276.2</v>
      </c>
      <c r="J27" s="150" t="s">
        <v>9</v>
      </c>
      <c r="K27" s="407" t="s">
        <v>359</v>
      </c>
    </row>
    <row r="28" spans="2:13" s="137" customFormat="1">
      <c r="B28" s="174" t="s">
        <v>285</v>
      </c>
      <c r="C28" s="167" t="s">
        <v>35</v>
      </c>
      <c r="D28" s="167" t="s">
        <v>159</v>
      </c>
      <c r="E28" s="167">
        <v>2886687</v>
      </c>
      <c r="F28" s="175" t="s">
        <v>64</v>
      </c>
      <c r="G28" s="176">
        <v>2786.65</v>
      </c>
      <c r="H28" s="176">
        <v>417.99</v>
      </c>
      <c r="I28" s="171">
        <f t="shared" si="1"/>
        <v>3204.6400000000003</v>
      </c>
      <c r="J28" s="150" t="s">
        <v>9</v>
      </c>
      <c r="K28" s="138" t="s">
        <v>325</v>
      </c>
      <c r="L28" s="138"/>
    </row>
    <row r="29" spans="2:13">
      <c r="B29" s="370" t="s">
        <v>285</v>
      </c>
      <c r="C29" s="371" t="s">
        <v>35</v>
      </c>
      <c r="D29" s="167" t="s">
        <v>159</v>
      </c>
      <c r="E29" s="168">
        <v>2886631</v>
      </c>
      <c r="F29" s="372" t="s">
        <v>64</v>
      </c>
      <c r="G29" s="170">
        <v>250.5</v>
      </c>
      <c r="H29" s="170">
        <v>37.58</v>
      </c>
      <c r="I29" s="171">
        <f t="shared" si="1"/>
        <v>288.08</v>
      </c>
      <c r="J29" s="150" t="s">
        <v>9</v>
      </c>
      <c r="K29" s="138" t="s">
        <v>325</v>
      </c>
      <c r="L29" s="138"/>
      <c r="M29" s="137"/>
    </row>
    <row r="30" spans="2:13">
      <c r="B30" s="172" t="s">
        <v>285</v>
      </c>
      <c r="C30" s="168" t="s">
        <v>35</v>
      </c>
      <c r="D30" s="167" t="s">
        <v>159</v>
      </c>
      <c r="E30" s="168">
        <v>2886688</v>
      </c>
      <c r="F30" s="178" t="s">
        <v>64</v>
      </c>
      <c r="G30" s="170">
        <v>392.56</v>
      </c>
      <c r="H30" s="170">
        <v>58.88</v>
      </c>
      <c r="I30" s="171">
        <f t="shared" si="1"/>
        <v>451.44</v>
      </c>
      <c r="J30" s="150" t="s">
        <v>9</v>
      </c>
      <c r="K30" s="138" t="s">
        <v>325</v>
      </c>
      <c r="L30" s="138"/>
      <c r="M30" s="137"/>
    </row>
    <row r="31" spans="2:13">
      <c r="B31" s="174" t="s">
        <v>285</v>
      </c>
      <c r="C31" s="167" t="s">
        <v>35</v>
      </c>
      <c r="D31" s="167" t="s">
        <v>159</v>
      </c>
      <c r="E31" s="167">
        <v>2886689</v>
      </c>
      <c r="F31" s="175" t="s">
        <v>64</v>
      </c>
      <c r="G31" s="176">
        <v>8212.85</v>
      </c>
      <c r="H31" s="176">
        <v>1231.96</v>
      </c>
      <c r="I31" s="171">
        <f t="shared" si="1"/>
        <v>9444.8100000000013</v>
      </c>
      <c r="J31" s="150" t="s">
        <v>9</v>
      </c>
      <c r="K31" s="138" t="s">
        <v>325</v>
      </c>
      <c r="L31" s="138"/>
      <c r="M31" s="137"/>
    </row>
    <row r="32" spans="2:13" s="137" customFormat="1">
      <c r="B32" s="174" t="s">
        <v>288</v>
      </c>
      <c r="C32" s="167" t="s">
        <v>35</v>
      </c>
      <c r="D32" s="167" t="s">
        <v>129</v>
      </c>
      <c r="E32" s="167">
        <v>581805</v>
      </c>
      <c r="F32" s="175" t="s">
        <v>64</v>
      </c>
      <c r="G32" s="176">
        <v>13683.19</v>
      </c>
      <c r="H32" s="176">
        <v>2052.52</v>
      </c>
      <c r="I32" s="171">
        <f t="shared" si="1"/>
        <v>15735.710000000001</v>
      </c>
      <c r="J32" s="152" t="s">
        <v>9</v>
      </c>
      <c r="K32" s="138" t="s">
        <v>325</v>
      </c>
    </row>
    <row r="33" spans="2:13">
      <c r="B33" s="347" t="s">
        <v>288</v>
      </c>
      <c r="C33" s="348" t="s">
        <v>42</v>
      </c>
      <c r="D33" s="167" t="s">
        <v>294</v>
      </c>
      <c r="E33" s="168">
        <v>40660</v>
      </c>
      <c r="F33" s="349" t="s">
        <v>65</v>
      </c>
      <c r="G33" s="170">
        <v>238</v>
      </c>
      <c r="H33" s="170">
        <v>35.700000000000003</v>
      </c>
      <c r="I33" s="171">
        <f t="shared" si="1"/>
        <v>273.7</v>
      </c>
      <c r="J33" s="150" t="s">
        <v>9</v>
      </c>
      <c r="K33" s="138" t="s">
        <v>325</v>
      </c>
      <c r="L33" s="138"/>
      <c r="M33" s="137"/>
    </row>
    <row r="34" spans="2:13">
      <c r="B34" s="314" t="s">
        <v>295</v>
      </c>
      <c r="C34" s="315" t="s">
        <v>35</v>
      </c>
      <c r="D34" s="167" t="s">
        <v>140</v>
      </c>
      <c r="E34" s="168">
        <v>131904796</v>
      </c>
      <c r="F34" s="316" t="s">
        <v>64</v>
      </c>
      <c r="G34" s="170">
        <v>1099.76</v>
      </c>
      <c r="H34" s="170">
        <v>91.71</v>
      </c>
      <c r="I34" s="171">
        <v>1191.47</v>
      </c>
      <c r="J34" s="150" t="s">
        <v>9</v>
      </c>
      <c r="K34" s="138" t="s">
        <v>325</v>
      </c>
      <c r="L34" s="138"/>
      <c r="M34" s="137"/>
    </row>
    <row r="35" spans="2:13">
      <c r="B35" s="172" t="s">
        <v>295</v>
      </c>
      <c r="C35" s="168" t="s">
        <v>35</v>
      </c>
      <c r="D35" s="167" t="s">
        <v>163</v>
      </c>
      <c r="E35" s="168">
        <v>225521</v>
      </c>
      <c r="F35" s="178" t="s">
        <v>65</v>
      </c>
      <c r="G35" s="170"/>
      <c r="H35" s="170"/>
      <c r="I35" s="171">
        <v>930</v>
      </c>
      <c r="J35" s="150" t="s">
        <v>9</v>
      </c>
      <c r="K35" s="138" t="s">
        <v>359</v>
      </c>
      <c r="L35" s="138"/>
      <c r="M35" s="137"/>
    </row>
    <row r="36" spans="2:13">
      <c r="B36" s="172" t="s">
        <v>295</v>
      </c>
      <c r="C36" s="168" t="s">
        <v>42</v>
      </c>
      <c r="D36" s="167" t="s">
        <v>296</v>
      </c>
      <c r="E36" s="168"/>
      <c r="F36" s="178"/>
      <c r="G36" s="170">
        <v>7150</v>
      </c>
      <c r="H36" s="170">
        <v>1072.5</v>
      </c>
      <c r="I36" s="171">
        <f>G36+H36</f>
        <v>8222.5</v>
      </c>
      <c r="J36" s="152" t="s">
        <v>9</v>
      </c>
      <c r="K36" s="138" t="s">
        <v>322</v>
      </c>
      <c r="L36" s="138"/>
      <c r="M36" s="137"/>
    </row>
    <row r="37" spans="2:13">
      <c r="B37" s="172" t="s">
        <v>295</v>
      </c>
      <c r="C37" s="168" t="s">
        <v>42</v>
      </c>
      <c r="D37" s="167" t="s">
        <v>297</v>
      </c>
      <c r="E37" s="168"/>
      <c r="F37" s="178"/>
      <c r="G37" s="170">
        <v>8950</v>
      </c>
      <c r="H37" s="170">
        <v>1342.5</v>
      </c>
      <c r="I37" s="171">
        <f>G37+H37</f>
        <v>10292.5</v>
      </c>
      <c r="J37" s="150" t="s">
        <v>9</v>
      </c>
      <c r="K37" s="138" t="s">
        <v>327</v>
      </c>
      <c r="L37" s="138"/>
      <c r="M37" s="137"/>
    </row>
    <row r="38" spans="2:13">
      <c r="B38" s="172" t="s">
        <v>295</v>
      </c>
      <c r="C38" s="167" t="s">
        <v>35</v>
      </c>
      <c r="D38" s="167" t="s">
        <v>159</v>
      </c>
      <c r="E38" s="167">
        <v>2887098</v>
      </c>
      <c r="F38" s="175" t="s">
        <v>64</v>
      </c>
      <c r="G38" s="176">
        <v>10118.42</v>
      </c>
      <c r="H38" s="176">
        <v>1517.8</v>
      </c>
      <c r="I38" s="171">
        <f>G38+H38</f>
        <v>11636.22</v>
      </c>
      <c r="J38" s="150" t="s">
        <v>9</v>
      </c>
      <c r="K38" s="138" t="s">
        <v>325</v>
      </c>
      <c r="L38" s="138"/>
      <c r="M38" s="137"/>
    </row>
    <row r="39" spans="2:13">
      <c r="B39" s="359" t="s">
        <v>295</v>
      </c>
      <c r="C39" s="360" t="s">
        <v>35</v>
      </c>
      <c r="D39" s="167" t="s">
        <v>130</v>
      </c>
      <c r="E39" s="168">
        <v>96037243</v>
      </c>
      <c r="F39" s="361" t="s">
        <v>77</v>
      </c>
      <c r="G39" s="170"/>
      <c r="H39" s="170"/>
      <c r="I39" s="362">
        <v>195106.97</v>
      </c>
      <c r="J39" s="150" t="b">
        <v>0</v>
      </c>
      <c r="K39" s="138"/>
      <c r="L39" s="138"/>
      <c r="M39" s="137"/>
    </row>
    <row r="40" spans="2:13">
      <c r="B40" s="172" t="s">
        <v>295</v>
      </c>
      <c r="C40" s="168" t="s">
        <v>35</v>
      </c>
      <c r="D40" s="167" t="s">
        <v>152</v>
      </c>
      <c r="E40" s="168" t="s">
        <v>298</v>
      </c>
      <c r="F40" s="178" t="s">
        <v>64</v>
      </c>
      <c r="G40" s="170">
        <f>4003.95+3384.66</f>
        <v>7388.61</v>
      </c>
      <c r="H40" s="170">
        <f>600.59+507.69</f>
        <v>1108.28</v>
      </c>
      <c r="I40" s="171">
        <f>G40+H40</f>
        <v>8496.89</v>
      </c>
      <c r="J40" s="152" t="s">
        <v>9</v>
      </c>
      <c r="K40" s="138" t="s">
        <v>326</v>
      </c>
      <c r="L40" s="138"/>
      <c r="M40" s="137"/>
    </row>
    <row r="41" spans="2:13">
      <c r="B41" s="322" t="s">
        <v>295</v>
      </c>
      <c r="C41" s="323" t="s">
        <v>42</v>
      </c>
      <c r="D41" s="167" t="s">
        <v>304</v>
      </c>
      <c r="E41" s="168"/>
      <c r="F41" s="324" t="s">
        <v>65</v>
      </c>
      <c r="G41" s="170">
        <v>50000</v>
      </c>
      <c r="H41" s="170"/>
      <c r="I41" s="171">
        <f>G41+H41</f>
        <v>50000</v>
      </c>
      <c r="J41" s="152" t="s">
        <v>9</v>
      </c>
      <c r="K41" s="138" t="s">
        <v>322</v>
      </c>
      <c r="L41" s="138"/>
      <c r="M41" s="137"/>
    </row>
    <row r="42" spans="2:13">
      <c r="B42" s="366" t="s">
        <v>307</v>
      </c>
      <c r="C42" s="367" t="s">
        <v>35</v>
      </c>
      <c r="D42" s="167" t="s">
        <v>129</v>
      </c>
      <c r="E42" s="168">
        <v>583572</v>
      </c>
      <c r="F42" s="368" t="s">
        <v>64</v>
      </c>
      <c r="G42" s="170">
        <v>17746.43</v>
      </c>
      <c r="H42" s="170">
        <v>2647.89</v>
      </c>
      <c r="I42" s="171">
        <v>20394.32</v>
      </c>
      <c r="J42" s="150" t="s">
        <v>9</v>
      </c>
      <c r="K42" s="138" t="s">
        <v>325</v>
      </c>
      <c r="L42" s="138"/>
      <c r="M42" s="137"/>
    </row>
    <row r="43" spans="2:13">
      <c r="B43" s="408" t="s">
        <v>307</v>
      </c>
      <c r="C43" s="409" t="s">
        <v>35</v>
      </c>
      <c r="D43" s="409" t="s">
        <v>281</v>
      </c>
      <c r="E43" s="409">
        <v>38606</v>
      </c>
      <c r="F43" s="410" t="s">
        <v>64</v>
      </c>
      <c r="G43" s="411">
        <v>2703.96</v>
      </c>
      <c r="H43" s="411">
        <v>405.59</v>
      </c>
      <c r="I43" s="412">
        <f t="shared" ref="I43:I51" si="2">G43+H43</f>
        <v>3109.55</v>
      </c>
      <c r="J43" s="150" t="s">
        <v>9</v>
      </c>
      <c r="K43" s="138" t="s">
        <v>359</v>
      </c>
      <c r="L43" s="138"/>
      <c r="M43" s="137"/>
    </row>
    <row r="44" spans="2:13">
      <c r="B44" s="376" t="s">
        <v>328</v>
      </c>
      <c r="C44" s="377" t="s">
        <v>42</v>
      </c>
      <c r="D44" s="167" t="s">
        <v>221</v>
      </c>
      <c r="E44" s="168">
        <v>107421</v>
      </c>
      <c r="F44" s="378" t="s">
        <v>60</v>
      </c>
      <c r="G44" s="170">
        <v>2995</v>
      </c>
      <c r="H44" s="170">
        <v>449.25</v>
      </c>
      <c r="I44" s="171">
        <f t="shared" si="2"/>
        <v>3444.25</v>
      </c>
      <c r="J44" s="150" t="s">
        <v>9</v>
      </c>
      <c r="K44" s="138" t="s">
        <v>325</v>
      </c>
      <c r="L44" s="138"/>
      <c r="M44" s="137"/>
    </row>
    <row r="45" spans="2:13">
      <c r="B45" s="172" t="s">
        <v>328</v>
      </c>
      <c r="C45" s="168" t="s">
        <v>35</v>
      </c>
      <c r="D45" s="167" t="s">
        <v>163</v>
      </c>
      <c r="E45" s="168">
        <v>226153</v>
      </c>
      <c r="F45" s="178" t="s">
        <v>65</v>
      </c>
      <c r="G45" s="170">
        <v>622.48</v>
      </c>
      <c r="H45" s="170">
        <v>93.38</v>
      </c>
      <c r="I45" s="171">
        <f t="shared" si="2"/>
        <v>715.86</v>
      </c>
      <c r="J45" s="150" t="s">
        <v>9</v>
      </c>
      <c r="K45" s="138" t="s">
        <v>359</v>
      </c>
      <c r="L45" s="138"/>
      <c r="M45" s="137"/>
    </row>
    <row r="46" spans="2:13">
      <c r="B46" s="172" t="s">
        <v>328</v>
      </c>
      <c r="C46" s="168" t="s">
        <v>42</v>
      </c>
      <c r="D46" s="167" t="s">
        <v>330</v>
      </c>
      <c r="E46" s="168">
        <v>14841</v>
      </c>
      <c r="F46" s="178" t="s">
        <v>65</v>
      </c>
      <c r="G46" s="170">
        <v>2576</v>
      </c>
      <c r="H46" s="170">
        <v>386.4</v>
      </c>
      <c r="I46" s="171">
        <f t="shared" si="2"/>
        <v>2962.4</v>
      </c>
      <c r="J46" s="150" t="s">
        <v>61</v>
      </c>
      <c r="K46" s="138" t="s">
        <v>336</v>
      </c>
      <c r="L46" s="138"/>
      <c r="M46" s="137"/>
    </row>
    <row r="47" spans="2:13">
      <c r="B47" s="376" t="s">
        <v>328</v>
      </c>
      <c r="C47" s="377" t="s">
        <v>42</v>
      </c>
      <c r="D47" s="377" t="s">
        <v>333</v>
      </c>
      <c r="E47" s="377">
        <v>185712</v>
      </c>
      <c r="F47" s="378" t="s">
        <v>60</v>
      </c>
      <c r="G47" s="379">
        <v>3605</v>
      </c>
      <c r="H47" s="379">
        <v>540.75</v>
      </c>
      <c r="I47" s="380">
        <f t="shared" si="2"/>
        <v>4145.75</v>
      </c>
      <c r="J47" s="381" t="s">
        <v>9</v>
      </c>
      <c r="K47" s="138" t="s">
        <v>334</v>
      </c>
      <c r="L47" s="138"/>
      <c r="M47" s="137"/>
    </row>
    <row r="48" spans="2:13">
      <c r="B48" s="376" t="s">
        <v>328</v>
      </c>
      <c r="C48" s="377" t="s">
        <v>35</v>
      </c>
      <c r="D48" s="167" t="s">
        <v>171</v>
      </c>
      <c r="E48" s="168">
        <v>68036</v>
      </c>
      <c r="F48" s="378" t="s">
        <v>65</v>
      </c>
      <c r="G48" s="170">
        <v>3387</v>
      </c>
      <c r="H48" s="170">
        <v>508.05</v>
      </c>
      <c r="I48" s="171">
        <f t="shared" si="2"/>
        <v>3895.05</v>
      </c>
      <c r="J48" s="150" t="s">
        <v>9</v>
      </c>
      <c r="K48" s="138" t="s">
        <v>359</v>
      </c>
      <c r="L48" s="138"/>
      <c r="M48" s="137"/>
    </row>
    <row r="49" spans="2:13">
      <c r="B49" s="172" t="s">
        <v>328</v>
      </c>
      <c r="C49" s="168" t="s">
        <v>35</v>
      </c>
      <c r="D49" s="167" t="s">
        <v>159</v>
      </c>
      <c r="E49" s="168">
        <v>2890480</v>
      </c>
      <c r="F49" s="178" t="s">
        <v>65</v>
      </c>
      <c r="G49" s="170">
        <v>3575.8</v>
      </c>
      <c r="H49" s="170">
        <v>536.37</v>
      </c>
      <c r="I49" s="171">
        <f t="shared" si="2"/>
        <v>4112.17</v>
      </c>
      <c r="J49" s="150" t="s">
        <v>9</v>
      </c>
      <c r="K49" s="138" t="s">
        <v>361</v>
      </c>
      <c r="L49" s="138"/>
      <c r="M49" s="137"/>
    </row>
    <row r="50" spans="2:13">
      <c r="B50" s="172" t="s">
        <v>328</v>
      </c>
      <c r="C50" s="168" t="s">
        <v>42</v>
      </c>
      <c r="D50" s="167" t="s">
        <v>159</v>
      </c>
      <c r="E50" s="168">
        <v>2890543</v>
      </c>
      <c r="F50" s="178" t="s">
        <v>65</v>
      </c>
      <c r="G50" s="170">
        <v>240.3</v>
      </c>
      <c r="H50" s="170">
        <v>36.049999999999997</v>
      </c>
      <c r="I50" s="171">
        <f t="shared" si="2"/>
        <v>276.35000000000002</v>
      </c>
      <c r="J50" s="150" t="s">
        <v>9</v>
      </c>
      <c r="K50" s="138" t="s">
        <v>361</v>
      </c>
      <c r="L50" s="138"/>
      <c r="M50" s="137"/>
    </row>
    <row r="51" spans="2:13">
      <c r="B51" s="172" t="s">
        <v>328</v>
      </c>
      <c r="C51" s="168" t="s">
        <v>35</v>
      </c>
      <c r="D51" s="167" t="s">
        <v>159</v>
      </c>
      <c r="E51" s="168">
        <v>2890540</v>
      </c>
      <c r="F51" s="178" t="s">
        <v>64</v>
      </c>
      <c r="G51" s="170">
        <v>5354.87</v>
      </c>
      <c r="H51" s="170">
        <v>803.24</v>
      </c>
      <c r="I51" s="171">
        <f t="shared" si="2"/>
        <v>6158.11</v>
      </c>
      <c r="J51" s="150" t="s">
        <v>9</v>
      </c>
      <c r="K51" s="138" t="s">
        <v>361</v>
      </c>
      <c r="L51" s="138"/>
      <c r="M51" s="137"/>
    </row>
    <row r="52" spans="2:13">
      <c r="B52" s="172" t="s">
        <v>328</v>
      </c>
      <c r="C52" s="168" t="s">
        <v>35</v>
      </c>
      <c r="D52" s="167" t="s">
        <v>159</v>
      </c>
      <c r="E52" s="168">
        <v>2890542</v>
      </c>
      <c r="F52" s="178" t="s">
        <v>64</v>
      </c>
      <c r="G52" s="170">
        <v>3041.22</v>
      </c>
      <c r="H52" s="170">
        <v>456.19</v>
      </c>
      <c r="I52" s="171">
        <v>3497.41</v>
      </c>
      <c r="J52" s="150" t="s">
        <v>9</v>
      </c>
      <c r="K52" s="138" t="s">
        <v>361</v>
      </c>
      <c r="L52" s="138"/>
      <c r="M52" s="137"/>
    </row>
    <row r="53" spans="2:13">
      <c r="B53" s="172" t="s">
        <v>335</v>
      </c>
      <c r="C53" s="168" t="s">
        <v>35</v>
      </c>
      <c r="D53" s="167" t="s">
        <v>196</v>
      </c>
      <c r="E53" s="168">
        <v>104378</v>
      </c>
      <c r="F53" s="178" t="s">
        <v>65</v>
      </c>
      <c r="G53" s="170">
        <v>3244.39</v>
      </c>
      <c r="H53" s="170">
        <v>486.67</v>
      </c>
      <c r="I53" s="171">
        <f>G53+H53</f>
        <v>3731.06</v>
      </c>
      <c r="J53" s="150" t="s">
        <v>9</v>
      </c>
      <c r="K53" s="138" t="s">
        <v>361</v>
      </c>
      <c r="L53" s="138"/>
      <c r="M53" s="137"/>
    </row>
    <row r="54" spans="2:13">
      <c r="B54" s="172" t="s">
        <v>337</v>
      </c>
      <c r="C54" s="168" t="s">
        <v>35</v>
      </c>
      <c r="D54" s="167" t="s">
        <v>129</v>
      </c>
      <c r="E54" s="168">
        <v>584811</v>
      </c>
      <c r="F54" s="178" t="s">
        <v>64</v>
      </c>
      <c r="G54" s="170">
        <v>6653.09</v>
      </c>
      <c r="H54" s="170">
        <v>997.99</v>
      </c>
      <c r="I54" s="171">
        <f>G54+H54</f>
        <v>7651.08</v>
      </c>
      <c r="J54" s="150" t="s">
        <v>9</v>
      </c>
      <c r="K54" s="138" t="s">
        <v>361</v>
      </c>
      <c r="L54" s="138"/>
      <c r="M54" s="137"/>
    </row>
    <row r="55" spans="2:13">
      <c r="B55" s="172" t="s">
        <v>337</v>
      </c>
      <c r="C55" s="168" t="s">
        <v>42</v>
      </c>
      <c r="D55" s="167" t="s">
        <v>294</v>
      </c>
      <c r="E55" s="168">
        <v>40680</v>
      </c>
      <c r="F55" s="178" t="s">
        <v>65</v>
      </c>
      <c r="G55" s="170">
        <v>3154</v>
      </c>
      <c r="H55" s="170">
        <v>473.1</v>
      </c>
      <c r="I55" s="171">
        <f>G55+H55</f>
        <v>3627.1</v>
      </c>
      <c r="J55" s="150" t="s">
        <v>9</v>
      </c>
      <c r="K55" s="138" t="s">
        <v>359</v>
      </c>
      <c r="L55" s="138"/>
      <c r="M55" s="137"/>
    </row>
    <row r="56" spans="2:13">
      <c r="B56" s="386" t="s">
        <v>337</v>
      </c>
      <c r="C56" s="387" t="s">
        <v>42</v>
      </c>
      <c r="D56" s="167" t="s">
        <v>340</v>
      </c>
      <c r="E56" s="387" t="s">
        <v>341</v>
      </c>
      <c r="F56" s="388" t="s">
        <v>65</v>
      </c>
      <c r="G56" s="170">
        <f>2165+580</f>
        <v>2745</v>
      </c>
      <c r="H56" s="170"/>
      <c r="I56" s="171">
        <f>G56+H56</f>
        <v>2745</v>
      </c>
      <c r="J56" s="150" t="s">
        <v>61</v>
      </c>
      <c r="K56" s="138" t="s">
        <v>369</v>
      </c>
      <c r="L56" s="138"/>
      <c r="M56" s="137"/>
    </row>
    <row r="57" spans="2:13">
      <c r="B57" s="172" t="s">
        <v>337</v>
      </c>
      <c r="C57" s="168" t="s">
        <v>42</v>
      </c>
      <c r="D57" s="167" t="s">
        <v>92</v>
      </c>
      <c r="E57" s="168">
        <v>19007</v>
      </c>
      <c r="F57" s="178" t="s">
        <v>65</v>
      </c>
      <c r="G57" s="170">
        <v>38</v>
      </c>
      <c r="H57" s="170">
        <v>5.7</v>
      </c>
      <c r="I57" s="171">
        <v>43.7</v>
      </c>
      <c r="J57" s="150" t="s">
        <v>9</v>
      </c>
      <c r="K57" s="138" t="s">
        <v>450</v>
      </c>
      <c r="L57" s="138"/>
      <c r="M57" s="137"/>
    </row>
    <row r="58" spans="2:13">
      <c r="B58" s="172" t="s">
        <v>337</v>
      </c>
      <c r="C58" s="168" t="s">
        <v>35</v>
      </c>
      <c r="D58" s="167" t="s">
        <v>152</v>
      </c>
      <c r="E58" s="168" t="s">
        <v>342</v>
      </c>
      <c r="F58" s="178" t="s">
        <v>64</v>
      </c>
      <c r="G58" s="170">
        <f>6606.74+4668.08</f>
        <v>11274.82</v>
      </c>
      <c r="H58" s="170">
        <f>991.03+700.21</f>
        <v>1691.24</v>
      </c>
      <c r="I58" s="171">
        <f t="shared" ref="I58:I86" si="3">G58+H58</f>
        <v>12966.06</v>
      </c>
      <c r="J58" s="150" t="s">
        <v>9</v>
      </c>
      <c r="K58" s="138" t="s">
        <v>336</v>
      </c>
      <c r="L58" s="138"/>
      <c r="M58" s="137"/>
    </row>
    <row r="59" spans="2:13">
      <c r="B59" s="172" t="s">
        <v>337</v>
      </c>
      <c r="C59" s="168" t="s">
        <v>42</v>
      </c>
      <c r="D59" s="167" t="s">
        <v>221</v>
      </c>
      <c r="E59" s="168">
        <v>107715</v>
      </c>
      <c r="F59" s="178" t="s">
        <v>344</v>
      </c>
      <c r="G59" s="170">
        <v>1512.25</v>
      </c>
      <c r="H59" s="170"/>
      <c r="I59" s="171">
        <f t="shared" si="3"/>
        <v>1512.25</v>
      </c>
      <c r="J59" s="152" t="s">
        <v>9</v>
      </c>
      <c r="K59" s="138" t="s">
        <v>397</v>
      </c>
      <c r="L59" s="138"/>
      <c r="M59" s="137"/>
    </row>
    <row r="60" spans="2:13">
      <c r="B60" s="403" t="s">
        <v>345</v>
      </c>
      <c r="C60" s="392" t="s">
        <v>35</v>
      </c>
      <c r="D60" s="167" t="s">
        <v>169</v>
      </c>
      <c r="E60" s="168">
        <v>1749633</v>
      </c>
      <c r="F60" s="393" t="s">
        <v>65</v>
      </c>
      <c r="G60" s="170">
        <v>3294.75</v>
      </c>
      <c r="H60" s="170">
        <v>429.75</v>
      </c>
      <c r="I60" s="171">
        <f t="shared" si="3"/>
        <v>3724.5</v>
      </c>
      <c r="J60" s="150" t="s">
        <v>9</v>
      </c>
      <c r="K60" s="138" t="s">
        <v>358</v>
      </c>
      <c r="L60" s="138"/>
      <c r="M60" s="137"/>
    </row>
    <row r="61" spans="2:13">
      <c r="B61" s="172" t="s">
        <v>345</v>
      </c>
      <c r="C61" s="168" t="s">
        <v>35</v>
      </c>
      <c r="D61" s="167" t="s">
        <v>163</v>
      </c>
      <c r="E61" s="168">
        <v>226777</v>
      </c>
      <c r="F61" s="178" t="s">
        <v>65</v>
      </c>
      <c r="G61" s="170">
        <v>774.59</v>
      </c>
      <c r="H61" s="170">
        <v>116.21</v>
      </c>
      <c r="I61" s="171">
        <f t="shared" si="3"/>
        <v>890.80000000000007</v>
      </c>
      <c r="J61" s="152" t="s">
        <v>9</v>
      </c>
      <c r="K61" s="138" t="s">
        <v>397</v>
      </c>
      <c r="L61" s="138"/>
      <c r="M61" s="137"/>
    </row>
    <row r="62" spans="2:13">
      <c r="B62" s="172" t="s">
        <v>350</v>
      </c>
      <c r="C62" s="168" t="s">
        <v>35</v>
      </c>
      <c r="D62" s="167" t="s">
        <v>351</v>
      </c>
      <c r="E62" s="168">
        <v>398447</v>
      </c>
      <c r="F62" s="178" t="s">
        <v>64</v>
      </c>
      <c r="G62" s="170">
        <v>4708.0200000000004</v>
      </c>
      <c r="H62" s="170">
        <v>706.2</v>
      </c>
      <c r="I62" s="171">
        <f t="shared" si="3"/>
        <v>5414.22</v>
      </c>
      <c r="J62" s="152" t="s">
        <v>9</v>
      </c>
      <c r="K62" s="138" t="s">
        <v>399</v>
      </c>
      <c r="L62" s="138"/>
      <c r="M62" s="137"/>
    </row>
    <row r="63" spans="2:13">
      <c r="B63" s="172" t="s">
        <v>350</v>
      </c>
      <c r="C63" s="168" t="s">
        <v>35</v>
      </c>
      <c r="D63" s="167" t="s">
        <v>159</v>
      </c>
      <c r="E63" s="168">
        <v>2893536</v>
      </c>
      <c r="F63" s="178" t="s">
        <v>64</v>
      </c>
      <c r="G63" s="170">
        <v>2385.5500000000002</v>
      </c>
      <c r="H63" s="170">
        <v>357.85</v>
      </c>
      <c r="I63" s="171">
        <f t="shared" si="3"/>
        <v>2743.4</v>
      </c>
      <c r="J63" s="152" t="s">
        <v>9</v>
      </c>
      <c r="K63" s="138" t="s">
        <v>397</v>
      </c>
      <c r="L63" s="138"/>
      <c r="M63" s="137"/>
    </row>
    <row r="64" spans="2:13">
      <c r="B64" s="172" t="s">
        <v>350</v>
      </c>
      <c r="C64" s="168" t="s">
        <v>35</v>
      </c>
      <c r="D64" s="167" t="s">
        <v>159</v>
      </c>
      <c r="E64" s="168">
        <v>2893480</v>
      </c>
      <c r="F64" s="178" t="s">
        <v>64</v>
      </c>
      <c r="G64" s="170">
        <v>944</v>
      </c>
      <c r="H64" s="170">
        <v>141.71</v>
      </c>
      <c r="I64" s="171">
        <f t="shared" si="3"/>
        <v>1085.71</v>
      </c>
      <c r="J64" s="152" t="s">
        <v>9</v>
      </c>
      <c r="K64" s="138" t="s">
        <v>397</v>
      </c>
      <c r="L64" s="138"/>
      <c r="M64" s="137"/>
    </row>
    <row r="65" spans="2:13">
      <c r="B65" s="172" t="s">
        <v>350</v>
      </c>
      <c r="C65" s="168" t="s">
        <v>42</v>
      </c>
      <c r="D65" s="167" t="s">
        <v>353</v>
      </c>
      <c r="E65" s="168">
        <v>25097</v>
      </c>
      <c r="F65" s="178" t="s">
        <v>354</v>
      </c>
      <c r="G65" s="170">
        <v>450</v>
      </c>
      <c r="H65" s="170">
        <v>67.5</v>
      </c>
      <c r="I65" s="171">
        <f t="shared" si="3"/>
        <v>517.5</v>
      </c>
      <c r="J65" s="150" t="s">
        <v>9</v>
      </c>
      <c r="K65" s="138" t="s">
        <v>358</v>
      </c>
      <c r="L65" s="138"/>
      <c r="M65" s="137"/>
    </row>
    <row r="66" spans="2:13">
      <c r="B66" s="172" t="s">
        <v>350</v>
      </c>
      <c r="C66" s="168" t="s">
        <v>35</v>
      </c>
      <c r="D66" s="167" t="s">
        <v>130</v>
      </c>
      <c r="E66" s="168">
        <v>96079421</v>
      </c>
      <c r="F66" s="178" t="s">
        <v>344</v>
      </c>
      <c r="G66" s="170">
        <v>306550.21999999997</v>
      </c>
      <c r="H66" s="170"/>
      <c r="I66" s="171">
        <f t="shared" si="3"/>
        <v>306550.21999999997</v>
      </c>
      <c r="J66" s="150" t="s">
        <v>9</v>
      </c>
      <c r="K66" s="138" t="s">
        <v>368</v>
      </c>
      <c r="L66" s="138"/>
      <c r="M66" s="137"/>
    </row>
    <row r="67" spans="2:13">
      <c r="B67" s="172" t="s">
        <v>350</v>
      </c>
      <c r="C67" s="168" t="s">
        <v>35</v>
      </c>
      <c r="D67" s="167" t="s">
        <v>196</v>
      </c>
      <c r="E67" s="168">
        <v>104745</v>
      </c>
      <c r="F67" s="178" t="s">
        <v>65</v>
      </c>
      <c r="G67" s="170">
        <v>4061.27</v>
      </c>
      <c r="H67" s="170">
        <v>609.19000000000005</v>
      </c>
      <c r="I67" s="171">
        <f t="shared" si="3"/>
        <v>4670.46</v>
      </c>
      <c r="J67" s="152" t="s">
        <v>9</v>
      </c>
      <c r="K67" s="138" t="s">
        <v>397</v>
      </c>
      <c r="L67" s="138"/>
      <c r="M67" s="137"/>
    </row>
    <row r="68" spans="2:13">
      <c r="B68" s="172" t="s">
        <v>366</v>
      </c>
      <c r="C68" s="168" t="s">
        <v>35</v>
      </c>
      <c r="D68" s="167" t="s">
        <v>129</v>
      </c>
      <c r="E68" s="168">
        <v>85955</v>
      </c>
      <c r="F68" s="178" t="s">
        <v>64</v>
      </c>
      <c r="G68" s="170">
        <v>5399.58</v>
      </c>
      <c r="H68" s="170">
        <v>809.97</v>
      </c>
      <c r="I68" s="171">
        <f t="shared" si="3"/>
        <v>6209.55</v>
      </c>
      <c r="J68" s="152" t="s">
        <v>9</v>
      </c>
      <c r="K68" s="138" t="s">
        <v>397</v>
      </c>
      <c r="L68" s="138"/>
      <c r="M68" s="137"/>
    </row>
    <row r="69" spans="2:13">
      <c r="B69" s="172" t="s">
        <v>372</v>
      </c>
      <c r="C69" s="168" t="s">
        <v>42</v>
      </c>
      <c r="D69" s="167" t="s">
        <v>215</v>
      </c>
      <c r="E69" s="168">
        <v>40847</v>
      </c>
      <c r="F69" s="178" t="s">
        <v>373</v>
      </c>
      <c r="G69" s="170">
        <v>1478.26</v>
      </c>
      <c r="H69" s="170">
        <v>221.74</v>
      </c>
      <c r="I69" s="171">
        <f t="shared" si="3"/>
        <v>1700</v>
      </c>
      <c r="J69" s="152" t="s">
        <v>9</v>
      </c>
      <c r="K69" s="138" t="s">
        <v>397</v>
      </c>
      <c r="L69" s="138"/>
      <c r="M69" s="137"/>
    </row>
    <row r="70" spans="2:13">
      <c r="B70" s="172" t="s">
        <v>366</v>
      </c>
      <c r="C70" s="168" t="s">
        <v>42</v>
      </c>
      <c r="D70" s="167" t="s">
        <v>333</v>
      </c>
      <c r="E70" s="168">
        <v>185925</v>
      </c>
      <c r="F70" s="178" t="s">
        <v>374</v>
      </c>
      <c r="G70" s="170">
        <v>37736.44</v>
      </c>
      <c r="H70" s="170">
        <v>5660.47</v>
      </c>
      <c r="I70" s="171">
        <f t="shared" si="3"/>
        <v>43396.91</v>
      </c>
      <c r="J70" s="150" t="s">
        <v>9</v>
      </c>
      <c r="K70" s="138"/>
      <c r="L70" s="138"/>
      <c r="M70" s="137"/>
    </row>
    <row r="71" spans="2:13">
      <c r="B71" s="172" t="s">
        <v>375</v>
      </c>
      <c r="C71" s="168" t="s">
        <v>42</v>
      </c>
      <c r="D71" s="167" t="s">
        <v>135</v>
      </c>
      <c r="E71" s="168" t="s">
        <v>380</v>
      </c>
      <c r="F71" s="178" t="s">
        <v>222</v>
      </c>
      <c r="G71" s="170">
        <v>3500</v>
      </c>
      <c r="H71" s="170"/>
      <c r="I71" s="171">
        <f t="shared" si="3"/>
        <v>3500</v>
      </c>
      <c r="J71" s="152" t="s">
        <v>9</v>
      </c>
      <c r="K71" s="138" t="s">
        <v>398</v>
      </c>
      <c r="L71" s="138"/>
      <c r="M71" s="137"/>
    </row>
    <row r="72" spans="2:13">
      <c r="B72" s="172" t="s">
        <v>382</v>
      </c>
      <c r="C72" s="168" t="s">
        <v>35</v>
      </c>
      <c r="D72" s="167" t="s">
        <v>159</v>
      </c>
      <c r="E72" s="168">
        <v>2894433</v>
      </c>
      <c r="F72" s="178" t="s">
        <v>64</v>
      </c>
      <c r="G72" s="170">
        <v>3902.49</v>
      </c>
      <c r="H72" s="170">
        <v>585.38</v>
      </c>
      <c r="I72" s="171">
        <f t="shared" si="3"/>
        <v>4487.87</v>
      </c>
      <c r="J72" s="152" t="s">
        <v>9</v>
      </c>
      <c r="K72" s="138" t="s">
        <v>397</v>
      </c>
      <c r="L72" s="138"/>
      <c r="M72" s="137"/>
    </row>
    <row r="73" spans="2:13">
      <c r="B73" s="172" t="s">
        <v>375</v>
      </c>
      <c r="C73" s="168" t="s">
        <v>35</v>
      </c>
      <c r="D73" s="167" t="s">
        <v>159</v>
      </c>
      <c r="E73" s="168">
        <v>2894470</v>
      </c>
      <c r="F73" s="178" t="s">
        <v>64</v>
      </c>
      <c r="G73" s="170">
        <v>922.96</v>
      </c>
      <c r="H73" s="170">
        <v>138.44999999999999</v>
      </c>
      <c r="I73" s="171">
        <f t="shared" si="3"/>
        <v>1061.4100000000001</v>
      </c>
      <c r="J73" s="152" t="s">
        <v>9</v>
      </c>
      <c r="K73" s="138" t="s">
        <v>397</v>
      </c>
      <c r="L73" s="138"/>
      <c r="M73" s="137"/>
    </row>
    <row r="74" spans="2:13">
      <c r="B74" s="172" t="s">
        <v>375</v>
      </c>
      <c r="C74" s="168" t="s">
        <v>35</v>
      </c>
      <c r="D74" s="167" t="s">
        <v>159</v>
      </c>
      <c r="E74" s="168">
        <v>2894428</v>
      </c>
      <c r="F74" s="178" t="s">
        <v>64</v>
      </c>
      <c r="G74" s="170">
        <v>2753.68</v>
      </c>
      <c r="H74" s="170">
        <v>413.07</v>
      </c>
      <c r="I74" s="171">
        <f t="shared" si="3"/>
        <v>3166.75</v>
      </c>
      <c r="J74" s="152" t="s">
        <v>9</v>
      </c>
      <c r="K74" s="138" t="s">
        <v>397</v>
      </c>
      <c r="L74" s="138"/>
      <c r="M74" s="137"/>
    </row>
    <row r="75" spans="2:13">
      <c r="B75" s="172" t="s">
        <v>375</v>
      </c>
      <c r="C75" s="168" t="s">
        <v>42</v>
      </c>
      <c r="D75" s="167" t="s">
        <v>383</v>
      </c>
      <c r="E75" s="168">
        <v>169265</v>
      </c>
      <c r="F75" s="178" t="s">
        <v>65</v>
      </c>
      <c r="G75" s="170">
        <v>1058.9000000000001</v>
      </c>
      <c r="H75" s="170">
        <v>158.84</v>
      </c>
      <c r="I75" s="171">
        <f t="shared" si="3"/>
        <v>1217.74</v>
      </c>
      <c r="J75" s="152" t="s">
        <v>9</v>
      </c>
      <c r="K75" s="138" t="s">
        <v>397</v>
      </c>
      <c r="L75" s="138"/>
      <c r="M75" s="137"/>
    </row>
    <row r="76" spans="2:13">
      <c r="B76" s="172" t="s">
        <v>375</v>
      </c>
      <c r="C76" s="168" t="s">
        <v>35</v>
      </c>
      <c r="D76" s="167" t="s">
        <v>163</v>
      </c>
      <c r="E76" s="168">
        <v>227496</v>
      </c>
      <c r="F76" s="178" t="s">
        <v>65</v>
      </c>
      <c r="G76" s="170">
        <v>1071.8</v>
      </c>
      <c r="H76" s="170"/>
      <c r="I76" s="171">
        <f t="shared" si="3"/>
        <v>1071.8</v>
      </c>
      <c r="J76" s="152" t="s">
        <v>9</v>
      </c>
      <c r="K76" s="138" t="s">
        <v>397</v>
      </c>
      <c r="L76" s="138"/>
      <c r="M76" s="137"/>
    </row>
    <row r="77" spans="2:13">
      <c r="B77" s="172" t="s">
        <v>381</v>
      </c>
      <c r="C77" s="168" t="s">
        <v>42</v>
      </c>
      <c r="D77" s="167" t="s">
        <v>221</v>
      </c>
      <c r="E77" s="168">
        <v>107915</v>
      </c>
      <c r="F77" s="178" t="s">
        <v>77</v>
      </c>
      <c r="G77" s="170">
        <v>1556</v>
      </c>
      <c r="H77" s="170">
        <v>233.4</v>
      </c>
      <c r="I77" s="171">
        <f t="shared" si="3"/>
        <v>1789.4</v>
      </c>
      <c r="J77" s="152" t="s">
        <v>9</v>
      </c>
      <c r="K77" s="138" t="s">
        <v>397</v>
      </c>
      <c r="L77" s="138"/>
      <c r="M77" s="137"/>
    </row>
    <row r="78" spans="2:13">
      <c r="B78" s="172" t="s">
        <v>381</v>
      </c>
      <c r="C78" s="168" t="s">
        <v>35</v>
      </c>
      <c r="D78" s="167" t="s">
        <v>172</v>
      </c>
      <c r="E78" s="168">
        <v>203859</v>
      </c>
      <c r="F78" s="178" t="s">
        <v>64</v>
      </c>
      <c r="G78" s="170">
        <v>853.25</v>
      </c>
      <c r="H78" s="170">
        <f>G78*15%</f>
        <v>127.9875</v>
      </c>
      <c r="I78" s="171">
        <f t="shared" si="3"/>
        <v>981.23749999999995</v>
      </c>
      <c r="J78" s="152" t="s">
        <v>9</v>
      </c>
      <c r="K78" s="138" t="s">
        <v>397</v>
      </c>
      <c r="L78" s="138"/>
      <c r="M78" s="137"/>
    </row>
    <row r="79" spans="2:13">
      <c r="B79" s="172" t="s">
        <v>381</v>
      </c>
      <c r="C79" s="168" t="s">
        <v>35</v>
      </c>
      <c r="D79" s="167" t="s">
        <v>129</v>
      </c>
      <c r="E79" s="168">
        <v>586626</v>
      </c>
      <c r="F79" s="178" t="s">
        <v>64</v>
      </c>
      <c r="G79" s="170">
        <v>7711.39</v>
      </c>
      <c r="H79" s="170">
        <v>1156.75</v>
      </c>
      <c r="I79" s="171">
        <f t="shared" si="3"/>
        <v>8868.14</v>
      </c>
      <c r="J79" s="152" t="s">
        <v>9</v>
      </c>
      <c r="K79" s="138" t="s">
        <v>397</v>
      </c>
      <c r="L79" s="138"/>
      <c r="M79" s="137"/>
    </row>
    <row r="80" spans="2:13">
      <c r="B80" s="172" t="s">
        <v>381</v>
      </c>
      <c r="C80" s="168" t="s">
        <v>42</v>
      </c>
      <c r="D80" s="167" t="s">
        <v>294</v>
      </c>
      <c r="E80" s="168">
        <v>40702</v>
      </c>
      <c r="F80" s="178" t="s">
        <v>65</v>
      </c>
      <c r="G80" s="170">
        <v>516</v>
      </c>
      <c r="H80" s="170">
        <f>G80*15%</f>
        <v>77.399999999999991</v>
      </c>
      <c r="I80" s="171">
        <f t="shared" si="3"/>
        <v>593.4</v>
      </c>
      <c r="J80" s="152" t="s">
        <v>9</v>
      </c>
      <c r="K80" s="138" t="s">
        <v>397</v>
      </c>
      <c r="L80" s="138"/>
      <c r="M80" s="137"/>
    </row>
    <row r="81" spans="2:13">
      <c r="B81" s="172" t="s">
        <v>385</v>
      </c>
      <c r="C81" s="168" t="s">
        <v>35</v>
      </c>
      <c r="D81" s="167" t="s">
        <v>152</v>
      </c>
      <c r="E81" s="168">
        <v>263696</v>
      </c>
      <c r="F81" s="178" t="s">
        <v>64</v>
      </c>
      <c r="G81" s="170">
        <v>8258.84</v>
      </c>
      <c r="H81" s="170">
        <f>G81*15%</f>
        <v>1238.826</v>
      </c>
      <c r="I81" s="171">
        <f t="shared" si="3"/>
        <v>9497.6660000000011</v>
      </c>
      <c r="J81" s="150" t="s">
        <v>9</v>
      </c>
      <c r="K81" s="138" t="s">
        <v>386</v>
      </c>
      <c r="L81" s="138"/>
      <c r="M81" s="137"/>
    </row>
    <row r="82" spans="2:13">
      <c r="B82" s="172" t="s">
        <v>385</v>
      </c>
      <c r="C82" s="168" t="s">
        <v>35</v>
      </c>
      <c r="D82" s="167" t="s">
        <v>152</v>
      </c>
      <c r="E82" s="168">
        <v>263672</v>
      </c>
      <c r="F82" s="178" t="s">
        <v>64</v>
      </c>
      <c r="G82" s="170">
        <v>3314.1</v>
      </c>
      <c r="H82" s="170">
        <f>G82*15%</f>
        <v>497.11499999999995</v>
      </c>
      <c r="I82" s="171">
        <f t="shared" si="3"/>
        <v>3811.2149999999997</v>
      </c>
      <c r="J82" s="150" t="s">
        <v>9</v>
      </c>
      <c r="K82" s="138" t="s">
        <v>386</v>
      </c>
      <c r="L82" s="138"/>
      <c r="M82" s="137"/>
    </row>
    <row r="83" spans="2:13">
      <c r="B83" s="172" t="s">
        <v>385</v>
      </c>
      <c r="C83" s="168" t="s">
        <v>35</v>
      </c>
      <c r="D83" s="167" t="s">
        <v>169</v>
      </c>
      <c r="E83" s="168">
        <v>1755122</v>
      </c>
      <c r="F83" s="178" t="s">
        <v>65</v>
      </c>
      <c r="G83" s="170">
        <v>1075.25</v>
      </c>
      <c r="H83" s="170">
        <f>G83*15%</f>
        <v>161.28749999999999</v>
      </c>
      <c r="I83" s="171">
        <f t="shared" si="3"/>
        <v>1236.5374999999999</v>
      </c>
      <c r="J83" s="152" t="s">
        <v>9</v>
      </c>
      <c r="K83" s="138" t="s">
        <v>397</v>
      </c>
      <c r="L83" s="138"/>
      <c r="M83" s="137"/>
    </row>
    <row r="84" spans="2:13">
      <c r="B84" s="172" t="s">
        <v>385</v>
      </c>
      <c r="C84" s="168" t="s">
        <v>35</v>
      </c>
      <c r="D84" s="167" t="s">
        <v>142</v>
      </c>
      <c r="E84" s="168">
        <v>30428</v>
      </c>
      <c r="F84" s="178" t="s">
        <v>65</v>
      </c>
      <c r="G84" s="170">
        <v>1140</v>
      </c>
      <c r="H84" s="170">
        <f>G84*15%</f>
        <v>171</v>
      </c>
      <c r="I84" s="171">
        <f t="shared" si="3"/>
        <v>1311</v>
      </c>
      <c r="J84" s="152" t="s">
        <v>9</v>
      </c>
      <c r="K84" s="138" t="s">
        <v>397</v>
      </c>
      <c r="L84" s="138"/>
      <c r="M84" s="137"/>
    </row>
    <row r="85" spans="2:13">
      <c r="B85" s="172" t="s">
        <v>385</v>
      </c>
      <c r="C85" s="168" t="s">
        <v>42</v>
      </c>
      <c r="D85" s="167" t="s">
        <v>395</v>
      </c>
      <c r="E85" s="168" t="s">
        <v>388</v>
      </c>
      <c r="F85" s="178" t="s">
        <v>222</v>
      </c>
      <c r="G85" s="170">
        <v>413.89</v>
      </c>
      <c r="H85" s="170">
        <v>0</v>
      </c>
      <c r="I85" s="171">
        <f t="shared" si="3"/>
        <v>413.89</v>
      </c>
      <c r="J85" s="152" t="s">
        <v>9</v>
      </c>
      <c r="K85" s="138" t="s">
        <v>397</v>
      </c>
      <c r="L85" s="138"/>
      <c r="M85" s="137"/>
    </row>
    <row r="86" spans="2:13">
      <c r="B86" s="172" t="s">
        <v>385</v>
      </c>
      <c r="C86" s="168" t="s">
        <v>35</v>
      </c>
      <c r="D86" s="167" t="s">
        <v>120</v>
      </c>
      <c r="E86" s="168">
        <v>96096938</v>
      </c>
      <c r="F86" s="178" t="s">
        <v>77</v>
      </c>
      <c r="G86" s="170">
        <v>4754.0600000000004</v>
      </c>
      <c r="H86" s="170">
        <v>713.11</v>
      </c>
      <c r="I86" s="171">
        <f t="shared" si="3"/>
        <v>5467.17</v>
      </c>
      <c r="J86" s="150" t="s">
        <v>9</v>
      </c>
      <c r="K86" s="138" t="s">
        <v>390</v>
      </c>
      <c r="L86" s="375"/>
      <c r="M86" s="137"/>
    </row>
    <row r="87" spans="2:13">
      <c r="B87" s="476" t="s">
        <v>385</v>
      </c>
      <c r="C87" s="423" t="s">
        <v>35</v>
      </c>
      <c r="D87" s="167" t="s">
        <v>163</v>
      </c>
      <c r="E87" s="168">
        <v>227823</v>
      </c>
      <c r="F87" s="424" t="s">
        <v>65</v>
      </c>
      <c r="G87" s="170">
        <v>367.89</v>
      </c>
      <c r="H87" s="170">
        <v>55.18</v>
      </c>
      <c r="I87" s="171">
        <f t="shared" ref="I87:I116" si="4">G87+H87</f>
        <v>423.07</v>
      </c>
      <c r="J87" s="150" t="s">
        <v>9</v>
      </c>
      <c r="K87" s="138" t="s">
        <v>425</v>
      </c>
      <c r="L87" s="425"/>
      <c r="M87" s="137"/>
    </row>
    <row r="88" spans="2:13">
      <c r="B88" s="476" t="s">
        <v>400</v>
      </c>
      <c r="C88" s="423" t="s">
        <v>35</v>
      </c>
      <c r="D88" s="167" t="s">
        <v>129</v>
      </c>
      <c r="E88" s="168">
        <v>587482</v>
      </c>
      <c r="F88" s="424" t="s">
        <v>64</v>
      </c>
      <c r="G88" s="170">
        <v>7271.71</v>
      </c>
      <c r="H88" s="170">
        <v>1090.76</v>
      </c>
      <c r="I88" s="171">
        <f t="shared" si="4"/>
        <v>8362.4699999999993</v>
      </c>
      <c r="J88" s="150" t="s">
        <v>9</v>
      </c>
      <c r="K88" s="138" t="s">
        <v>425</v>
      </c>
      <c r="L88" s="425"/>
      <c r="M88" s="137"/>
    </row>
    <row r="89" spans="2:13">
      <c r="B89" s="172" t="s">
        <v>400</v>
      </c>
      <c r="C89" s="168" t="s">
        <v>35</v>
      </c>
      <c r="D89" s="167" t="s">
        <v>159</v>
      </c>
      <c r="E89" s="168">
        <v>2896964</v>
      </c>
      <c r="F89" s="178" t="s">
        <v>64</v>
      </c>
      <c r="G89" s="170">
        <v>516.52</v>
      </c>
      <c r="H89" s="170">
        <v>77.48</v>
      </c>
      <c r="I89" s="171">
        <f t="shared" si="4"/>
        <v>594</v>
      </c>
      <c r="J89" s="150" t="s">
        <v>9</v>
      </c>
      <c r="K89" s="138" t="s">
        <v>425</v>
      </c>
      <c r="L89" s="138"/>
      <c r="M89" s="137"/>
    </row>
    <row r="90" spans="2:13">
      <c r="B90" s="172" t="s">
        <v>400</v>
      </c>
      <c r="C90" s="168" t="s">
        <v>35</v>
      </c>
      <c r="D90" s="167" t="s">
        <v>159</v>
      </c>
      <c r="E90" s="168">
        <v>2896919</v>
      </c>
      <c r="F90" s="178" t="s">
        <v>65</v>
      </c>
      <c r="G90" s="170">
        <v>2426.88</v>
      </c>
      <c r="H90" s="170">
        <v>364.06</v>
      </c>
      <c r="I90" s="171">
        <f t="shared" si="4"/>
        <v>2790.94</v>
      </c>
      <c r="J90" s="150" t="s">
        <v>9</v>
      </c>
      <c r="K90" s="138" t="s">
        <v>425</v>
      </c>
      <c r="L90" s="138"/>
      <c r="M90" s="137"/>
    </row>
    <row r="91" spans="2:13">
      <c r="B91" s="172" t="s">
        <v>400</v>
      </c>
      <c r="C91" s="168" t="s">
        <v>35</v>
      </c>
      <c r="D91" s="167" t="s">
        <v>159</v>
      </c>
      <c r="E91" s="168">
        <v>2896898</v>
      </c>
      <c r="F91" s="178" t="s">
        <v>64</v>
      </c>
      <c r="G91" s="170">
        <v>3541.34</v>
      </c>
      <c r="H91" s="170">
        <v>531.20000000000005</v>
      </c>
      <c r="I91" s="171">
        <f t="shared" si="4"/>
        <v>4072.54</v>
      </c>
      <c r="J91" s="150" t="s">
        <v>9</v>
      </c>
      <c r="K91" s="138" t="s">
        <v>425</v>
      </c>
      <c r="L91" s="138"/>
      <c r="M91" s="137"/>
    </row>
    <row r="92" spans="2:13">
      <c r="B92" s="172" t="s">
        <v>400</v>
      </c>
      <c r="C92" s="168" t="s">
        <v>35</v>
      </c>
      <c r="D92" s="167" t="s">
        <v>159</v>
      </c>
      <c r="E92" s="168">
        <v>2896975</v>
      </c>
      <c r="F92" s="178" t="s">
        <v>64</v>
      </c>
      <c r="G92" s="170">
        <v>2228.71</v>
      </c>
      <c r="H92" s="170">
        <v>334.3</v>
      </c>
      <c r="I92" s="171">
        <f t="shared" si="4"/>
        <v>2563.0100000000002</v>
      </c>
      <c r="J92" s="150" t="s">
        <v>9</v>
      </c>
      <c r="K92" s="138" t="s">
        <v>425</v>
      </c>
      <c r="L92" s="138"/>
      <c r="M92" s="137"/>
    </row>
    <row r="93" spans="2:13">
      <c r="B93" s="172" t="s">
        <v>400</v>
      </c>
      <c r="C93" s="168" t="s">
        <v>35</v>
      </c>
      <c r="D93" s="167" t="s">
        <v>159</v>
      </c>
      <c r="E93" s="168">
        <v>2896949</v>
      </c>
      <c r="F93" s="178" t="s">
        <v>64</v>
      </c>
      <c r="G93" s="170">
        <v>274.61</v>
      </c>
      <c r="H93" s="170">
        <v>41.19</v>
      </c>
      <c r="I93" s="171">
        <f t="shared" si="4"/>
        <v>315.8</v>
      </c>
      <c r="J93" s="150" t="s">
        <v>9</v>
      </c>
      <c r="K93" s="138" t="s">
        <v>425</v>
      </c>
      <c r="L93" s="138"/>
      <c r="M93" s="137"/>
    </row>
    <row r="94" spans="2:13">
      <c r="B94" s="172" t="s">
        <v>400</v>
      </c>
      <c r="C94" s="168" t="s">
        <v>35</v>
      </c>
      <c r="D94" s="167" t="s">
        <v>159</v>
      </c>
      <c r="E94" s="168">
        <v>2896928</v>
      </c>
      <c r="F94" s="178" t="s">
        <v>64</v>
      </c>
      <c r="G94" s="170">
        <v>156.80000000000001</v>
      </c>
      <c r="H94" s="170">
        <v>23.52</v>
      </c>
      <c r="I94" s="171">
        <f t="shared" si="4"/>
        <v>180.32000000000002</v>
      </c>
      <c r="J94" s="150" t="s">
        <v>9</v>
      </c>
      <c r="K94" s="138" t="s">
        <v>425</v>
      </c>
      <c r="L94" s="138"/>
      <c r="M94" s="137"/>
    </row>
    <row r="95" spans="2:13">
      <c r="B95" s="172" t="s">
        <v>400</v>
      </c>
      <c r="C95" s="168" t="s">
        <v>35</v>
      </c>
      <c r="D95" s="167" t="s">
        <v>196</v>
      </c>
      <c r="E95" s="168">
        <v>105286</v>
      </c>
      <c r="F95" s="178" t="s">
        <v>65</v>
      </c>
      <c r="G95" s="170">
        <v>7815.45</v>
      </c>
      <c r="H95" s="170">
        <v>1172.3399999999999</v>
      </c>
      <c r="I95" s="171">
        <f t="shared" si="4"/>
        <v>8987.7899999999991</v>
      </c>
      <c r="J95" s="150" t="s">
        <v>9</v>
      </c>
      <c r="K95" s="138" t="s">
        <v>425</v>
      </c>
      <c r="L95" s="138"/>
      <c r="M95" s="137"/>
    </row>
    <row r="96" spans="2:13">
      <c r="B96" s="132"/>
      <c r="C96" s="133"/>
      <c r="D96" s="134"/>
      <c r="E96" s="133"/>
      <c r="F96" s="135"/>
      <c r="G96" s="136"/>
      <c r="H96" s="136"/>
      <c r="I96" s="105">
        <f t="shared" si="4"/>
        <v>0</v>
      </c>
      <c r="J96" s="150" t="b">
        <v>0</v>
      </c>
      <c r="K96" s="138"/>
      <c r="L96" s="138"/>
      <c r="M96" s="137"/>
    </row>
    <row r="97" spans="2:13">
      <c r="B97" s="132"/>
      <c r="C97" s="133"/>
      <c r="D97" s="134"/>
      <c r="E97" s="133"/>
      <c r="F97" s="135"/>
      <c r="G97" s="136"/>
      <c r="H97" s="136"/>
      <c r="I97" s="105">
        <f t="shared" si="4"/>
        <v>0</v>
      </c>
      <c r="J97" s="150" t="b">
        <v>0</v>
      </c>
      <c r="K97" s="138"/>
      <c r="L97" s="138"/>
      <c r="M97" s="137"/>
    </row>
    <row r="98" spans="2:13">
      <c r="B98" s="132"/>
      <c r="C98" s="133"/>
      <c r="D98" s="134"/>
      <c r="E98" s="133"/>
      <c r="F98" s="135"/>
      <c r="G98" s="136"/>
      <c r="H98" s="136"/>
      <c r="I98" s="105">
        <f t="shared" si="4"/>
        <v>0</v>
      </c>
      <c r="J98" s="150" t="b">
        <v>0</v>
      </c>
      <c r="K98" s="138"/>
      <c r="L98" s="138"/>
      <c r="M98" s="137"/>
    </row>
    <row r="99" spans="2:13">
      <c r="B99" s="132"/>
      <c r="C99" s="133"/>
      <c r="D99" s="134"/>
      <c r="E99" s="133"/>
      <c r="F99" s="135"/>
      <c r="G99" s="136"/>
      <c r="H99" s="136"/>
      <c r="I99" s="105">
        <f t="shared" si="4"/>
        <v>0</v>
      </c>
      <c r="J99" s="150" t="b">
        <v>0</v>
      </c>
      <c r="K99" s="138"/>
      <c r="L99" s="138"/>
      <c r="M99" s="137"/>
    </row>
    <row r="100" spans="2:13">
      <c r="B100" s="132"/>
      <c r="C100" s="133"/>
      <c r="D100" s="134"/>
      <c r="E100" s="133"/>
      <c r="F100" s="135"/>
      <c r="G100" s="136"/>
      <c r="H100" s="136"/>
      <c r="I100" s="105">
        <f t="shared" si="4"/>
        <v>0</v>
      </c>
      <c r="J100" s="150" t="b">
        <v>0</v>
      </c>
      <c r="K100" s="138"/>
      <c r="L100" s="138"/>
      <c r="M100" s="137"/>
    </row>
    <row r="101" spans="2:13">
      <c r="B101" s="132"/>
      <c r="C101" s="133"/>
      <c r="D101" s="134"/>
      <c r="E101" s="133"/>
      <c r="F101" s="135"/>
      <c r="G101" s="136"/>
      <c r="H101" s="136"/>
      <c r="I101" s="105">
        <f t="shared" si="4"/>
        <v>0</v>
      </c>
      <c r="J101" s="150" t="b">
        <v>0</v>
      </c>
      <c r="K101" s="138"/>
      <c r="L101" s="138"/>
      <c r="M101" s="137"/>
    </row>
    <row r="102" spans="2:13">
      <c r="B102" s="132"/>
      <c r="C102" s="133"/>
      <c r="D102" s="134"/>
      <c r="E102" s="133"/>
      <c r="F102" s="135"/>
      <c r="G102" s="136"/>
      <c r="H102" s="136"/>
      <c r="I102" s="105">
        <f t="shared" si="4"/>
        <v>0</v>
      </c>
      <c r="J102" s="150" t="b">
        <v>0</v>
      </c>
      <c r="K102" s="138"/>
      <c r="L102" s="138"/>
      <c r="M102" s="137"/>
    </row>
    <row r="103" spans="2:13">
      <c r="B103" s="132"/>
      <c r="C103" s="133"/>
      <c r="D103" s="134"/>
      <c r="E103" s="133"/>
      <c r="F103" s="135"/>
      <c r="G103" s="136"/>
      <c r="H103" s="136"/>
      <c r="I103" s="105">
        <f t="shared" si="4"/>
        <v>0</v>
      </c>
      <c r="J103" s="150" t="b">
        <v>0</v>
      </c>
      <c r="K103" s="138"/>
      <c r="L103" s="138"/>
      <c r="M103" s="137"/>
    </row>
    <row r="104" spans="2:13">
      <c r="B104" s="132"/>
      <c r="C104" s="133"/>
      <c r="D104" s="134"/>
      <c r="E104" s="133"/>
      <c r="F104" s="135"/>
      <c r="G104" s="136"/>
      <c r="H104" s="136"/>
      <c r="I104" s="105">
        <f t="shared" si="4"/>
        <v>0</v>
      </c>
      <c r="J104" s="150" t="b">
        <v>0</v>
      </c>
      <c r="K104" s="138"/>
      <c r="L104" s="138"/>
      <c r="M104" s="137"/>
    </row>
    <row r="105" spans="2:13">
      <c r="B105" s="132"/>
      <c r="C105" s="133"/>
      <c r="D105" s="134"/>
      <c r="E105" s="133"/>
      <c r="F105" s="135"/>
      <c r="G105" s="136"/>
      <c r="H105" s="136"/>
      <c r="I105" s="105">
        <f t="shared" si="4"/>
        <v>0</v>
      </c>
      <c r="J105" s="150" t="b">
        <v>0</v>
      </c>
      <c r="K105" s="138"/>
      <c r="L105" s="138"/>
      <c r="M105" s="137"/>
    </row>
    <row r="106" spans="2:13">
      <c r="B106" s="132"/>
      <c r="C106" s="133"/>
      <c r="D106" s="134"/>
      <c r="E106" s="133"/>
      <c r="F106" s="135"/>
      <c r="G106" s="136"/>
      <c r="H106" s="136"/>
      <c r="I106" s="105">
        <f t="shared" si="4"/>
        <v>0</v>
      </c>
      <c r="J106" s="150" t="b">
        <v>0</v>
      </c>
      <c r="K106" s="138"/>
      <c r="L106" s="138"/>
      <c r="M106" s="137"/>
    </row>
    <row r="107" spans="2:13">
      <c r="B107" s="132"/>
      <c r="C107" s="133"/>
      <c r="D107" s="134"/>
      <c r="E107" s="133"/>
      <c r="F107" s="135"/>
      <c r="G107" s="136" t="s">
        <v>438</v>
      </c>
      <c r="H107" s="136"/>
      <c r="I107" s="105" t="e">
        <f t="shared" si="4"/>
        <v>#VALUE!</v>
      </c>
      <c r="J107" s="150" t="b">
        <v>0</v>
      </c>
      <c r="K107" s="138"/>
      <c r="L107" s="138"/>
      <c r="M107" s="137"/>
    </row>
    <row r="108" spans="2:13">
      <c r="B108" s="132"/>
      <c r="C108" s="133"/>
      <c r="D108" s="134"/>
      <c r="E108" s="133"/>
      <c r="F108" s="135"/>
      <c r="G108" s="136"/>
      <c r="H108" s="136"/>
      <c r="I108" s="105">
        <f t="shared" si="4"/>
        <v>0</v>
      </c>
      <c r="J108" s="150" t="b">
        <v>0</v>
      </c>
      <c r="K108" s="138"/>
      <c r="L108" s="138"/>
      <c r="M108" s="137"/>
    </row>
    <row r="109" spans="2:13">
      <c r="B109" s="132"/>
      <c r="C109" s="133"/>
      <c r="D109" s="134"/>
      <c r="E109" s="133"/>
      <c r="F109" s="135"/>
      <c r="G109" s="136"/>
      <c r="H109" s="136"/>
      <c r="I109" s="105">
        <f t="shared" si="4"/>
        <v>0</v>
      </c>
      <c r="J109" s="150" t="b">
        <v>0</v>
      </c>
      <c r="K109" s="138"/>
      <c r="L109" s="138"/>
      <c r="M109" s="137"/>
    </row>
    <row r="110" spans="2:13">
      <c r="B110" s="132"/>
      <c r="C110" s="133"/>
      <c r="D110" s="134"/>
      <c r="E110" s="133"/>
      <c r="F110" s="135"/>
      <c r="G110" s="136"/>
      <c r="H110" s="136"/>
      <c r="I110" s="105">
        <f t="shared" si="4"/>
        <v>0</v>
      </c>
      <c r="J110" s="150" t="b">
        <v>0</v>
      </c>
      <c r="K110" s="138"/>
      <c r="L110" s="138"/>
      <c r="M110" s="137"/>
    </row>
    <row r="111" spans="2:13">
      <c r="B111" s="132"/>
      <c r="C111" s="133"/>
      <c r="D111" s="134"/>
      <c r="E111" s="133"/>
      <c r="F111" s="135"/>
      <c r="G111" s="136"/>
      <c r="H111" s="136"/>
      <c r="I111" s="105">
        <f t="shared" si="4"/>
        <v>0</v>
      </c>
      <c r="J111" s="150" t="b">
        <v>0</v>
      </c>
      <c r="K111" s="138"/>
      <c r="L111" s="138"/>
      <c r="M111" s="137"/>
    </row>
    <row r="112" spans="2:13">
      <c r="B112" s="132"/>
      <c r="C112" s="133"/>
      <c r="D112" s="134"/>
      <c r="E112" s="133"/>
      <c r="F112" s="135"/>
      <c r="G112" s="136"/>
      <c r="H112" s="136"/>
      <c r="I112" s="105">
        <f t="shared" si="4"/>
        <v>0</v>
      </c>
      <c r="J112" s="150" t="b">
        <v>0</v>
      </c>
      <c r="K112" s="138"/>
      <c r="L112" s="138"/>
      <c r="M112" s="137"/>
    </row>
    <row r="113" spans="2:13">
      <c r="B113" s="132"/>
      <c r="C113" s="133"/>
      <c r="D113" s="134"/>
      <c r="E113" s="133"/>
      <c r="F113" s="135"/>
      <c r="G113" s="136"/>
      <c r="H113" s="136"/>
      <c r="I113" s="105">
        <f t="shared" si="4"/>
        <v>0</v>
      </c>
      <c r="J113" s="150" t="b">
        <v>0</v>
      </c>
      <c r="K113" s="138"/>
      <c r="L113" s="138"/>
      <c r="M113" s="137"/>
    </row>
    <row r="114" spans="2:13">
      <c r="B114" s="132"/>
      <c r="C114" s="133"/>
      <c r="D114" s="134"/>
      <c r="E114" s="133"/>
      <c r="F114" s="135"/>
      <c r="G114" s="136"/>
      <c r="H114" s="136"/>
      <c r="I114" s="105">
        <f t="shared" si="4"/>
        <v>0</v>
      </c>
      <c r="J114" s="150" t="b">
        <v>0</v>
      </c>
      <c r="K114" s="138"/>
      <c r="L114" s="138"/>
      <c r="M114" s="137"/>
    </row>
    <row r="115" spans="2:13">
      <c r="B115" s="132"/>
      <c r="C115" s="133"/>
      <c r="D115" s="134"/>
      <c r="E115" s="133"/>
      <c r="F115" s="135"/>
      <c r="G115" s="136"/>
      <c r="H115" s="136"/>
      <c r="I115" s="105">
        <f t="shared" si="4"/>
        <v>0</v>
      </c>
      <c r="J115" s="150" t="b">
        <v>0</v>
      </c>
      <c r="K115" s="138"/>
      <c r="L115" s="138"/>
      <c r="M115" s="137"/>
    </row>
    <row r="116" spans="2:13">
      <c r="B116" s="132"/>
      <c r="C116" s="133"/>
      <c r="D116" s="134"/>
      <c r="E116" s="133"/>
      <c r="F116" s="135"/>
      <c r="G116" s="136"/>
      <c r="H116" s="136"/>
      <c r="I116" s="105">
        <f t="shared" si="4"/>
        <v>0</v>
      </c>
      <c r="J116" s="150" t="b">
        <v>0</v>
      </c>
      <c r="K116" s="138"/>
      <c r="L116" s="138"/>
      <c r="M116" s="137"/>
    </row>
    <row r="117" spans="2:13" ht="15.75" thickBot="1">
      <c r="B117" s="139"/>
      <c r="G117" s="141">
        <f>SUM(G7:G111)</f>
        <v>673776.2</v>
      </c>
      <c r="H117" s="141">
        <f>SUM(H7:H111)</f>
        <v>45969.565999999992</v>
      </c>
      <c r="I117" s="141" t="e">
        <f>SUM(I7:I109)</f>
        <v>#VALUE!</v>
      </c>
      <c r="J117" s="142"/>
      <c r="K117" s="138"/>
      <c r="L117" s="138"/>
    </row>
    <row r="118" spans="2:13" ht="16.5" thickTop="1" thickBot="1">
      <c r="B118" s="143"/>
      <c r="C118" s="144"/>
      <c r="D118" s="145"/>
      <c r="E118" s="144"/>
      <c r="F118" s="144"/>
      <c r="G118" s="146"/>
      <c r="H118" s="146"/>
      <c r="I118" s="147"/>
      <c r="K118" s="138"/>
      <c r="L118" s="137">
        <v>5773.08</v>
      </c>
      <c r="M118" s="137"/>
    </row>
    <row r="119" spans="2:13">
      <c r="L119" s="375">
        <f>L86-L118</f>
        <v>-5773.08</v>
      </c>
      <c r="M119" s="137" t="s">
        <v>391</v>
      </c>
    </row>
  </sheetData>
  <autoFilter ref="B5:M5" xr:uid="{DA35A054-359D-4FBE-A547-44206DFE51E5}"/>
  <sortState xmlns:xlrd2="http://schemas.microsoft.com/office/spreadsheetml/2017/richdata2" ref="B6:M119">
    <sortCondition ref="D6:D119"/>
  </sortState>
  <mergeCells count="2">
    <mergeCell ref="B1:I1"/>
    <mergeCell ref="B3:I3"/>
  </mergeCells>
  <conditionalFormatting sqref="J1:J1048576">
    <cfRule type="containsText" dxfId="25" priority="1" operator="containsText" text="FALSE">
      <formula>NOT(ISERROR(SEARCH("FALSE",J1)))</formula>
    </cfRule>
    <cfRule type="containsText" dxfId="24" priority="2" operator="containsText" text="TRUE">
      <formula>NOT(ISERROR(SEARCH("TRUE",J1)))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FC150-16DB-4EE0-976B-B83FBCC1DF2C}">
  <dimension ref="B1:M125"/>
  <sheetViews>
    <sheetView topLeftCell="B34" workbookViewId="0">
      <selection activeCell="B7" sqref="A7:XFD7"/>
    </sheetView>
  </sheetViews>
  <sheetFormatPr defaultColWidth="8.5703125" defaultRowHeight="15"/>
  <cols>
    <col min="1" max="1" width="3.140625" style="107" customWidth="1"/>
    <col min="2" max="2" width="29.5703125" style="148" customWidth="1"/>
    <col min="3" max="3" width="14.42578125" style="107" customWidth="1"/>
    <col min="4" max="4" width="38.42578125" style="140" bestFit="1" customWidth="1"/>
    <col min="5" max="5" width="20.42578125" style="107" customWidth="1"/>
    <col min="6" max="6" width="17.140625" style="107" customWidth="1"/>
    <col min="7" max="8" width="15.42578125" style="149" customWidth="1"/>
    <col min="9" max="9" width="17" style="149" customWidth="1"/>
    <col min="10" max="10" width="15.42578125" style="121" customWidth="1"/>
    <col min="11" max="11" width="41.140625" style="107" customWidth="1"/>
    <col min="12" max="12" width="12.85546875" style="107" bestFit="1" customWidth="1"/>
    <col min="13" max="13" width="28.140625" style="107" customWidth="1"/>
    <col min="14" max="14" width="48.42578125" style="107" customWidth="1"/>
    <col min="15" max="15" width="9.85546875" style="107" customWidth="1"/>
    <col min="16" max="16384" width="8.5703125" style="107"/>
  </cols>
  <sheetData>
    <row r="1" spans="2:13" ht="9" customHeight="1" thickBot="1">
      <c r="B1" s="772"/>
      <c r="C1" s="772"/>
      <c r="D1" s="772"/>
      <c r="E1" s="772"/>
      <c r="F1" s="772"/>
      <c r="G1" s="772"/>
      <c r="H1" s="772"/>
      <c r="I1" s="772"/>
      <c r="J1" s="106"/>
    </row>
    <row r="2" spans="2:13" ht="9" customHeight="1">
      <c r="B2" s="108"/>
      <c r="C2" s="109"/>
      <c r="D2" s="110"/>
      <c r="E2" s="109"/>
      <c r="F2" s="109"/>
      <c r="G2" s="111"/>
      <c r="H2" s="111"/>
      <c r="I2" s="112"/>
      <c r="J2" s="113"/>
    </row>
    <row r="3" spans="2:13">
      <c r="B3" s="773" t="s">
        <v>70</v>
      </c>
      <c r="C3" s="774"/>
      <c r="D3" s="774"/>
      <c r="E3" s="774"/>
      <c r="F3" s="774"/>
      <c r="G3" s="774"/>
      <c r="H3" s="774"/>
      <c r="I3" s="775"/>
      <c r="J3" s="114"/>
    </row>
    <row r="4" spans="2:13">
      <c r="B4" s="115"/>
      <c r="C4" s="106"/>
      <c r="D4" s="116"/>
      <c r="E4" s="106"/>
      <c r="F4" s="106"/>
      <c r="G4" s="117"/>
      <c r="H4" s="117"/>
      <c r="I4" s="118"/>
      <c r="J4" s="113"/>
    </row>
    <row r="5" spans="2:13">
      <c r="B5" s="115" t="s">
        <v>0</v>
      </c>
      <c r="C5" s="776" t="s">
        <v>137</v>
      </c>
      <c r="D5" s="777"/>
      <c r="E5" s="777"/>
      <c r="G5" s="119"/>
      <c r="H5" s="119"/>
      <c r="I5" s="120"/>
    </row>
    <row r="6" spans="2:13">
      <c r="B6" s="122" t="s">
        <v>1</v>
      </c>
      <c r="C6" s="123" t="s">
        <v>2</v>
      </c>
      <c r="D6" s="124" t="s">
        <v>3</v>
      </c>
      <c r="E6" s="125" t="s">
        <v>4</v>
      </c>
      <c r="F6" s="124" t="s">
        <v>5</v>
      </c>
      <c r="G6" s="126" t="s">
        <v>6</v>
      </c>
      <c r="H6" s="126" t="s">
        <v>7</v>
      </c>
      <c r="I6" s="127" t="s">
        <v>8</v>
      </c>
      <c r="J6" s="128" t="s">
        <v>9</v>
      </c>
      <c r="K6" s="128" t="s">
        <v>33</v>
      </c>
      <c r="L6" s="129"/>
      <c r="M6" s="129"/>
    </row>
    <row r="7" spans="2:13">
      <c r="B7" s="130"/>
      <c r="C7" s="123"/>
      <c r="D7" s="124"/>
      <c r="E7" s="125"/>
      <c r="F7" s="124"/>
      <c r="G7" s="126"/>
      <c r="H7" s="126"/>
      <c r="I7" s="131"/>
      <c r="J7" s="128"/>
      <c r="K7" s="128"/>
      <c r="L7" s="129"/>
      <c r="M7" s="129"/>
    </row>
    <row r="8" spans="2:13">
      <c r="B8" s="193"/>
      <c r="C8" s="202"/>
      <c r="D8" s="194"/>
      <c r="E8" s="125"/>
      <c r="F8" s="124"/>
      <c r="G8" s="195"/>
      <c r="H8" s="126"/>
      <c r="I8" s="131"/>
      <c r="J8" s="128"/>
      <c r="K8" s="128"/>
      <c r="L8" s="129"/>
      <c r="M8" s="129"/>
    </row>
    <row r="9" spans="2:13">
      <c r="B9" s="263" t="s">
        <v>208</v>
      </c>
      <c r="C9" s="264" t="s">
        <v>42</v>
      </c>
      <c r="D9" s="265" t="s">
        <v>209</v>
      </c>
      <c r="E9" s="266">
        <v>34</v>
      </c>
      <c r="F9" s="265" t="s">
        <v>210</v>
      </c>
      <c r="G9" s="267"/>
      <c r="H9" s="268"/>
      <c r="I9" s="171">
        <v>90</v>
      </c>
      <c r="J9" s="150" t="s">
        <v>211</v>
      </c>
      <c r="K9" s="206"/>
      <c r="L9" s="129"/>
      <c r="M9" s="129"/>
    </row>
    <row r="10" spans="2:13">
      <c r="B10" s="172" t="s">
        <v>208</v>
      </c>
      <c r="C10" s="168" t="s">
        <v>35</v>
      </c>
      <c r="D10" s="167" t="s">
        <v>105</v>
      </c>
      <c r="E10" s="168">
        <v>9437610</v>
      </c>
      <c r="F10" s="269" t="s">
        <v>64</v>
      </c>
      <c r="G10" s="170"/>
      <c r="H10" s="170"/>
      <c r="I10" s="171">
        <v>200</v>
      </c>
      <c r="J10" s="150" t="s">
        <v>211</v>
      </c>
      <c r="K10" s="138"/>
      <c r="L10" s="138"/>
      <c r="M10" s="137"/>
    </row>
    <row r="11" spans="2:13">
      <c r="B11" s="270" t="s">
        <v>208</v>
      </c>
      <c r="C11" s="271" t="s">
        <v>35</v>
      </c>
      <c r="D11" s="167" t="s">
        <v>212</v>
      </c>
      <c r="E11" s="168">
        <v>166</v>
      </c>
      <c r="F11" s="269" t="s">
        <v>65</v>
      </c>
      <c r="G11" s="170"/>
      <c r="H11" s="170"/>
      <c r="I11" s="171">
        <v>330</v>
      </c>
      <c r="J11" s="150" t="s">
        <v>211</v>
      </c>
      <c r="K11" s="138"/>
      <c r="L11" s="138"/>
      <c r="M11" s="137"/>
    </row>
    <row r="12" spans="2:13">
      <c r="B12" s="272" t="s">
        <v>208</v>
      </c>
      <c r="C12" s="168" t="s">
        <v>35</v>
      </c>
      <c r="D12" s="167" t="s">
        <v>213</v>
      </c>
      <c r="E12" s="168">
        <v>78514</v>
      </c>
      <c r="F12" s="269" t="s">
        <v>65</v>
      </c>
      <c r="G12" s="170"/>
      <c r="H12" s="170"/>
      <c r="I12" s="171">
        <v>360</v>
      </c>
      <c r="J12" s="150" t="s">
        <v>211</v>
      </c>
      <c r="K12" s="138"/>
      <c r="L12" s="138"/>
      <c r="M12" s="137"/>
    </row>
    <row r="13" spans="2:13">
      <c r="B13" s="174" t="s">
        <v>217</v>
      </c>
      <c r="C13" s="167" t="s">
        <v>35</v>
      </c>
      <c r="D13" s="167" t="s">
        <v>72</v>
      </c>
      <c r="E13" s="167">
        <v>36658</v>
      </c>
      <c r="F13" s="175" t="s">
        <v>218</v>
      </c>
      <c r="G13" s="176">
        <v>717</v>
      </c>
      <c r="H13" s="176">
        <v>107.55</v>
      </c>
      <c r="I13" s="177">
        <f t="shared" ref="I13:I40" si="0">G13+H13</f>
        <v>824.55</v>
      </c>
      <c r="J13" s="164" t="s">
        <v>279</v>
      </c>
      <c r="K13" s="138"/>
      <c r="L13" s="138"/>
      <c r="M13" s="137"/>
    </row>
    <row r="14" spans="2:13">
      <c r="B14" s="172" t="s">
        <v>217</v>
      </c>
      <c r="C14" s="168" t="s">
        <v>35</v>
      </c>
      <c r="D14" s="167" t="s">
        <v>78</v>
      </c>
      <c r="E14" s="168">
        <v>101794</v>
      </c>
      <c r="F14" s="276" t="s">
        <v>64</v>
      </c>
      <c r="G14" s="170">
        <v>182.61</v>
      </c>
      <c r="H14" s="170">
        <v>27.39</v>
      </c>
      <c r="I14" s="171">
        <f t="shared" si="0"/>
        <v>210</v>
      </c>
      <c r="J14" s="150" t="s">
        <v>211</v>
      </c>
      <c r="K14" s="138"/>
      <c r="L14" s="138"/>
      <c r="M14" s="137"/>
    </row>
    <row r="15" spans="2:13">
      <c r="B15" s="277" t="s">
        <v>219</v>
      </c>
      <c r="C15" s="278" t="s">
        <v>35</v>
      </c>
      <c r="D15" s="167" t="s">
        <v>63</v>
      </c>
      <c r="E15" s="168">
        <v>56457</v>
      </c>
      <c r="F15" s="276" t="s">
        <v>64</v>
      </c>
      <c r="G15" s="279">
        <v>239.7</v>
      </c>
      <c r="H15" s="170">
        <v>23.99</v>
      </c>
      <c r="I15" s="171">
        <f t="shared" si="0"/>
        <v>263.69</v>
      </c>
      <c r="J15" s="152" t="s">
        <v>211</v>
      </c>
      <c r="K15" s="138"/>
      <c r="L15" s="138"/>
      <c r="M15" s="137"/>
    </row>
    <row r="16" spans="2:13">
      <c r="B16" s="286" t="s">
        <v>219</v>
      </c>
      <c r="C16" s="287" t="s">
        <v>35</v>
      </c>
      <c r="D16" s="167" t="s">
        <v>105</v>
      </c>
      <c r="E16" s="168">
        <v>29437629</v>
      </c>
      <c r="F16" s="288" t="s">
        <v>64</v>
      </c>
      <c r="G16" s="170">
        <v>272</v>
      </c>
      <c r="H16" s="170"/>
      <c r="I16" s="171">
        <f t="shared" si="0"/>
        <v>272</v>
      </c>
      <c r="J16" s="150" t="s">
        <v>211</v>
      </c>
      <c r="K16" s="138"/>
      <c r="L16" s="138"/>
      <c r="M16" s="137"/>
    </row>
    <row r="17" spans="2:13">
      <c r="B17" s="301" t="s">
        <v>274</v>
      </c>
      <c r="C17" s="302" t="s">
        <v>35</v>
      </c>
      <c r="D17" s="167" t="s">
        <v>144</v>
      </c>
      <c r="E17" s="168">
        <v>9480692</v>
      </c>
      <c r="F17" s="303" t="s">
        <v>64</v>
      </c>
      <c r="G17" s="170">
        <v>397.6</v>
      </c>
      <c r="H17" s="170">
        <v>34.43</v>
      </c>
      <c r="I17" s="171">
        <f t="shared" si="0"/>
        <v>432.03000000000003</v>
      </c>
      <c r="J17" s="150" t="s">
        <v>211</v>
      </c>
      <c r="K17" s="138"/>
      <c r="L17" s="138"/>
      <c r="M17" s="137"/>
    </row>
    <row r="18" spans="2:13">
      <c r="B18" s="301" t="s">
        <v>274</v>
      </c>
      <c r="C18" s="302" t="s">
        <v>35</v>
      </c>
      <c r="D18" s="167" t="s">
        <v>213</v>
      </c>
      <c r="E18" s="168">
        <v>78550</v>
      </c>
      <c r="F18" s="303" t="s">
        <v>65</v>
      </c>
      <c r="G18" s="170">
        <v>360</v>
      </c>
      <c r="H18" s="170"/>
      <c r="I18" s="171">
        <f t="shared" si="0"/>
        <v>360</v>
      </c>
      <c r="J18" s="150" t="s">
        <v>211</v>
      </c>
      <c r="K18" s="138"/>
      <c r="L18" s="138"/>
      <c r="M18" s="137"/>
    </row>
    <row r="19" spans="2:13">
      <c r="B19" s="304" t="s">
        <v>274</v>
      </c>
      <c r="C19" s="305" t="s">
        <v>42</v>
      </c>
      <c r="D19" s="167" t="s">
        <v>275</v>
      </c>
      <c r="E19" s="168">
        <v>16279</v>
      </c>
      <c r="F19" s="306" t="s">
        <v>276</v>
      </c>
      <c r="G19" s="170">
        <v>2500</v>
      </c>
      <c r="H19" s="170"/>
      <c r="I19" s="171">
        <f t="shared" si="0"/>
        <v>2500</v>
      </c>
      <c r="J19" s="150" t="s">
        <v>211</v>
      </c>
      <c r="K19" s="138"/>
      <c r="L19" s="138"/>
      <c r="M19" s="137"/>
    </row>
    <row r="20" spans="2:13">
      <c r="B20" s="304" t="s">
        <v>274</v>
      </c>
      <c r="C20" s="305" t="s">
        <v>35</v>
      </c>
      <c r="D20" s="167" t="s">
        <v>144</v>
      </c>
      <c r="E20" s="168">
        <v>9480692</v>
      </c>
      <c r="F20" s="306" t="s">
        <v>64</v>
      </c>
      <c r="G20" s="170">
        <v>397.6</v>
      </c>
      <c r="H20" s="170">
        <v>34.43</v>
      </c>
      <c r="I20" s="171">
        <f t="shared" si="0"/>
        <v>432.03000000000003</v>
      </c>
      <c r="J20" s="150" t="s">
        <v>211</v>
      </c>
      <c r="K20" s="138"/>
      <c r="L20" s="138"/>
      <c r="M20" s="137"/>
    </row>
    <row r="21" spans="2:13">
      <c r="B21" s="304" t="s">
        <v>274</v>
      </c>
      <c r="C21" s="305" t="s">
        <v>42</v>
      </c>
      <c r="D21" s="167" t="s">
        <v>277</v>
      </c>
      <c r="E21" s="168">
        <v>1641</v>
      </c>
      <c r="F21" s="306" t="s">
        <v>60</v>
      </c>
      <c r="G21" s="170">
        <v>1043.2</v>
      </c>
      <c r="H21" s="170">
        <v>156.47999999999999</v>
      </c>
      <c r="I21" s="171">
        <v>1199.68</v>
      </c>
      <c r="J21" s="150" t="s">
        <v>278</v>
      </c>
      <c r="K21" s="138"/>
      <c r="L21" s="138"/>
      <c r="M21" s="137"/>
    </row>
    <row r="22" spans="2:13">
      <c r="B22" s="311" t="s">
        <v>280</v>
      </c>
      <c r="C22" s="312" t="s">
        <v>35</v>
      </c>
      <c r="D22" s="167" t="s">
        <v>78</v>
      </c>
      <c r="E22" s="168">
        <v>201821</v>
      </c>
      <c r="F22" s="313" t="s">
        <v>64</v>
      </c>
      <c r="G22" s="170">
        <v>182.61</v>
      </c>
      <c r="H22" s="170">
        <v>27.39</v>
      </c>
      <c r="I22" s="171">
        <f t="shared" si="0"/>
        <v>210</v>
      </c>
      <c r="J22" s="150" t="s">
        <v>211</v>
      </c>
      <c r="K22" s="138"/>
      <c r="L22" s="157"/>
      <c r="M22" s="137"/>
    </row>
    <row r="23" spans="2:13">
      <c r="B23" s="172" t="s">
        <v>283</v>
      </c>
      <c r="C23" s="168" t="s">
        <v>35</v>
      </c>
      <c r="D23" s="167" t="s">
        <v>144</v>
      </c>
      <c r="E23" s="168">
        <v>59653</v>
      </c>
      <c r="F23" s="178" t="s">
        <v>64</v>
      </c>
      <c r="G23" s="170">
        <v>159.75</v>
      </c>
      <c r="H23" s="170">
        <v>11.99</v>
      </c>
      <c r="I23" s="171">
        <v>171.74</v>
      </c>
      <c r="J23" s="150" t="s">
        <v>211</v>
      </c>
      <c r="K23" s="138"/>
      <c r="L23" s="138"/>
      <c r="M23" s="137"/>
    </row>
    <row r="24" spans="2:13">
      <c r="B24" s="172" t="s">
        <v>285</v>
      </c>
      <c r="C24" s="168" t="s">
        <v>35</v>
      </c>
      <c r="D24" s="167" t="s">
        <v>105</v>
      </c>
      <c r="E24" s="168">
        <v>29437659</v>
      </c>
      <c r="F24" s="178" t="s">
        <v>64</v>
      </c>
      <c r="G24" s="170">
        <v>64</v>
      </c>
      <c r="H24" s="170"/>
      <c r="I24" s="171">
        <f t="shared" si="0"/>
        <v>64</v>
      </c>
      <c r="J24" s="150" t="s">
        <v>211</v>
      </c>
      <c r="K24" s="138"/>
      <c r="L24" s="138"/>
      <c r="M24" s="137"/>
    </row>
    <row r="25" spans="2:13">
      <c r="B25" s="172" t="s">
        <v>288</v>
      </c>
      <c r="C25" s="168" t="s">
        <v>35</v>
      </c>
      <c r="D25" s="167" t="s">
        <v>213</v>
      </c>
      <c r="E25" s="168">
        <v>78583</v>
      </c>
      <c r="F25" s="178" t="s">
        <v>65</v>
      </c>
      <c r="G25" s="170">
        <v>450</v>
      </c>
      <c r="H25" s="170"/>
      <c r="I25" s="171">
        <f t="shared" si="0"/>
        <v>450</v>
      </c>
      <c r="J25" s="150" t="s">
        <v>211</v>
      </c>
      <c r="K25" s="138"/>
      <c r="L25" s="138"/>
      <c r="M25" s="137"/>
    </row>
    <row r="26" spans="2:13">
      <c r="B26" s="172" t="s">
        <v>288</v>
      </c>
      <c r="C26" s="168" t="s">
        <v>35</v>
      </c>
      <c r="D26" s="167" t="s">
        <v>78</v>
      </c>
      <c r="E26" s="168">
        <v>201844</v>
      </c>
      <c r="F26" s="178" t="s">
        <v>64</v>
      </c>
      <c r="G26" s="170">
        <v>315</v>
      </c>
      <c r="H26" s="170">
        <v>41.09</v>
      </c>
      <c r="I26" s="171">
        <f t="shared" si="0"/>
        <v>356.09000000000003</v>
      </c>
      <c r="J26" s="150" t="s">
        <v>211</v>
      </c>
      <c r="K26" s="138"/>
      <c r="L26" s="158"/>
      <c r="M26" s="137"/>
    </row>
    <row r="27" spans="2:13">
      <c r="B27" s="172" t="s">
        <v>288</v>
      </c>
      <c r="C27" s="168" t="s">
        <v>42</v>
      </c>
      <c r="D27" s="167" t="s">
        <v>100</v>
      </c>
      <c r="E27" s="168">
        <v>19249</v>
      </c>
      <c r="F27" s="178" t="s">
        <v>60</v>
      </c>
      <c r="G27" s="170">
        <v>1575</v>
      </c>
      <c r="H27" s="170"/>
      <c r="I27" s="171">
        <v>1575</v>
      </c>
      <c r="J27" s="150" t="s">
        <v>211</v>
      </c>
      <c r="K27" s="138"/>
      <c r="L27" s="158"/>
      <c r="M27" s="137"/>
    </row>
    <row r="28" spans="2:13" s="137" customFormat="1">
      <c r="B28" s="174" t="s">
        <v>295</v>
      </c>
      <c r="C28" s="167" t="s">
        <v>35</v>
      </c>
      <c r="D28" s="167" t="s">
        <v>63</v>
      </c>
      <c r="E28" s="167">
        <v>63380</v>
      </c>
      <c r="F28" s="175" t="s">
        <v>64</v>
      </c>
      <c r="G28" s="176">
        <v>239.7</v>
      </c>
      <c r="H28" s="176">
        <v>23.99</v>
      </c>
      <c r="I28" s="171">
        <v>263.69</v>
      </c>
      <c r="J28" s="150" t="s">
        <v>211</v>
      </c>
      <c r="K28" s="228"/>
      <c r="L28" s="158"/>
    </row>
    <row r="29" spans="2:13">
      <c r="B29" s="172" t="s">
        <v>295</v>
      </c>
      <c r="C29" s="168" t="s">
        <v>35</v>
      </c>
      <c r="D29" s="167" t="s">
        <v>105</v>
      </c>
      <c r="E29" s="168">
        <v>29437682</v>
      </c>
      <c r="F29" s="178" t="s">
        <v>64</v>
      </c>
      <c r="G29" s="170">
        <v>272</v>
      </c>
      <c r="H29" s="170"/>
      <c r="I29" s="171">
        <f t="shared" si="0"/>
        <v>272</v>
      </c>
      <c r="J29" s="150" t="s">
        <v>211</v>
      </c>
      <c r="K29" s="138"/>
      <c r="L29" s="320">
        <v>3350</v>
      </c>
      <c r="M29" s="137"/>
    </row>
    <row r="30" spans="2:13">
      <c r="B30" s="172" t="s">
        <v>295</v>
      </c>
      <c r="C30" s="168" t="s">
        <v>42</v>
      </c>
      <c r="D30" s="167" t="s">
        <v>299</v>
      </c>
      <c r="E30" s="168">
        <v>23</v>
      </c>
      <c r="F30" s="178" t="s">
        <v>178</v>
      </c>
      <c r="G30" s="170">
        <v>258</v>
      </c>
      <c r="H30" s="170"/>
      <c r="I30" s="171">
        <f t="shared" si="0"/>
        <v>258</v>
      </c>
      <c r="J30" s="152" t="s">
        <v>9</v>
      </c>
      <c r="K30" s="319" t="s">
        <v>300</v>
      </c>
      <c r="L30" s="158">
        <v>258</v>
      </c>
      <c r="M30" s="137"/>
    </row>
    <row r="31" spans="2:13">
      <c r="B31" s="172" t="s">
        <v>295</v>
      </c>
      <c r="C31" s="168" t="s">
        <v>35</v>
      </c>
      <c r="D31" s="167" t="s">
        <v>212</v>
      </c>
      <c r="E31" s="168">
        <v>170</v>
      </c>
      <c r="F31" s="178" t="s">
        <v>65</v>
      </c>
      <c r="G31" s="170">
        <v>300</v>
      </c>
      <c r="H31" s="170"/>
      <c r="I31" s="171">
        <f t="shared" si="0"/>
        <v>300</v>
      </c>
      <c r="J31" s="152" t="s">
        <v>9</v>
      </c>
      <c r="K31" s="319" t="s">
        <v>300</v>
      </c>
      <c r="L31" s="321">
        <v>300</v>
      </c>
      <c r="M31" s="137"/>
    </row>
    <row r="32" spans="2:13">
      <c r="B32" s="172" t="s">
        <v>295</v>
      </c>
      <c r="C32" s="168" t="s">
        <v>42</v>
      </c>
      <c r="D32" s="167" t="s">
        <v>301</v>
      </c>
      <c r="E32" s="168">
        <v>150</v>
      </c>
      <c r="F32" s="178" t="s">
        <v>65</v>
      </c>
      <c r="G32" s="170">
        <v>689.16</v>
      </c>
      <c r="H32" s="170"/>
      <c r="I32" s="171">
        <f t="shared" si="0"/>
        <v>689.16</v>
      </c>
      <c r="J32" s="152" t="s">
        <v>9</v>
      </c>
      <c r="K32" s="319" t="s">
        <v>300</v>
      </c>
      <c r="L32" s="321">
        <v>689.16</v>
      </c>
      <c r="M32" s="137"/>
    </row>
    <row r="33" spans="2:13">
      <c r="B33" s="322" t="s">
        <v>295</v>
      </c>
      <c r="C33" s="414" t="s">
        <v>42</v>
      </c>
      <c r="D33" s="167" t="s">
        <v>302</v>
      </c>
      <c r="E33" s="168"/>
      <c r="F33" s="223"/>
      <c r="G33" s="170">
        <v>150</v>
      </c>
      <c r="H33" s="170"/>
      <c r="I33" s="171">
        <f t="shared" si="0"/>
        <v>150</v>
      </c>
      <c r="J33" s="152" t="s">
        <v>9</v>
      </c>
      <c r="K33" s="138"/>
      <c r="L33" s="321">
        <v>150</v>
      </c>
      <c r="M33" s="137"/>
    </row>
    <row r="34" spans="2:13">
      <c r="B34" s="325" t="s">
        <v>295</v>
      </c>
      <c r="C34" s="326" t="s">
        <v>42</v>
      </c>
      <c r="D34" s="167" t="s">
        <v>305</v>
      </c>
      <c r="E34" s="168"/>
      <c r="F34" s="327" t="s">
        <v>60</v>
      </c>
      <c r="G34" s="170">
        <v>450</v>
      </c>
      <c r="H34" s="170"/>
      <c r="I34" s="171">
        <f t="shared" si="0"/>
        <v>450</v>
      </c>
      <c r="J34" s="152" t="s">
        <v>211</v>
      </c>
      <c r="K34" s="138"/>
      <c r="L34" s="353">
        <f>L29-L30-L31-L32-L33</f>
        <v>1952.8400000000001</v>
      </c>
      <c r="M34" s="137" t="s">
        <v>303</v>
      </c>
    </row>
    <row r="35" spans="2:13">
      <c r="B35" s="350" t="s">
        <v>307</v>
      </c>
      <c r="C35" s="351" t="s">
        <v>42</v>
      </c>
      <c r="D35" s="167" t="s">
        <v>308</v>
      </c>
      <c r="E35" s="168">
        <v>230</v>
      </c>
      <c r="F35" s="352" t="s">
        <v>60</v>
      </c>
      <c r="G35" s="170">
        <v>155</v>
      </c>
      <c r="H35" s="170"/>
      <c r="I35" s="171">
        <v>200</v>
      </c>
      <c r="J35" s="150" t="s">
        <v>9</v>
      </c>
      <c r="K35" s="138" t="s">
        <v>309</v>
      </c>
      <c r="L35" s="138">
        <v>200</v>
      </c>
      <c r="M35" s="137"/>
    </row>
    <row r="36" spans="2:13">
      <c r="B36" s="350" t="s">
        <v>307</v>
      </c>
      <c r="C36" s="351" t="s">
        <v>35</v>
      </c>
      <c r="D36" s="167" t="s">
        <v>63</v>
      </c>
      <c r="E36" s="168">
        <v>64422</v>
      </c>
      <c r="F36" s="352" t="s">
        <v>64</v>
      </c>
      <c r="G36" s="170">
        <v>239.7</v>
      </c>
      <c r="H36" s="170">
        <v>23.99</v>
      </c>
      <c r="I36" s="171">
        <f t="shared" si="0"/>
        <v>263.69</v>
      </c>
      <c r="J36" s="150" t="s">
        <v>211</v>
      </c>
      <c r="K36" s="138"/>
      <c r="L36" s="353">
        <f>L34-L35</f>
        <v>1752.8400000000001</v>
      </c>
      <c r="M36" s="137"/>
    </row>
    <row r="37" spans="2:13">
      <c r="B37" s="174" t="s">
        <v>324</v>
      </c>
      <c r="C37" s="167" t="s">
        <v>35</v>
      </c>
      <c r="D37" s="167" t="s">
        <v>63</v>
      </c>
      <c r="E37" s="167">
        <v>6549</v>
      </c>
      <c r="F37" s="175" t="s">
        <v>64</v>
      </c>
      <c r="G37" s="176">
        <v>135.55000000000001</v>
      </c>
      <c r="H37" s="176">
        <v>9.7200000000000006</v>
      </c>
      <c r="I37" s="171">
        <f t="shared" si="0"/>
        <v>145.27000000000001</v>
      </c>
      <c r="J37" s="150" t="s">
        <v>211</v>
      </c>
      <c r="K37" s="138"/>
      <c r="L37" s="138">
        <v>879.6</v>
      </c>
      <c r="M37" s="137"/>
    </row>
    <row r="38" spans="2:13">
      <c r="B38" s="382" t="s">
        <v>328</v>
      </c>
      <c r="C38" s="383" t="s">
        <v>35</v>
      </c>
      <c r="D38" s="167" t="s">
        <v>213</v>
      </c>
      <c r="E38" s="168">
        <v>78637</v>
      </c>
      <c r="F38" s="384" t="s">
        <v>65</v>
      </c>
      <c r="G38" s="170">
        <v>540</v>
      </c>
      <c r="H38" s="170"/>
      <c r="I38" s="171">
        <f t="shared" si="0"/>
        <v>540</v>
      </c>
      <c r="J38" s="150" t="s">
        <v>211</v>
      </c>
      <c r="K38" s="138"/>
      <c r="L38" s="385">
        <f>1752.84-879.6</f>
        <v>873.2399999999999</v>
      </c>
      <c r="M38" s="137" t="s">
        <v>339</v>
      </c>
    </row>
    <row r="39" spans="2:13">
      <c r="B39" s="394" t="s">
        <v>328</v>
      </c>
      <c r="C39" s="395" t="s">
        <v>42</v>
      </c>
      <c r="D39" s="167" t="s">
        <v>346</v>
      </c>
      <c r="E39" s="168"/>
      <c r="F39" s="396" t="s">
        <v>178</v>
      </c>
      <c r="G39" s="170">
        <v>800</v>
      </c>
      <c r="H39" s="170"/>
      <c r="I39" s="171">
        <f t="shared" si="0"/>
        <v>800</v>
      </c>
      <c r="J39" s="397" t="s">
        <v>279</v>
      </c>
      <c r="K39" s="138" t="s">
        <v>150</v>
      </c>
      <c r="L39" s="385">
        <v>146.69999999999999</v>
      </c>
      <c r="M39" s="137"/>
    </row>
    <row r="40" spans="2:13">
      <c r="B40" s="394" t="s">
        <v>335</v>
      </c>
      <c r="C40" s="395" t="s">
        <v>42</v>
      </c>
      <c r="D40" s="167" t="s">
        <v>347</v>
      </c>
      <c r="E40" s="168"/>
      <c r="F40" s="396" t="s">
        <v>178</v>
      </c>
      <c r="G40" s="170">
        <v>1800</v>
      </c>
      <c r="H40" s="170"/>
      <c r="I40" s="171">
        <f t="shared" si="0"/>
        <v>1800</v>
      </c>
      <c r="J40" s="397" t="s">
        <v>279</v>
      </c>
      <c r="K40" s="138" t="s">
        <v>150</v>
      </c>
      <c r="L40" s="385">
        <f>L38-L39</f>
        <v>726.54</v>
      </c>
      <c r="M40" s="137" t="s">
        <v>339</v>
      </c>
    </row>
    <row r="41" spans="2:13">
      <c r="B41" s="172" t="s">
        <v>335</v>
      </c>
      <c r="C41" s="168" t="s">
        <v>35</v>
      </c>
      <c r="D41" s="167" t="s">
        <v>63</v>
      </c>
      <c r="E41" s="168">
        <v>69264</v>
      </c>
      <c r="F41" s="178" t="s">
        <v>64</v>
      </c>
      <c r="G41" s="170">
        <v>320.56</v>
      </c>
      <c r="H41" s="170">
        <v>31.1</v>
      </c>
      <c r="I41" s="171">
        <v>351.66</v>
      </c>
      <c r="J41" s="150" t="s">
        <v>211</v>
      </c>
      <c r="K41" s="138"/>
      <c r="L41" s="138">
        <v>231</v>
      </c>
      <c r="M41" s="137"/>
    </row>
    <row r="42" spans="2:13">
      <c r="B42" s="172" t="s">
        <v>337</v>
      </c>
      <c r="C42" s="168" t="s">
        <v>35</v>
      </c>
      <c r="D42" s="167" t="s">
        <v>105</v>
      </c>
      <c r="E42" s="168">
        <v>9437713</v>
      </c>
      <c r="F42" s="178" t="s">
        <v>64</v>
      </c>
      <c r="G42" s="170">
        <v>170</v>
      </c>
      <c r="H42" s="170"/>
      <c r="I42" s="171">
        <f t="shared" ref="I42:I79" si="1">G42+H42</f>
        <v>170</v>
      </c>
      <c r="J42" s="152" t="s">
        <v>211</v>
      </c>
      <c r="K42" s="138"/>
      <c r="L42" s="224">
        <f>L40-L41</f>
        <v>495.53999999999996</v>
      </c>
      <c r="M42" s="137" t="s">
        <v>339</v>
      </c>
    </row>
    <row r="43" spans="2:13">
      <c r="B43" s="172" t="s">
        <v>337</v>
      </c>
      <c r="C43" s="168" t="s">
        <v>35</v>
      </c>
      <c r="D43" s="167" t="s">
        <v>144</v>
      </c>
      <c r="E43" s="168">
        <v>1744</v>
      </c>
      <c r="F43" s="178" t="s">
        <v>64</v>
      </c>
      <c r="G43" s="170">
        <v>198.8</v>
      </c>
      <c r="H43" s="170">
        <v>0</v>
      </c>
      <c r="I43" s="171">
        <f t="shared" si="1"/>
        <v>198.8</v>
      </c>
      <c r="J43" s="152" t="s">
        <v>211</v>
      </c>
      <c r="K43" s="138"/>
      <c r="L43" s="138">
        <v>95</v>
      </c>
      <c r="M43" s="137"/>
    </row>
    <row r="44" spans="2:13">
      <c r="B44" s="386" t="s">
        <v>337</v>
      </c>
      <c r="C44" s="387" t="s">
        <v>35</v>
      </c>
      <c r="D44" s="167" t="s">
        <v>63</v>
      </c>
      <c r="E44" s="168">
        <v>331</v>
      </c>
      <c r="F44" s="388" t="s">
        <v>64</v>
      </c>
      <c r="G44" s="170">
        <v>113.2</v>
      </c>
      <c r="H44" s="170"/>
      <c r="I44" s="171">
        <f t="shared" si="1"/>
        <v>113.2</v>
      </c>
      <c r="J44" s="152" t="s">
        <v>211</v>
      </c>
      <c r="K44" s="138"/>
      <c r="L44" s="413">
        <f>L42-L43</f>
        <v>400.53999999999996</v>
      </c>
      <c r="M44" s="137"/>
    </row>
    <row r="45" spans="2:13">
      <c r="B45" s="172" t="s">
        <v>337</v>
      </c>
      <c r="C45" s="168" t="s">
        <v>42</v>
      </c>
      <c r="D45" s="167" t="s">
        <v>51</v>
      </c>
      <c r="E45" s="168">
        <v>482930</v>
      </c>
      <c r="F45" s="178" t="s">
        <v>65</v>
      </c>
      <c r="G45" s="170">
        <v>879.6</v>
      </c>
      <c r="H45" s="170"/>
      <c r="I45" s="171">
        <f t="shared" si="1"/>
        <v>879.6</v>
      </c>
      <c r="J45" s="150" t="s">
        <v>61</v>
      </c>
      <c r="K45" s="138" t="s">
        <v>338</v>
      </c>
      <c r="L45" s="138">
        <v>351.66</v>
      </c>
      <c r="M45" s="137"/>
    </row>
    <row r="46" spans="2:13">
      <c r="B46" s="172" t="s">
        <v>337</v>
      </c>
      <c r="C46" s="168" t="s">
        <v>35</v>
      </c>
      <c r="D46" s="167" t="s">
        <v>78</v>
      </c>
      <c r="E46" s="168">
        <v>201869</v>
      </c>
      <c r="F46" s="178" t="s">
        <v>64</v>
      </c>
      <c r="G46" s="170">
        <v>182.61</v>
      </c>
      <c r="H46" s="170">
        <v>27.39</v>
      </c>
      <c r="I46" s="171">
        <f t="shared" si="1"/>
        <v>210</v>
      </c>
      <c r="J46" s="150" t="s">
        <v>343</v>
      </c>
      <c r="K46" s="138"/>
      <c r="L46" s="413">
        <f>L44-L45</f>
        <v>48.879999999999939</v>
      </c>
      <c r="M46" s="137"/>
    </row>
    <row r="47" spans="2:13">
      <c r="B47" s="394" t="s">
        <v>337</v>
      </c>
      <c r="C47" s="395" t="s">
        <v>42</v>
      </c>
      <c r="D47" s="167" t="s">
        <v>348</v>
      </c>
      <c r="E47" s="168">
        <v>97</v>
      </c>
      <c r="F47" s="396" t="s">
        <v>178</v>
      </c>
      <c r="G47" s="170">
        <v>146.69999999999999</v>
      </c>
      <c r="H47" s="170"/>
      <c r="I47" s="171">
        <v>146.69999999999999</v>
      </c>
      <c r="J47" s="397" t="s">
        <v>9</v>
      </c>
      <c r="K47" s="138" t="s">
        <v>349</v>
      </c>
      <c r="L47" s="138"/>
      <c r="M47" s="137"/>
    </row>
    <row r="48" spans="2:13">
      <c r="B48" s="174" t="s">
        <v>345</v>
      </c>
      <c r="C48" s="167" t="s">
        <v>35</v>
      </c>
      <c r="D48" s="167" t="s">
        <v>63</v>
      </c>
      <c r="E48" s="167">
        <v>71401</v>
      </c>
      <c r="F48" s="175" t="s">
        <v>64</v>
      </c>
      <c r="G48" s="176">
        <v>200.35</v>
      </c>
      <c r="H48" s="176">
        <v>19.440000000000001</v>
      </c>
      <c r="I48" s="177">
        <f t="shared" si="1"/>
        <v>219.79</v>
      </c>
      <c r="J48" s="164" t="s">
        <v>343</v>
      </c>
      <c r="K48" s="138"/>
      <c r="L48" s="138"/>
      <c r="M48" s="137"/>
    </row>
    <row r="49" spans="2:13">
      <c r="B49" s="391" t="s">
        <v>345</v>
      </c>
      <c r="C49" s="392" t="s">
        <v>35</v>
      </c>
      <c r="D49" s="167" t="s">
        <v>213</v>
      </c>
      <c r="E49" s="168">
        <v>78671</v>
      </c>
      <c r="F49" s="393" t="s">
        <v>65</v>
      </c>
      <c r="G49" s="170">
        <v>540</v>
      </c>
      <c r="H49" s="170"/>
      <c r="I49" s="171">
        <f t="shared" si="1"/>
        <v>540</v>
      </c>
      <c r="J49" s="152" t="s">
        <v>343</v>
      </c>
      <c r="K49" s="138"/>
      <c r="L49" s="138"/>
      <c r="M49" s="137"/>
    </row>
    <row r="50" spans="2:13">
      <c r="B50" s="172" t="s">
        <v>350</v>
      </c>
      <c r="C50" s="168" t="s">
        <v>35</v>
      </c>
      <c r="D50" s="167" t="s">
        <v>78</v>
      </c>
      <c r="E50" s="168">
        <v>201881</v>
      </c>
      <c r="F50" s="178" t="s">
        <v>64</v>
      </c>
      <c r="G50" s="170">
        <v>182.61</v>
      </c>
      <c r="H50" s="170">
        <v>27.39</v>
      </c>
      <c r="I50" s="171">
        <f t="shared" si="1"/>
        <v>210</v>
      </c>
      <c r="J50" s="150" t="s">
        <v>343</v>
      </c>
      <c r="K50" s="138"/>
      <c r="L50" s="224"/>
      <c r="M50" s="137"/>
    </row>
    <row r="51" spans="2:13">
      <c r="B51" s="172" t="s">
        <v>350</v>
      </c>
      <c r="C51" s="168" t="s">
        <v>42</v>
      </c>
      <c r="D51" s="167" t="s">
        <v>356</v>
      </c>
      <c r="E51" s="168">
        <v>815</v>
      </c>
      <c r="F51" s="178" t="s">
        <v>60</v>
      </c>
      <c r="G51" s="170">
        <v>231</v>
      </c>
      <c r="H51" s="170"/>
      <c r="I51" s="171">
        <f t="shared" si="1"/>
        <v>231</v>
      </c>
      <c r="J51" s="150" t="s">
        <v>9</v>
      </c>
      <c r="K51" s="138" t="s">
        <v>357</v>
      </c>
      <c r="L51" s="138"/>
      <c r="M51" s="137"/>
    </row>
    <row r="52" spans="2:13">
      <c r="B52" s="172" t="s">
        <v>350</v>
      </c>
      <c r="C52" s="168" t="s">
        <v>42</v>
      </c>
      <c r="D52" s="167" t="s">
        <v>362</v>
      </c>
      <c r="E52" s="168">
        <v>16</v>
      </c>
      <c r="F52" s="178" t="s">
        <v>178</v>
      </c>
      <c r="G52" s="170">
        <v>948</v>
      </c>
      <c r="H52" s="170"/>
      <c r="I52" s="171">
        <f t="shared" si="1"/>
        <v>948</v>
      </c>
      <c r="J52" s="150" t="s">
        <v>343</v>
      </c>
      <c r="K52" s="138"/>
      <c r="L52" s="138"/>
      <c r="M52" s="137"/>
    </row>
    <row r="53" spans="2:13">
      <c r="B53" s="172" t="s">
        <v>350</v>
      </c>
      <c r="C53" s="168" t="s">
        <v>35</v>
      </c>
      <c r="D53" s="167" t="s">
        <v>78</v>
      </c>
      <c r="E53" s="168">
        <v>201883</v>
      </c>
      <c r="F53" s="178" t="s">
        <v>64</v>
      </c>
      <c r="G53" s="170">
        <v>228.26</v>
      </c>
      <c r="H53" s="170">
        <v>34.24</v>
      </c>
      <c r="I53" s="171">
        <f t="shared" si="1"/>
        <v>262.5</v>
      </c>
      <c r="J53" s="150" t="s">
        <v>343</v>
      </c>
      <c r="K53" s="138"/>
      <c r="L53" s="138"/>
      <c r="M53" s="137"/>
    </row>
    <row r="54" spans="2:13">
      <c r="B54" s="172" t="s">
        <v>350</v>
      </c>
      <c r="C54" s="168" t="s">
        <v>35</v>
      </c>
      <c r="D54" s="167" t="s">
        <v>63</v>
      </c>
      <c r="E54" s="168">
        <v>3525</v>
      </c>
      <c r="F54" s="178" t="s">
        <v>64</v>
      </c>
      <c r="G54" s="170">
        <v>135.55000000000001</v>
      </c>
      <c r="H54" s="170">
        <v>9.7200000000000006</v>
      </c>
      <c r="I54" s="171">
        <f t="shared" si="1"/>
        <v>145.27000000000001</v>
      </c>
      <c r="J54" s="150" t="s">
        <v>343</v>
      </c>
      <c r="K54" s="138"/>
      <c r="L54" s="138"/>
      <c r="M54" s="137"/>
    </row>
    <row r="55" spans="2:13">
      <c r="B55" s="172" t="s">
        <v>350</v>
      </c>
      <c r="C55" s="168" t="s">
        <v>42</v>
      </c>
      <c r="D55" s="167" t="s">
        <v>363</v>
      </c>
      <c r="E55" s="168"/>
      <c r="F55" s="178" t="s">
        <v>178</v>
      </c>
      <c r="G55" s="170">
        <v>1800</v>
      </c>
      <c r="H55" s="170"/>
      <c r="I55" s="171">
        <f t="shared" si="1"/>
        <v>1800</v>
      </c>
      <c r="J55" s="150" t="s">
        <v>343</v>
      </c>
      <c r="K55" s="138"/>
      <c r="L55" s="138"/>
      <c r="M55" s="137"/>
    </row>
    <row r="56" spans="2:13">
      <c r="B56" s="172" t="s">
        <v>364</v>
      </c>
      <c r="C56" s="168" t="s">
        <v>42</v>
      </c>
      <c r="D56" s="167" t="s">
        <v>347</v>
      </c>
      <c r="E56" s="168"/>
      <c r="F56" s="178" t="s">
        <v>178</v>
      </c>
      <c r="G56" s="170">
        <v>95</v>
      </c>
      <c r="H56" s="170"/>
      <c r="I56" s="171">
        <f t="shared" si="1"/>
        <v>95</v>
      </c>
      <c r="J56" s="150" t="s">
        <v>9</v>
      </c>
      <c r="K56" s="138" t="s">
        <v>365</v>
      </c>
      <c r="L56" s="138"/>
      <c r="M56" s="137"/>
    </row>
    <row r="57" spans="2:13">
      <c r="B57" s="172" t="s">
        <v>366</v>
      </c>
      <c r="C57" s="168" t="s">
        <v>35</v>
      </c>
      <c r="D57" s="167" t="s">
        <v>63</v>
      </c>
      <c r="E57" s="168">
        <v>75118</v>
      </c>
      <c r="F57" s="178" t="s">
        <v>64</v>
      </c>
      <c r="G57" s="170">
        <v>320.56</v>
      </c>
      <c r="H57" s="170">
        <v>31.1</v>
      </c>
      <c r="I57" s="171">
        <f t="shared" si="1"/>
        <v>351.66</v>
      </c>
      <c r="J57" s="150" t="s">
        <v>9</v>
      </c>
      <c r="K57" s="138" t="s">
        <v>367</v>
      </c>
      <c r="L57" s="138"/>
      <c r="M57" s="137"/>
    </row>
    <row r="58" spans="2:13">
      <c r="B58" s="172" t="s">
        <v>366</v>
      </c>
      <c r="C58" s="168" t="s">
        <v>35</v>
      </c>
      <c r="D58" s="167" t="s">
        <v>370</v>
      </c>
      <c r="E58" s="168">
        <v>2209</v>
      </c>
      <c r="F58" s="178" t="s">
        <v>64</v>
      </c>
      <c r="G58" s="170">
        <v>186.18</v>
      </c>
      <c r="H58" s="170">
        <v>18.329999999999998</v>
      </c>
      <c r="I58" s="171">
        <f t="shared" si="1"/>
        <v>204.51</v>
      </c>
      <c r="J58" s="150" t="s">
        <v>343</v>
      </c>
      <c r="K58" s="138"/>
      <c r="L58" s="138"/>
      <c r="M58" s="137"/>
    </row>
    <row r="59" spans="2:13">
      <c r="B59" s="172" t="s">
        <v>366</v>
      </c>
      <c r="C59" s="168" t="s">
        <v>35</v>
      </c>
      <c r="D59" s="167" t="s">
        <v>105</v>
      </c>
      <c r="E59" s="168">
        <v>9437729</v>
      </c>
      <c r="F59" s="178" t="s">
        <v>64</v>
      </c>
      <c r="G59" s="170">
        <v>80</v>
      </c>
      <c r="H59" s="170"/>
      <c r="I59" s="171">
        <f t="shared" si="1"/>
        <v>80</v>
      </c>
      <c r="J59" s="150" t="s">
        <v>343</v>
      </c>
      <c r="K59" s="138"/>
      <c r="L59" s="138"/>
      <c r="M59" s="137"/>
    </row>
    <row r="60" spans="2:13">
      <c r="B60" s="172" t="s">
        <v>375</v>
      </c>
      <c r="C60" s="168" t="s">
        <v>42</v>
      </c>
      <c r="D60" s="167" t="s">
        <v>376</v>
      </c>
      <c r="E60" s="168">
        <v>13080</v>
      </c>
      <c r="F60" s="178" t="s">
        <v>377</v>
      </c>
      <c r="G60" s="170">
        <v>1650</v>
      </c>
      <c r="H60" s="170"/>
      <c r="I60" s="171">
        <f t="shared" si="1"/>
        <v>1650</v>
      </c>
      <c r="J60" s="150" t="s">
        <v>9</v>
      </c>
      <c r="K60" s="138" t="s">
        <v>378</v>
      </c>
      <c r="L60" s="418">
        <v>2200</v>
      </c>
      <c r="M60" s="137"/>
    </row>
    <row r="61" spans="2:13">
      <c r="B61" s="172" t="s">
        <v>375</v>
      </c>
      <c r="C61" s="168" t="s">
        <v>42</v>
      </c>
      <c r="D61" s="167" t="s">
        <v>379</v>
      </c>
      <c r="E61" s="168">
        <v>506</v>
      </c>
      <c r="F61" s="178" t="s">
        <v>65</v>
      </c>
      <c r="G61" s="170">
        <v>361.26</v>
      </c>
      <c r="H61" s="170"/>
      <c r="I61" s="171">
        <f t="shared" si="1"/>
        <v>361.26</v>
      </c>
      <c r="J61" s="150" t="s">
        <v>9</v>
      </c>
      <c r="K61" s="138" t="s">
        <v>378</v>
      </c>
      <c r="L61" s="138">
        <v>1650</v>
      </c>
      <c r="M61" s="137"/>
    </row>
    <row r="62" spans="2:13">
      <c r="B62" s="172" t="s">
        <v>381</v>
      </c>
      <c r="C62" s="168" t="s">
        <v>35</v>
      </c>
      <c r="D62" s="167" t="s">
        <v>63</v>
      </c>
      <c r="E62" s="168">
        <v>77338</v>
      </c>
      <c r="F62" s="178" t="s">
        <v>64</v>
      </c>
      <c r="G62" s="170">
        <v>320.56</v>
      </c>
      <c r="H62" s="170">
        <v>31.1</v>
      </c>
      <c r="I62" s="171">
        <f t="shared" si="1"/>
        <v>351.66</v>
      </c>
      <c r="J62" s="150" t="s">
        <v>343</v>
      </c>
      <c r="K62" s="138"/>
      <c r="L62" s="138">
        <v>361.26</v>
      </c>
      <c r="M62" s="137"/>
    </row>
    <row r="63" spans="2:13">
      <c r="B63" s="172" t="s">
        <v>381</v>
      </c>
      <c r="C63" s="168" t="s">
        <v>35</v>
      </c>
      <c r="D63" s="167" t="s">
        <v>105</v>
      </c>
      <c r="E63" s="168">
        <v>2943743</v>
      </c>
      <c r="F63" s="178" t="s">
        <v>64</v>
      </c>
      <c r="G63" s="170">
        <v>218</v>
      </c>
      <c r="H63" s="170"/>
      <c r="I63" s="171">
        <f t="shared" si="1"/>
        <v>218</v>
      </c>
      <c r="J63" s="150" t="s">
        <v>343</v>
      </c>
      <c r="K63" s="138"/>
      <c r="L63" s="418">
        <f>L60-L61-L62</f>
        <v>188.74</v>
      </c>
      <c r="M63" s="137"/>
    </row>
    <row r="64" spans="2:13">
      <c r="B64" s="172" t="s">
        <v>381</v>
      </c>
      <c r="C64" s="168" t="s">
        <v>35</v>
      </c>
      <c r="D64" s="167" t="s">
        <v>213</v>
      </c>
      <c r="E64" s="168">
        <v>78725</v>
      </c>
      <c r="F64" s="178" t="s">
        <v>65</v>
      </c>
      <c r="G64" s="170">
        <v>540</v>
      </c>
      <c r="H64" s="170"/>
      <c r="I64" s="171">
        <f t="shared" si="1"/>
        <v>540</v>
      </c>
      <c r="J64" s="150" t="s">
        <v>343</v>
      </c>
      <c r="K64" s="138"/>
      <c r="L64" s="138"/>
      <c r="M64" s="137"/>
    </row>
    <row r="65" spans="2:13">
      <c r="B65" s="172" t="s">
        <v>381</v>
      </c>
      <c r="C65" s="168" t="s">
        <v>35</v>
      </c>
      <c r="D65" s="167" t="s">
        <v>78</v>
      </c>
      <c r="E65" s="168">
        <v>201894</v>
      </c>
      <c r="F65" s="178" t="s">
        <v>64</v>
      </c>
      <c r="G65" s="170">
        <v>228.26</v>
      </c>
      <c r="H65" s="170">
        <v>34.24</v>
      </c>
      <c r="I65" s="171">
        <f t="shared" si="1"/>
        <v>262.5</v>
      </c>
      <c r="J65" s="150" t="s">
        <v>343</v>
      </c>
      <c r="K65" s="138"/>
      <c r="L65" s="138"/>
      <c r="M65" s="137"/>
    </row>
    <row r="66" spans="2:13">
      <c r="B66" s="172" t="s">
        <v>381</v>
      </c>
      <c r="C66" s="168" t="s">
        <v>35</v>
      </c>
      <c r="D66" s="167" t="s">
        <v>212</v>
      </c>
      <c r="E66" s="168">
        <v>177</v>
      </c>
      <c r="F66" s="178" t="s">
        <v>65</v>
      </c>
      <c r="G66" s="170">
        <v>330</v>
      </c>
      <c r="H66" s="170"/>
      <c r="I66" s="171">
        <f t="shared" si="1"/>
        <v>330</v>
      </c>
      <c r="J66" s="150" t="s">
        <v>61</v>
      </c>
      <c r="K66" s="138" t="s">
        <v>338</v>
      </c>
      <c r="L66" s="138"/>
      <c r="M66" s="137"/>
    </row>
    <row r="67" spans="2:13">
      <c r="B67" s="172" t="s">
        <v>381</v>
      </c>
      <c r="C67" s="168" t="s">
        <v>42</v>
      </c>
      <c r="D67" s="167" t="s">
        <v>384</v>
      </c>
      <c r="E67" s="168">
        <v>690</v>
      </c>
      <c r="F67" s="178" t="s">
        <v>65</v>
      </c>
      <c r="G67" s="170">
        <v>41.28</v>
      </c>
      <c r="H67" s="170"/>
      <c r="I67" s="171">
        <f t="shared" si="1"/>
        <v>41.28</v>
      </c>
      <c r="J67" s="150" t="s">
        <v>61</v>
      </c>
      <c r="K67" s="138" t="s">
        <v>338</v>
      </c>
      <c r="L67" s="138"/>
      <c r="M67" s="137"/>
    </row>
    <row r="68" spans="2:13">
      <c r="B68" s="172" t="s">
        <v>385</v>
      </c>
      <c r="C68" s="168" t="s">
        <v>35</v>
      </c>
      <c r="D68" s="167" t="s">
        <v>387</v>
      </c>
      <c r="E68" s="168">
        <v>2797546</v>
      </c>
      <c r="F68" s="178" t="s">
        <v>65</v>
      </c>
      <c r="G68" s="170">
        <v>316.8</v>
      </c>
      <c r="H68" s="170">
        <v>47.52</v>
      </c>
      <c r="I68" s="171">
        <f t="shared" si="1"/>
        <v>364.32</v>
      </c>
      <c r="J68" s="150" t="s">
        <v>343</v>
      </c>
      <c r="K68" s="138"/>
      <c r="L68" s="138"/>
      <c r="M68" s="137"/>
    </row>
    <row r="69" spans="2:13">
      <c r="B69" s="172" t="s">
        <v>385</v>
      </c>
      <c r="C69" s="168" t="s">
        <v>35</v>
      </c>
      <c r="D69" s="167" t="s">
        <v>114</v>
      </c>
      <c r="E69" s="168">
        <v>11945</v>
      </c>
      <c r="F69" s="178" t="s">
        <v>64</v>
      </c>
      <c r="G69" s="170">
        <v>1964.4</v>
      </c>
      <c r="H69" s="170"/>
      <c r="I69" s="171">
        <f t="shared" si="1"/>
        <v>1964.4</v>
      </c>
      <c r="J69" s="150" t="s">
        <v>9</v>
      </c>
      <c r="K69" s="138" t="s">
        <v>389</v>
      </c>
      <c r="L69" s="138"/>
      <c r="M69" s="137"/>
    </row>
    <row r="70" spans="2:13">
      <c r="B70" s="426" t="s">
        <v>400</v>
      </c>
      <c r="C70" s="427" t="s">
        <v>42</v>
      </c>
      <c r="D70" s="167" t="s">
        <v>100</v>
      </c>
      <c r="E70" s="168">
        <v>163722</v>
      </c>
      <c r="F70" s="428" t="s">
        <v>60</v>
      </c>
      <c r="G70" s="170">
        <v>1445</v>
      </c>
      <c r="H70" s="170"/>
      <c r="I70" s="171">
        <f t="shared" si="1"/>
        <v>1445</v>
      </c>
      <c r="J70" s="152" t="s">
        <v>343</v>
      </c>
      <c r="K70" s="138"/>
      <c r="L70" s="138"/>
      <c r="M70" s="137"/>
    </row>
    <row r="71" spans="2:13">
      <c r="B71" s="426" t="s">
        <v>401</v>
      </c>
      <c r="C71" s="427" t="s">
        <v>42</v>
      </c>
      <c r="D71" s="167" t="s">
        <v>402</v>
      </c>
      <c r="E71" s="168">
        <v>7137</v>
      </c>
      <c r="F71" s="428" t="s">
        <v>65</v>
      </c>
      <c r="G71" s="170">
        <v>192</v>
      </c>
      <c r="H71" s="170"/>
      <c r="I71" s="171">
        <f t="shared" si="1"/>
        <v>192</v>
      </c>
      <c r="J71" s="152" t="s">
        <v>343</v>
      </c>
      <c r="K71" s="138"/>
      <c r="L71" s="138"/>
      <c r="M71" s="137"/>
    </row>
    <row r="72" spans="2:13">
      <c r="B72" s="426" t="s">
        <v>401</v>
      </c>
      <c r="C72" s="427" t="s">
        <v>35</v>
      </c>
      <c r="D72" s="167" t="s">
        <v>63</v>
      </c>
      <c r="E72" s="168">
        <v>80596</v>
      </c>
      <c r="F72" s="428" t="s">
        <v>64</v>
      </c>
      <c r="G72" s="170">
        <v>135.55000000000001</v>
      </c>
      <c r="H72" s="170">
        <v>9.7200000000000006</v>
      </c>
      <c r="I72" s="171">
        <f t="shared" si="1"/>
        <v>145.27000000000001</v>
      </c>
      <c r="J72" s="152" t="s">
        <v>343</v>
      </c>
      <c r="K72" s="138"/>
      <c r="L72" s="138"/>
      <c r="M72" s="137"/>
    </row>
    <row r="73" spans="2:13">
      <c r="B73" s="132"/>
      <c r="C73" s="133"/>
      <c r="D73" s="134"/>
      <c r="E73" s="133"/>
      <c r="F73" s="135"/>
      <c r="G73" s="136"/>
      <c r="H73" s="136"/>
      <c r="I73" s="105">
        <f t="shared" si="1"/>
        <v>0</v>
      </c>
      <c r="J73" s="150" t="b">
        <v>0</v>
      </c>
      <c r="K73" s="138"/>
      <c r="L73" s="138"/>
      <c r="M73" s="137"/>
    </row>
    <row r="74" spans="2:13">
      <c r="B74" s="132"/>
      <c r="C74" s="133"/>
      <c r="D74" s="134"/>
      <c r="E74" s="133"/>
      <c r="F74" s="135"/>
      <c r="G74" s="136"/>
      <c r="H74" s="136"/>
      <c r="I74" s="105">
        <f t="shared" si="1"/>
        <v>0</v>
      </c>
      <c r="J74" s="150" t="b">
        <v>0</v>
      </c>
      <c r="K74" s="138"/>
      <c r="L74" s="138"/>
      <c r="M74" s="137"/>
    </row>
    <row r="75" spans="2:13">
      <c r="B75" s="132"/>
      <c r="C75" s="133"/>
      <c r="D75" s="134"/>
      <c r="E75" s="133"/>
      <c r="F75" s="135"/>
      <c r="G75" s="136"/>
      <c r="H75" s="136"/>
      <c r="I75" s="105">
        <f t="shared" si="1"/>
        <v>0</v>
      </c>
      <c r="J75" s="150" t="b">
        <v>0</v>
      </c>
      <c r="K75" s="138"/>
      <c r="L75" s="138"/>
      <c r="M75" s="137"/>
    </row>
    <row r="76" spans="2:13">
      <c r="B76" s="132"/>
      <c r="C76" s="133"/>
      <c r="D76" s="134"/>
      <c r="E76" s="133"/>
      <c r="F76" s="135"/>
      <c r="G76" s="136"/>
      <c r="H76" s="136"/>
      <c r="I76" s="105">
        <f t="shared" si="1"/>
        <v>0</v>
      </c>
      <c r="J76" s="150" t="b">
        <v>0</v>
      </c>
      <c r="K76" s="138"/>
      <c r="L76" s="138"/>
      <c r="M76" s="137"/>
    </row>
    <row r="77" spans="2:13">
      <c r="B77" s="132"/>
      <c r="C77" s="133"/>
      <c r="D77" s="134"/>
      <c r="E77" s="133"/>
      <c r="F77" s="135"/>
      <c r="G77" s="136"/>
      <c r="H77" s="136"/>
      <c r="I77" s="105">
        <f t="shared" si="1"/>
        <v>0</v>
      </c>
      <c r="J77" s="150" t="b">
        <v>0</v>
      </c>
      <c r="K77" s="138"/>
      <c r="L77" s="138"/>
      <c r="M77" s="137"/>
    </row>
    <row r="78" spans="2:13">
      <c r="B78" s="132"/>
      <c r="C78" s="133"/>
      <c r="D78" s="134"/>
      <c r="E78" s="133"/>
      <c r="F78" s="135"/>
      <c r="G78" s="136"/>
      <c r="H78" s="136"/>
      <c r="I78" s="105">
        <f t="shared" si="1"/>
        <v>0</v>
      </c>
      <c r="J78" s="150" t="b">
        <v>0</v>
      </c>
      <c r="K78" s="138"/>
      <c r="L78" s="138"/>
      <c r="M78" s="137"/>
    </row>
    <row r="79" spans="2:13">
      <c r="B79" s="132"/>
      <c r="C79" s="133"/>
      <c r="D79" s="134"/>
      <c r="E79" s="133"/>
      <c r="F79" s="135"/>
      <c r="G79" s="136"/>
      <c r="H79" s="136"/>
      <c r="I79" s="105">
        <f t="shared" si="1"/>
        <v>0</v>
      </c>
      <c r="J79" s="150" t="b">
        <v>0</v>
      </c>
      <c r="K79" s="138"/>
      <c r="L79" s="138"/>
      <c r="M79" s="137"/>
    </row>
    <row r="80" spans="2:13">
      <c r="B80" s="132"/>
      <c r="C80" s="133"/>
      <c r="D80" s="134"/>
      <c r="E80" s="133"/>
      <c r="F80" s="135"/>
      <c r="G80" s="136"/>
      <c r="H80" s="136"/>
      <c r="I80" s="105">
        <f t="shared" ref="I80:I120" si="2">G80+H80</f>
        <v>0</v>
      </c>
      <c r="J80" s="150" t="b">
        <v>0</v>
      </c>
      <c r="K80" s="138"/>
      <c r="L80" s="138"/>
      <c r="M80" s="137"/>
    </row>
    <row r="81" spans="2:13">
      <c r="B81" s="132"/>
      <c r="C81" s="133"/>
      <c r="D81" s="134"/>
      <c r="E81" s="133"/>
      <c r="F81" s="135"/>
      <c r="G81" s="136"/>
      <c r="H81" s="136"/>
      <c r="I81" s="105">
        <f t="shared" si="2"/>
        <v>0</v>
      </c>
      <c r="J81" s="150" t="b">
        <v>0</v>
      </c>
      <c r="K81" s="138"/>
      <c r="L81" s="138"/>
      <c r="M81" s="137"/>
    </row>
    <row r="82" spans="2:13">
      <c r="B82" s="132"/>
      <c r="C82" s="133"/>
      <c r="D82" s="134"/>
      <c r="E82" s="133"/>
      <c r="F82" s="135"/>
      <c r="G82" s="136"/>
      <c r="H82" s="136"/>
      <c r="I82" s="105">
        <f t="shared" si="2"/>
        <v>0</v>
      </c>
      <c r="J82" s="150" t="b">
        <v>0</v>
      </c>
      <c r="K82" s="138"/>
      <c r="L82" s="138"/>
      <c r="M82" s="137"/>
    </row>
    <row r="83" spans="2:13">
      <c r="B83" s="132"/>
      <c r="C83" s="133"/>
      <c r="D83" s="134"/>
      <c r="E83" s="133"/>
      <c r="F83" s="135"/>
      <c r="G83" s="136"/>
      <c r="H83" s="136"/>
      <c r="I83" s="105">
        <f t="shared" si="2"/>
        <v>0</v>
      </c>
      <c r="J83" s="150" t="b">
        <v>0</v>
      </c>
      <c r="K83" s="138"/>
      <c r="L83" s="138"/>
      <c r="M83" s="137"/>
    </row>
    <row r="84" spans="2:13">
      <c r="B84" s="132"/>
      <c r="C84" s="133"/>
      <c r="D84" s="134"/>
      <c r="E84" s="133"/>
      <c r="F84" s="135"/>
      <c r="G84" s="136"/>
      <c r="H84" s="136"/>
      <c r="I84" s="105">
        <f t="shared" si="2"/>
        <v>0</v>
      </c>
      <c r="J84" s="150" t="b">
        <v>0</v>
      </c>
      <c r="K84" s="138"/>
      <c r="L84" s="138"/>
      <c r="M84" s="137"/>
    </row>
    <row r="85" spans="2:13">
      <c r="B85" s="132"/>
      <c r="C85" s="133"/>
      <c r="D85" s="134"/>
      <c r="E85" s="133"/>
      <c r="F85" s="135"/>
      <c r="G85" s="136"/>
      <c r="H85" s="136"/>
      <c r="I85" s="105">
        <f t="shared" si="2"/>
        <v>0</v>
      </c>
      <c r="J85" s="150" t="b">
        <v>0</v>
      </c>
      <c r="K85" s="138"/>
      <c r="L85" s="138"/>
      <c r="M85" s="137"/>
    </row>
    <row r="86" spans="2:13">
      <c r="B86" s="132"/>
      <c r="C86" s="133"/>
      <c r="D86" s="134"/>
      <c r="E86" s="133"/>
      <c r="F86" s="135"/>
      <c r="G86" s="136"/>
      <c r="H86" s="136"/>
      <c r="I86" s="105">
        <f t="shared" si="2"/>
        <v>0</v>
      </c>
      <c r="J86" s="150" t="b">
        <v>0</v>
      </c>
      <c r="K86" s="138"/>
      <c r="L86" s="138"/>
      <c r="M86" s="137"/>
    </row>
    <row r="87" spans="2:13">
      <c r="B87" s="132"/>
      <c r="C87" s="133"/>
      <c r="D87" s="134"/>
      <c r="E87" s="133"/>
      <c r="F87" s="135"/>
      <c r="G87" s="136"/>
      <c r="H87" s="136"/>
      <c r="I87" s="105">
        <f t="shared" si="2"/>
        <v>0</v>
      </c>
      <c r="J87" s="150" t="b">
        <v>0</v>
      </c>
      <c r="K87" s="138"/>
      <c r="L87" s="138"/>
      <c r="M87" s="137"/>
    </row>
    <row r="88" spans="2:13">
      <c r="B88" s="132"/>
      <c r="C88" s="133"/>
      <c r="D88" s="134"/>
      <c r="E88" s="133"/>
      <c r="F88" s="135"/>
      <c r="G88" s="136"/>
      <c r="H88" s="136"/>
      <c r="I88" s="105">
        <f t="shared" si="2"/>
        <v>0</v>
      </c>
      <c r="J88" s="150" t="b">
        <v>0</v>
      </c>
      <c r="K88" s="138"/>
      <c r="L88" s="138"/>
      <c r="M88" s="137"/>
    </row>
    <row r="89" spans="2:13">
      <c r="B89" s="132"/>
      <c r="C89" s="133"/>
      <c r="D89" s="134"/>
      <c r="E89" s="133"/>
      <c r="F89" s="135"/>
      <c r="G89" s="136"/>
      <c r="H89" s="136"/>
      <c r="I89" s="105">
        <f t="shared" si="2"/>
        <v>0</v>
      </c>
      <c r="J89" s="150" t="b">
        <v>0</v>
      </c>
      <c r="K89" s="138"/>
      <c r="L89" s="138"/>
      <c r="M89" s="137"/>
    </row>
    <row r="90" spans="2:13">
      <c r="B90" s="132"/>
      <c r="C90" s="133"/>
      <c r="D90" s="134"/>
      <c r="E90" s="133"/>
      <c r="F90" s="135"/>
      <c r="G90" s="136"/>
      <c r="H90" s="136"/>
      <c r="I90" s="105">
        <f t="shared" si="2"/>
        <v>0</v>
      </c>
      <c r="J90" s="150" t="b">
        <v>0</v>
      </c>
      <c r="K90" s="138"/>
      <c r="L90" s="138"/>
      <c r="M90" s="137"/>
    </row>
    <row r="91" spans="2:13">
      <c r="B91" s="132"/>
      <c r="C91" s="133"/>
      <c r="D91" s="134"/>
      <c r="E91" s="133"/>
      <c r="F91" s="135"/>
      <c r="G91" s="136"/>
      <c r="H91" s="136"/>
      <c r="I91" s="105">
        <f t="shared" si="2"/>
        <v>0</v>
      </c>
      <c r="J91" s="150" t="b">
        <v>0</v>
      </c>
      <c r="K91" s="138"/>
      <c r="L91" s="138"/>
      <c r="M91" s="137"/>
    </row>
    <row r="92" spans="2:13">
      <c r="B92" s="132"/>
      <c r="C92" s="133"/>
      <c r="D92" s="134"/>
      <c r="E92" s="133"/>
      <c r="F92" s="135"/>
      <c r="G92" s="136"/>
      <c r="H92" s="136"/>
      <c r="I92" s="105">
        <f t="shared" si="2"/>
        <v>0</v>
      </c>
      <c r="J92" s="150" t="b">
        <v>0</v>
      </c>
      <c r="K92" s="138"/>
      <c r="L92" s="138"/>
      <c r="M92" s="137"/>
    </row>
    <row r="93" spans="2:13">
      <c r="B93" s="132"/>
      <c r="C93" s="133"/>
      <c r="D93" s="134"/>
      <c r="E93" s="133"/>
      <c r="F93" s="135"/>
      <c r="G93" s="136"/>
      <c r="H93" s="136"/>
      <c r="I93" s="105">
        <f t="shared" si="2"/>
        <v>0</v>
      </c>
      <c r="J93" s="150" t="b">
        <v>0</v>
      </c>
      <c r="K93" s="138"/>
      <c r="L93" s="138"/>
      <c r="M93" s="137"/>
    </row>
    <row r="94" spans="2:13">
      <c r="B94" s="132"/>
      <c r="C94" s="133"/>
      <c r="D94" s="134"/>
      <c r="E94" s="133"/>
      <c r="F94" s="135"/>
      <c r="G94" s="136"/>
      <c r="H94" s="136"/>
      <c r="I94" s="105">
        <f t="shared" si="2"/>
        <v>0</v>
      </c>
      <c r="J94" s="150" t="b">
        <v>0</v>
      </c>
      <c r="K94" s="138"/>
      <c r="L94" s="138"/>
      <c r="M94" s="137"/>
    </row>
    <row r="95" spans="2:13">
      <c r="B95" s="132"/>
      <c r="C95" s="133"/>
      <c r="D95" s="134"/>
      <c r="E95" s="133"/>
      <c r="F95" s="135"/>
      <c r="G95" s="136"/>
      <c r="H95" s="136"/>
      <c r="I95" s="105">
        <f t="shared" si="2"/>
        <v>0</v>
      </c>
      <c r="J95" s="150" t="b">
        <v>0</v>
      </c>
      <c r="K95" s="138"/>
      <c r="L95" s="138"/>
      <c r="M95" s="137"/>
    </row>
    <row r="96" spans="2:13">
      <c r="B96" s="132"/>
      <c r="C96" s="133"/>
      <c r="D96" s="134"/>
      <c r="E96" s="133"/>
      <c r="F96" s="135"/>
      <c r="G96" s="136"/>
      <c r="H96" s="136"/>
      <c r="I96" s="105">
        <f t="shared" si="2"/>
        <v>0</v>
      </c>
      <c r="J96" s="150" t="b">
        <v>0</v>
      </c>
      <c r="K96" s="138"/>
      <c r="L96" s="138"/>
      <c r="M96" s="137"/>
    </row>
    <row r="97" spans="2:13">
      <c r="B97" s="132"/>
      <c r="C97" s="133"/>
      <c r="D97" s="134"/>
      <c r="E97" s="133"/>
      <c r="F97" s="135"/>
      <c r="G97" s="136"/>
      <c r="H97" s="136"/>
      <c r="I97" s="105">
        <f t="shared" si="2"/>
        <v>0</v>
      </c>
      <c r="J97" s="150" t="b">
        <v>0</v>
      </c>
      <c r="K97" s="138"/>
      <c r="L97" s="138"/>
      <c r="M97" s="137"/>
    </row>
    <row r="98" spans="2:13">
      <c r="B98" s="132"/>
      <c r="C98" s="133"/>
      <c r="D98" s="134"/>
      <c r="E98" s="133"/>
      <c r="F98" s="135"/>
      <c r="G98" s="136"/>
      <c r="H98" s="136"/>
      <c r="I98" s="105">
        <f t="shared" si="2"/>
        <v>0</v>
      </c>
      <c r="J98" s="150" t="b">
        <v>0</v>
      </c>
      <c r="K98" s="138"/>
      <c r="L98" s="138"/>
      <c r="M98" s="137"/>
    </row>
    <row r="99" spans="2:13">
      <c r="B99" s="132"/>
      <c r="C99" s="133"/>
      <c r="D99" s="134"/>
      <c r="E99" s="133"/>
      <c r="F99" s="135"/>
      <c r="G99" s="136"/>
      <c r="H99" s="136"/>
      <c r="I99" s="105">
        <f t="shared" si="2"/>
        <v>0</v>
      </c>
      <c r="J99" s="150" t="b">
        <v>0</v>
      </c>
      <c r="K99" s="138"/>
      <c r="L99" s="138"/>
      <c r="M99" s="137"/>
    </row>
    <row r="100" spans="2:13">
      <c r="B100" s="132"/>
      <c r="C100" s="133"/>
      <c r="D100" s="134"/>
      <c r="E100" s="133"/>
      <c r="F100" s="135"/>
      <c r="G100" s="136"/>
      <c r="H100" s="136"/>
      <c r="I100" s="105">
        <f t="shared" si="2"/>
        <v>0</v>
      </c>
      <c r="J100" s="150" t="b">
        <v>0</v>
      </c>
      <c r="K100" s="138"/>
      <c r="L100" s="138"/>
      <c r="M100" s="137"/>
    </row>
    <row r="101" spans="2:13">
      <c r="B101" s="132"/>
      <c r="C101" s="133"/>
      <c r="D101" s="134"/>
      <c r="E101" s="133"/>
      <c r="F101" s="135"/>
      <c r="G101" s="136"/>
      <c r="H101" s="136"/>
      <c r="I101" s="105">
        <f t="shared" si="2"/>
        <v>0</v>
      </c>
      <c r="J101" s="150" t="b">
        <v>0</v>
      </c>
      <c r="K101" s="138"/>
      <c r="L101" s="138"/>
      <c r="M101" s="137"/>
    </row>
    <row r="102" spans="2:13">
      <c r="B102" s="132"/>
      <c r="C102" s="133"/>
      <c r="D102" s="134"/>
      <c r="E102" s="133"/>
      <c r="F102" s="135"/>
      <c r="G102" s="136"/>
      <c r="H102" s="136"/>
      <c r="I102" s="105">
        <f t="shared" si="2"/>
        <v>0</v>
      </c>
      <c r="J102" s="150" t="b">
        <v>0</v>
      </c>
      <c r="K102" s="138"/>
      <c r="L102" s="138"/>
      <c r="M102" s="137"/>
    </row>
    <row r="103" spans="2:13">
      <c r="B103" s="132"/>
      <c r="C103" s="133"/>
      <c r="D103" s="134"/>
      <c r="E103" s="133"/>
      <c r="F103" s="135"/>
      <c r="G103" s="136"/>
      <c r="H103" s="136"/>
      <c r="I103" s="105">
        <f t="shared" si="2"/>
        <v>0</v>
      </c>
      <c r="J103" s="150" t="b">
        <v>0</v>
      </c>
      <c r="K103" s="138"/>
      <c r="L103" s="138"/>
      <c r="M103" s="137"/>
    </row>
    <row r="104" spans="2:13">
      <c r="B104" s="132"/>
      <c r="C104" s="133"/>
      <c r="D104" s="134"/>
      <c r="E104" s="133"/>
      <c r="F104" s="135"/>
      <c r="G104" s="136"/>
      <c r="H104" s="136"/>
      <c r="I104" s="105">
        <f t="shared" si="2"/>
        <v>0</v>
      </c>
      <c r="J104" s="150" t="b">
        <v>0</v>
      </c>
      <c r="K104" s="138"/>
      <c r="L104" s="138"/>
      <c r="M104" s="137"/>
    </row>
    <row r="105" spans="2:13">
      <c r="B105" s="132"/>
      <c r="C105" s="133"/>
      <c r="D105" s="134"/>
      <c r="E105" s="133"/>
      <c r="F105" s="135"/>
      <c r="G105" s="136"/>
      <c r="H105" s="136"/>
      <c r="I105" s="105">
        <f t="shared" si="2"/>
        <v>0</v>
      </c>
      <c r="J105" s="150" t="b">
        <v>0</v>
      </c>
      <c r="K105" s="138"/>
      <c r="L105" s="138"/>
      <c r="M105" s="137"/>
    </row>
    <row r="106" spans="2:13">
      <c r="B106" s="132"/>
      <c r="C106" s="133"/>
      <c r="D106" s="134"/>
      <c r="E106" s="133"/>
      <c r="F106" s="135"/>
      <c r="G106" s="136"/>
      <c r="H106" s="136"/>
      <c r="I106" s="105">
        <f t="shared" si="2"/>
        <v>0</v>
      </c>
      <c r="J106" s="150" t="b">
        <v>0</v>
      </c>
      <c r="K106" s="138"/>
      <c r="L106" s="138"/>
      <c r="M106" s="137"/>
    </row>
    <row r="107" spans="2:13">
      <c r="B107" s="132"/>
      <c r="C107" s="133"/>
      <c r="D107" s="134"/>
      <c r="E107" s="133"/>
      <c r="F107" s="135"/>
      <c r="G107" s="136"/>
      <c r="H107" s="136"/>
      <c r="I107" s="105">
        <f t="shared" si="2"/>
        <v>0</v>
      </c>
      <c r="J107" s="150" t="b">
        <v>0</v>
      </c>
      <c r="K107" s="138"/>
      <c r="L107" s="138"/>
      <c r="M107" s="137"/>
    </row>
    <row r="108" spans="2:13">
      <c r="B108" s="132"/>
      <c r="C108" s="133"/>
      <c r="D108" s="134"/>
      <c r="E108" s="133"/>
      <c r="F108" s="135"/>
      <c r="G108" s="136"/>
      <c r="H108" s="136"/>
      <c r="I108" s="105">
        <f t="shared" si="2"/>
        <v>0</v>
      </c>
      <c r="J108" s="150" t="b">
        <v>0</v>
      </c>
      <c r="K108" s="138"/>
      <c r="L108" s="138"/>
      <c r="M108" s="137"/>
    </row>
    <row r="109" spans="2:13">
      <c r="B109" s="132"/>
      <c r="C109" s="133"/>
      <c r="D109" s="134"/>
      <c r="E109" s="133"/>
      <c r="F109" s="135"/>
      <c r="G109" s="136"/>
      <c r="H109" s="136"/>
      <c r="I109" s="105">
        <f t="shared" si="2"/>
        <v>0</v>
      </c>
      <c r="J109" s="150" t="b">
        <v>0</v>
      </c>
      <c r="K109" s="138"/>
      <c r="L109" s="138"/>
      <c r="M109" s="137"/>
    </row>
    <row r="110" spans="2:13">
      <c r="B110" s="132"/>
      <c r="C110" s="133"/>
      <c r="D110" s="134"/>
      <c r="E110" s="133"/>
      <c r="F110" s="135"/>
      <c r="G110" s="136"/>
      <c r="H110" s="136"/>
      <c r="I110" s="105">
        <f t="shared" si="2"/>
        <v>0</v>
      </c>
      <c r="J110" s="150" t="b">
        <v>0</v>
      </c>
      <c r="K110" s="138"/>
      <c r="L110" s="138"/>
      <c r="M110" s="137"/>
    </row>
    <row r="111" spans="2:13">
      <c r="B111" s="132"/>
      <c r="C111" s="133"/>
      <c r="D111" s="134"/>
      <c r="E111" s="133"/>
      <c r="F111" s="135"/>
      <c r="G111" s="136"/>
      <c r="H111" s="136"/>
      <c r="I111" s="105">
        <f t="shared" si="2"/>
        <v>0</v>
      </c>
      <c r="J111" s="150" t="b">
        <v>0</v>
      </c>
      <c r="K111" s="138"/>
      <c r="L111" s="138"/>
      <c r="M111" s="137"/>
    </row>
    <row r="112" spans="2:13">
      <c r="B112" s="132"/>
      <c r="C112" s="133"/>
      <c r="D112" s="134"/>
      <c r="E112" s="133"/>
      <c r="F112" s="135"/>
      <c r="G112" s="136"/>
      <c r="H112" s="136"/>
      <c r="I112" s="105">
        <f t="shared" si="2"/>
        <v>0</v>
      </c>
      <c r="J112" s="150" t="b">
        <v>0</v>
      </c>
      <c r="K112" s="138"/>
      <c r="L112" s="138"/>
      <c r="M112" s="137"/>
    </row>
    <row r="113" spans="2:13">
      <c r="B113" s="132"/>
      <c r="C113" s="133"/>
      <c r="D113" s="134"/>
      <c r="E113" s="133"/>
      <c r="F113" s="135"/>
      <c r="G113" s="136"/>
      <c r="H113" s="136"/>
      <c r="I113" s="105">
        <f t="shared" si="2"/>
        <v>0</v>
      </c>
      <c r="J113" s="150" t="b">
        <v>0</v>
      </c>
      <c r="K113" s="138"/>
      <c r="L113" s="138"/>
      <c r="M113" s="137"/>
    </row>
    <row r="114" spans="2:13">
      <c r="B114" s="132"/>
      <c r="C114" s="133"/>
      <c r="D114" s="134"/>
      <c r="E114" s="133"/>
      <c r="F114" s="135"/>
      <c r="G114" s="136"/>
      <c r="H114" s="136"/>
      <c r="I114" s="105">
        <f t="shared" si="2"/>
        <v>0</v>
      </c>
      <c r="J114" s="150" t="b">
        <v>0</v>
      </c>
      <c r="K114" s="138"/>
      <c r="L114" s="138"/>
      <c r="M114" s="137"/>
    </row>
    <row r="115" spans="2:13">
      <c r="B115" s="132"/>
      <c r="C115" s="133"/>
      <c r="D115" s="134"/>
      <c r="E115" s="133"/>
      <c r="F115" s="135"/>
      <c r="G115" s="136"/>
      <c r="H115" s="136"/>
      <c r="I115" s="105">
        <f t="shared" si="2"/>
        <v>0</v>
      </c>
      <c r="J115" s="150" t="b">
        <v>0</v>
      </c>
      <c r="K115" s="138"/>
      <c r="L115" s="138"/>
      <c r="M115" s="137"/>
    </row>
    <row r="116" spans="2:13">
      <c r="B116" s="132"/>
      <c r="C116" s="133"/>
      <c r="D116" s="134"/>
      <c r="E116" s="133"/>
      <c r="F116" s="135"/>
      <c r="G116" s="136"/>
      <c r="H116" s="136"/>
      <c r="I116" s="105">
        <f t="shared" si="2"/>
        <v>0</v>
      </c>
      <c r="J116" s="150" t="b">
        <v>0</v>
      </c>
      <c r="K116" s="138"/>
      <c r="L116" s="138"/>
      <c r="M116" s="137"/>
    </row>
    <row r="117" spans="2:13">
      <c r="B117" s="132"/>
      <c r="C117" s="133"/>
      <c r="D117" s="134"/>
      <c r="E117" s="133"/>
      <c r="F117" s="135"/>
      <c r="G117" s="136"/>
      <c r="H117" s="136"/>
      <c r="I117" s="105">
        <f t="shared" si="2"/>
        <v>0</v>
      </c>
      <c r="J117" s="150" t="b">
        <v>0</v>
      </c>
      <c r="K117" s="138"/>
      <c r="L117" s="138"/>
      <c r="M117" s="137"/>
    </row>
    <row r="118" spans="2:13">
      <c r="B118" s="132"/>
      <c r="C118" s="133"/>
      <c r="D118" s="134"/>
      <c r="E118" s="133"/>
      <c r="F118" s="135"/>
      <c r="G118" s="136"/>
      <c r="H118" s="136"/>
      <c r="I118" s="105">
        <f t="shared" si="2"/>
        <v>0</v>
      </c>
      <c r="J118" s="150" t="b">
        <v>0</v>
      </c>
      <c r="K118" s="138"/>
      <c r="L118" s="138"/>
      <c r="M118" s="137"/>
    </row>
    <row r="119" spans="2:13">
      <c r="B119" s="132"/>
      <c r="C119" s="133"/>
      <c r="D119" s="134"/>
      <c r="E119" s="133"/>
      <c r="F119" s="135"/>
      <c r="G119" s="136"/>
      <c r="H119" s="136"/>
      <c r="I119" s="105">
        <f t="shared" si="2"/>
        <v>0</v>
      </c>
      <c r="J119" s="150" t="b">
        <v>0</v>
      </c>
      <c r="K119" s="138"/>
      <c r="L119" s="138"/>
      <c r="M119" s="137"/>
    </row>
    <row r="120" spans="2:13">
      <c r="B120" s="132"/>
      <c r="C120" s="133"/>
      <c r="D120" s="134"/>
      <c r="E120" s="133"/>
      <c r="F120" s="135"/>
      <c r="G120" s="136"/>
      <c r="H120" s="136"/>
      <c r="I120" s="105">
        <f t="shared" si="2"/>
        <v>0</v>
      </c>
      <c r="J120" s="150" t="b">
        <v>0</v>
      </c>
      <c r="K120" s="138"/>
      <c r="L120" s="138"/>
      <c r="M120" s="137"/>
    </row>
    <row r="121" spans="2:13" ht="15.75" thickBot="1">
      <c r="B121" s="139"/>
      <c r="G121" s="141">
        <f>SUM(G12:G115)</f>
        <v>29587.269999999997</v>
      </c>
      <c r="H121" s="141">
        <f>SUM(H12:H115)</f>
        <v>843.73000000000025</v>
      </c>
      <c r="I121" s="141">
        <f>SUM(I12:I113)</f>
        <v>30836</v>
      </c>
      <c r="J121" s="142"/>
      <c r="K121" s="138"/>
      <c r="L121" s="138"/>
    </row>
    <row r="122" spans="2:13" ht="16.5" thickTop="1" thickBot="1">
      <c r="B122" s="143"/>
      <c r="C122" s="144"/>
      <c r="D122" s="145"/>
      <c r="E122" s="144"/>
      <c r="F122" s="144"/>
      <c r="G122" s="146"/>
      <c r="H122" s="146"/>
      <c r="I122" s="147"/>
      <c r="K122" s="138"/>
      <c r="L122" s="138"/>
    </row>
    <row r="123" spans="2:13">
      <c r="L123" s="138"/>
    </row>
    <row r="124" spans="2:13">
      <c r="L124" s="138"/>
    </row>
    <row r="125" spans="2:13">
      <c r="L125" s="138"/>
    </row>
  </sheetData>
  <autoFilter ref="B7:M7" xr:uid="{D86FC150-16DB-4EE0-976B-B83FBCC1DF2C}"/>
  <mergeCells count="3">
    <mergeCell ref="B1:I1"/>
    <mergeCell ref="B3:I3"/>
    <mergeCell ref="C5:E5"/>
  </mergeCells>
  <conditionalFormatting sqref="J1:J1048576">
    <cfRule type="containsText" dxfId="23" priority="1" operator="containsText" text="FALSE">
      <formula>NOT(ISERROR(SEARCH("FALSE",J1)))</formula>
    </cfRule>
    <cfRule type="containsText" dxfId="22" priority="2" operator="containsText" text="TRUE">
      <formula>NOT(ISERROR(SEARCH("TRUE",J1)))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1D4AD-1EDD-4107-B93D-414C0C11BCD0}">
  <dimension ref="B1:M123"/>
  <sheetViews>
    <sheetView topLeftCell="A58" workbookViewId="0">
      <selection activeCell="D34" sqref="D34"/>
    </sheetView>
  </sheetViews>
  <sheetFormatPr defaultColWidth="8.5703125" defaultRowHeight="15"/>
  <cols>
    <col min="1" max="1" width="3.140625" style="107" customWidth="1"/>
    <col min="2" max="2" width="29.5703125" style="148" customWidth="1"/>
    <col min="3" max="3" width="14.42578125" style="107" customWidth="1"/>
    <col min="4" max="4" width="38.42578125" style="140" bestFit="1" customWidth="1"/>
    <col min="5" max="5" width="20.42578125" style="107" customWidth="1"/>
    <col min="6" max="6" width="17.140625" style="107" customWidth="1"/>
    <col min="7" max="8" width="15.42578125" style="149" customWidth="1"/>
    <col min="9" max="9" width="17" style="149" customWidth="1"/>
    <col min="10" max="10" width="15.42578125" style="121" customWidth="1"/>
    <col min="11" max="11" width="41.140625" style="107" customWidth="1"/>
    <col min="12" max="12" width="12.85546875" style="107" bestFit="1" customWidth="1"/>
    <col min="13" max="13" width="28.140625" style="107" customWidth="1"/>
    <col min="14" max="14" width="48.42578125" style="107" customWidth="1"/>
    <col min="15" max="15" width="9.85546875" style="107" customWidth="1"/>
    <col min="16" max="16384" width="8.5703125" style="107"/>
  </cols>
  <sheetData>
    <row r="1" spans="2:13" ht="9" customHeight="1" thickBot="1">
      <c r="B1" s="772"/>
      <c r="C1" s="772"/>
      <c r="D1" s="772"/>
      <c r="E1" s="772"/>
      <c r="F1" s="772"/>
      <c r="G1" s="772"/>
      <c r="H1" s="772"/>
      <c r="I1" s="772"/>
      <c r="J1" s="106"/>
    </row>
    <row r="2" spans="2:13" ht="9" customHeight="1">
      <c r="B2" s="108"/>
      <c r="C2" s="109"/>
      <c r="D2" s="110"/>
      <c r="E2" s="109"/>
      <c r="F2" s="109"/>
      <c r="G2" s="111"/>
      <c r="H2" s="111"/>
      <c r="I2" s="112"/>
      <c r="J2" s="113"/>
    </row>
    <row r="3" spans="2:13">
      <c r="B3" s="773" t="s">
        <v>70</v>
      </c>
      <c r="C3" s="774"/>
      <c r="D3" s="774"/>
      <c r="E3" s="774"/>
      <c r="F3" s="774"/>
      <c r="G3" s="774"/>
      <c r="H3" s="774"/>
      <c r="I3" s="775"/>
      <c r="J3" s="114"/>
    </row>
    <row r="4" spans="2:13">
      <c r="B4" s="115"/>
      <c r="C4" s="106"/>
      <c r="D4" s="116"/>
      <c r="E4" s="106"/>
      <c r="F4" s="106"/>
      <c r="G4" s="117"/>
      <c r="H4" s="117"/>
      <c r="I4" s="118"/>
      <c r="J4" s="113"/>
    </row>
    <row r="5" spans="2:13">
      <c r="B5" s="115" t="s">
        <v>0</v>
      </c>
      <c r="C5" s="776" t="s">
        <v>403</v>
      </c>
      <c r="D5" s="777"/>
      <c r="E5" s="777"/>
      <c r="G5" s="119"/>
      <c r="H5" s="119"/>
      <c r="I5" s="120"/>
    </row>
    <row r="6" spans="2:13">
      <c r="B6" s="122" t="s">
        <v>1</v>
      </c>
      <c r="C6" s="123" t="s">
        <v>2</v>
      </c>
      <c r="D6" s="124" t="s">
        <v>3</v>
      </c>
      <c r="E6" s="125" t="s">
        <v>4</v>
      </c>
      <c r="F6" s="124" t="s">
        <v>5</v>
      </c>
      <c r="G6" s="126" t="s">
        <v>6</v>
      </c>
      <c r="H6" s="126" t="s">
        <v>7</v>
      </c>
      <c r="I6" s="127" t="s">
        <v>8</v>
      </c>
      <c r="J6" s="128" t="s">
        <v>9</v>
      </c>
      <c r="K6" s="128" t="s">
        <v>33</v>
      </c>
      <c r="L6" s="129"/>
      <c r="M6" s="129"/>
    </row>
    <row r="7" spans="2:13">
      <c r="B7" s="477" t="s">
        <v>404</v>
      </c>
      <c r="C7" s="478" t="s">
        <v>35</v>
      </c>
      <c r="D7" s="167" t="s">
        <v>406</v>
      </c>
      <c r="E7" s="168">
        <v>228147</v>
      </c>
      <c r="F7" s="479" t="s">
        <v>65</v>
      </c>
      <c r="G7" s="170">
        <v>628.23</v>
      </c>
      <c r="H7" s="170">
        <v>94.23</v>
      </c>
      <c r="I7" s="171">
        <v>722.46</v>
      </c>
      <c r="J7" s="489" t="s">
        <v>9</v>
      </c>
      <c r="K7" s="474" t="s">
        <v>425</v>
      </c>
      <c r="L7" s="474"/>
      <c r="M7" s="138"/>
    </row>
    <row r="8" spans="2:13">
      <c r="B8" s="477" t="s">
        <v>405</v>
      </c>
      <c r="C8" s="478" t="s">
        <v>35</v>
      </c>
      <c r="D8" s="167" t="s">
        <v>129</v>
      </c>
      <c r="E8" s="168">
        <v>587984</v>
      </c>
      <c r="F8" s="479" t="s">
        <v>64</v>
      </c>
      <c r="G8" s="170">
        <v>1961.85</v>
      </c>
      <c r="H8" s="170">
        <v>294.27999999999997</v>
      </c>
      <c r="I8" s="171">
        <v>2256.13</v>
      </c>
      <c r="J8" s="475" t="s">
        <v>9</v>
      </c>
      <c r="K8" s="473" t="s">
        <v>425</v>
      </c>
      <c r="L8" s="474"/>
      <c r="M8" s="138"/>
    </row>
    <row r="9" spans="2:13" s="137" customFormat="1">
      <c r="B9" s="174" t="s">
        <v>413</v>
      </c>
      <c r="C9" s="167" t="s">
        <v>35</v>
      </c>
      <c r="D9" s="167" t="s">
        <v>140</v>
      </c>
      <c r="E9" s="167">
        <v>132427666</v>
      </c>
      <c r="F9" s="175" t="s">
        <v>64</v>
      </c>
      <c r="G9" s="176">
        <v>7336.4</v>
      </c>
      <c r="H9" s="176">
        <v>1100.48</v>
      </c>
      <c r="I9" s="171">
        <v>8436.8799999999992</v>
      </c>
      <c r="J9" s="475" t="s">
        <v>9</v>
      </c>
      <c r="K9" s="473" t="s">
        <v>425</v>
      </c>
      <c r="L9" s="474"/>
      <c r="M9" s="138"/>
    </row>
    <row r="10" spans="2:13">
      <c r="B10" s="483" t="s">
        <v>413</v>
      </c>
      <c r="C10" s="484" t="s">
        <v>42</v>
      </c>
      <c r="D10" s="167" t="s">
        <v>489</v>
      </c>
      <c r="E10" s="168">
        <v>40722</v>
      </c>
      <c r="F10" s="485" t="s">
        <v>65</v>
      </c>
      <c r="G10" s="170">
        <v>746</v>
      </c>
      <c r="H10" s="170">
        <v>111.9</v>
      </c>
      <c r="I10" s="171">
        <v>857.9</v>
      </c>
      <c r="J10" s="475" t="s">
        <v>9</v>
      </c>
      <c r="K10" s="471" t="s">
        <v>425</v>
      </c>
      <c r="L10" s="138"/>
      <c r="M10" s="137"/>
    </row>
    <row r="11" spans="2:13">
      <c r="B11" s="454" t="s">
        <v>413</v>
      </c>
      <c r="C11" s="455" t="s">
        <v>35</v>
      </c>
      <c r="D11" s="167" t="s">
        <v>130</v>
      </c>
      <c r="E11" s="168">
        <v>96128328</v>
      </c>
      <c r="F11" s="456" t="s">
        <v>77</v>
      </c>
      <c r="G11" s="170">
        <v>322554.5</v>
      </c>
      <c r="H11" s="170"/>
      <c r="I11" s="171">
        <v>322554.5</v>
      </c>
      <c r="J11" s="475" t="s">
        <v>9</v>
      </c>
      <c r="K11" s="471" t="s">
        <v>425</v>
      </c>
      <c r="L11" s="138"/>
      <c r="M11" s="137"/>
    </row>
    <row r="12" spans="2:13">
      <c r="B12" s="454" t="s">
        <v>414</v>
      </c>
      <c r="C12" s="455" t="s">
        <v>35</v>
      </c>
      <c r="D12" s="167" t="s">
        <v>406</v>
      </c>
      <c r="E12" s="168">
        <v>2284444</v>
      </c>
      <c r="F12" s="456" t="s">
        <v>65</v>
      </c>
      <c r="G12" s="170">
        <v>293.95</v>
      </c>
      <c r="H12" s="170">
        <v>44.1</v>
      </c>
      <c r="I12" s="171">
        <v>338.05</v>
      </c>
      <c r="J12" s="475" t="s">
        <v>9</v>
      </c>
      <c r="K12" s="474" t="s">
        <v>425</v>
      </c>
      <c r="L12" s="138"/>
      <c r="M12" s="137"/>
    </row>
    <row r="13" spans="2:13">
      <c r="B13" s="172" t="s">
        <v>414</v>
      </c>
      <c r="C13" s="168" t="s">
        <v>35</v>
      </c>
      <c r="D13" s="167" t="s">
        <v>171</v>
      </c>
      <c r="E13" s="168">
        <v>68312</v>
      </c>
      <c r="F13" s="178" t="s">
        <v>65</v>
      </c>
      <c r="G13" s="170">
        <v>4446</v>
      </c>
      <c r="H13" s="170">
        <v>666.9</v>
      </c>
      <c r="I13" s="171">
        <v>5112.8999999999996</v>
      </c>
      <c r="J13" s="475" t="s">
        <v>9</v>
      </c>
      <c r="K13" s="474" t="s">
        <v>425</v>
      </c>
      <c r="L13" s="138"/>
      <c r="M13" s="137"/>
    </row>
    <row r="14" spans="2:13" s="138" customFormat="1">
      <c r="B14" s="174" t="s">
        <v>414</v>
      </c>
      <c r="C14" s="167" t="s">
        <v>35</v>
      </c>
      <c r="D14" s="167" t="s">
        <v>152</v>
      </c>
      <c r="E14" s="167">
        <v>264491</v>
      </c>
      <c r="F14" s="175" t="s">
        <v>64</v>
      </c>
      <c r="G14" s="176">
        <v>612.65</v>
      </c>
      <c r="H14" s="176">
        <v>91.9</v>
      </c>
      <c r="I14" s="177">
        <v>704.55</v>
      </c>
      <c r="J14" s="475" t="s">
        <v>9</v>
      </c>
      <c r="K14" s="138" t="s">
        <v>429</v>
      </c>
    </row>
    <row r="15" spans="2:13" s="138" customFormat="1">
      <c r="B15" s="174" t="s">
        <v>414</v>
      </c>
      <c r="C15" s="167" t="s">
        <v>35</v>
      </c>
      <c r="D15" s="167" t="s">
        <v>152</v>
      </c>
      <c r="E15" s="167">
        <v>264596</v>
      </c>
      <c r="F15" s="175" t="s">
        <v>64</v>
      </c>
      <c r="G15" s="176">
        <v>6869.38</v>
      </c>
      <c r="H15" s="176">
        <v>1030.4000000000001</v>
      </c>
      <c r="I15" s="171">
        <v>7899.78</v>
      </c>
      <c r="J15" s="475" t="s">
        <v>9</v>
      </c>
      <c r="K15" s="138" t="s">
        <v>429</v>
      </c>
    </row>
    <row r="16" spans="2:13" s="138" customFormat="1">
      <c r="B16" s="459" t="s">
        <v>414</v>
      </c>
      <c r="C16" s="460" t="s">
        <v>35</v>
      </c>
      <c r="D16" s="460" t="s">
        <v>152</v>
      </c>
      <c r="E16" s="282">
        <v>264490</v>
      </c>
      <c r="F16" s="461" t="s">
        <v>64</v>
      </c>
      <c r="G16" s="284">
        <v>6749.83</v>
      </c>
      <c r="H16" s="284">
        <v>1012.48</v>
      </c>
      <c r="I16" s="285">
        <v>7762.31</v>
      </c>
      <c r="J16" s="475" t="s">
        <v>9</v>
      </c>
      <c r="K16" s="138" t="s">
        <v>429</v>
      </c>
    </row>
    <row r="17" spans="2:13">
      <c r="B17" s="459" t="s">
        <v>414</v>
      </c>
      <c r="C17" s="460" t="s">
        <v>35</v>
      </c>
      <c r="D17" s="167" t="s">
        <v>129</v>
      </c>
      <c r="E17" s="168">
        <v>588872</v>
      </c>
      <c r="F17" s="461" t="s">
        <v>64</v>
      </c>
      <c r="G17" s="170">
        <v>14824.75</v>
      </c>
      <c r="H17" s="170">
        <v>2223.75</v>
      </c>
      <c r="I17" s="171">
        <v>17048.5</v>
      </c>
      <c r="J17" s="475" t="s">
        <v>9</v>
      </c>
      <c r="K17" s="471" t="s">
        <v>425</v>
      </c>
      <c r="L17" s="138"/>
      <c r="M17" s="137"/>
    </row>
    <row r="18" spans="2:13" s="138" customFormat="1">
      <c r="B18" s="472" t="s">
        <v>415</v>
      </c>
      <c r="C18" s="167" t="s">
        <v>35</v>
      </c>
      <c r="D18" s="167" t="s">
        <v>351</v>
      </c>
      <c r="E18" s="167">
        <v>294</v>
      </c>
      <c r="F18" s="175" t="s">
        <v>64</v>
      </c>
      <c r="G18" s="176">
        <v>3026.25</v>
      </c>
      <c r="H18" s="176">
        <v>453.94</v>
      </c>
      <c r="I18" s="171">
        <v>3480.19</v>
      </c>
      <c r="J18" s="475" t="s">
        <v>9</v>
      </c>
      <c r="K18" s="471" t="s">
        <v>425</v>
      </c>
    </row>
    <row r="19" spans="2:13" s="138" customFormat="1">
      <c r="B19" s="174" t="s">
        <v>415</v>
      </c>
      <c r="C19" s="167" t="s">
        <v>35</v>
      </c>
      <c r="D19" s="167" t="s">
        <v>420</v>
      </c>
      <c r="E19" s="167">
        <v>39395</v>
      </c>
      <c r="F19" s="175" t="s">
        <v>64</v>
      </c>
      <c r="G19" s="176">
        <v>1027.8399999999999</v>
      </c>
      <c r="H19" s="176">
        <v>154.16999999999999</v>
      </c>
      <c r="I19" s="171">
        <v>1182.01</v>
      </c>
      <c r="J19" s="475" t="s">
        <v>9</v>
      </c>
      <c r="K19" s="471" t="s">
        <v>425</v>
      </c>
    </row>
    <row r="20" spans="2:13">
      <c r="B20" s="480" t="s">
        <v>415</v>
      </c>
      <c r="C20" s="481" t="s">
        <v>35</v>
      </c>
      <c r="D20" s="167" t="s">
        <v>129</v>
      </c>
      <c r="E20" s="168">
        <v>589587</v>
      </c>
      <c r="F20" s="482" t="s">
        <v>64</v>
      </c>
      <c r="G20" s="170">
        <v>1536.04</v>
      </c>
      <c r="H20" s="170">
        <v>230.42</v>
      </c>
      <c r="I20" s="171">
        <v>1766.46</v>
      </c>
      <c r="J20" s="475" t="s">
        <v>9</v>
      </c>
      <c r="K20" s="471" t="s">
        <v>425</v>
      </c>
      <c r="L20" s="138"/>
      <c r="M20" s="137"/>
    </row>
    <row r="21" spans="2:13" s="138" customFormat="1">
      <c r="B21" s="174" t="s">
        <v>415</v>
      </c>
      <c r="C21" s="167" t="s">
        <v>35</v>
      </c>
      <c r="D21" s="167" t="s">
        <v>129</v>
      </c>
      <c r="E21" s="167">
        <v>589573</v>
      </c>
      <c r="F21" s="175" t="s">
        <v>64</v>
      </c>
      <c r="G21" s="176">
        <v>5950.86</v>
      </c>
      <c r="H21" s="176">
        <v>892.68</v>
      </c>
      <c r="I21" s="171">
        <v>6843.54</v>
      </c>
      <c r="J21" s="475" t="s">
        <v>9</v>
      </c>
      <c r="K21" s="471" t="s">
        <v>425</v>
      </c>
    </row>
    <row r="22" spans="2:13" s="138" customFormat="1">
      <c r="B22" s="174" t="s">
        <v>421</v>
      </c>
      <c r="C22" s="167" t="s">
        <v>35</v>
      </c>
      <c r="D22" s="167" t="s">
        <v>130</v>
      </c>
      <c r="E22" s="167">
        <v>96142291</v>
      </c>
      <c r="F22" s="175" t="s">
        <v>77</v>
      </c>
      <c r="G22" s="176">
        <v>350734.9</v>
      </c>
      <c r="H22" s="176"/>
      <c r="I22" s="171">
        <v>350734.9</v>
      </c>
      <c r="J22" s="475" t="s">
        <v>9</v>
      </c>
      <c r="K22" s="471" t="s">
        <v>480</v>
      </c>
    </row>
    <row r="23" spans="2:13">
      <c r="B23" s="486" t="s">
        <v>421</v>
      </c>
      <c r="C23" s="487" t="s">
        <v>35</v>
      </c>
      <c r="D23" s="167" t="s">
        <v>406</v>
      </c>
      <c r="E23" s="168">
        <v>228748</v>
      </c>
      <c r="F23" s="488" t="s">
        <v>65</v>
      </c>
      <c r="G23" s="170">
        <v>542.35</v>
      </c>
      <c r="H23" s="170">
        <v>81.37</v>
      </c>
      <c r="I23" s="171">
        <v>623.72</v>
      </c>
      <c r="J23" s="475" t="s">
        <v>9</v>
      </c>
      <c r="K23" s="471" t="s">
        <v>425</v>
      </c>
      <c r="L23" s="138"/>
      <c r="M23" s="137"/>
    </row>
    <row r="24" spans="2:13" s="138" customFormat="1">
      <c r="B24" s="174" t="s">
        <v>421</v>
      </c>
      <c r="C24" s="167" t="s">
        <v>42</v>
      </c>
      <c r="D24" s="167" t="s">
        <v>492</v>
      </c>
      <c r="E24" s="167">
        <v>20488</v>
      </c>
      <c r="F24" s="175" t="s">
        <v>65</v>
      </c>
      <c r="G24" s="176">
        <v>1162</v>
      </c>
      <c r="H24" s="176">
        <v>174.3</v>
      </c>
      <c r="I24" s="171">
        <v>1336.3</v>
      </c>
      <c r="J24" s="525" t="s">
        <v>9</v>
      </c>
      <c r="K24" s="138" t="s">
        <v>450</v>
      </c>
    </row>
    <row r="25" spans="2:13">
      <c r="B25" s="172" t="s">
        <v>421</v>
      </c>
      <c r="C25" s="168" t="s">
        <v>35</v>
      </c>
      <c r="D25" s="167" t="s">
        <v>196</v>
      </c>
      <c r="E25" s="168">
        <v>105809</v>
      </c>
      <c r="F25" s="178" t="s">
        <v>65</v>
      </c>
      <c r="G25" s="170">
        <v>4165.66</v>
      </c>
      <c r="H25" s="170">
        <v>624.86</v>
      </c>
      <c r="I25" s="171">
        <v>4790.5200000000004</v>
      </c>
      <c r="J25" s="507" t="s">
        <v>9</v>
      </c>
      <c r="K25" s="138" t="s">
        <v>450</v>
      </c>
      <c r="L25" s="138"/>
      <c r="M25" s="137"/>
    </row>
    <row r="26" spans="2:13">
      <c r="B26" s="172" t="s">
        <v>421</v>
      </c>
      <c r="C26" s="168" t="s">
        <v>35</v>
      </c>
      <c r="D26" s="369" t="s">
        <v>428</v>
      </c>
      <c r="E26" s="168">
        <v>1760860</v>
      </c>
      <c r="F26" s="178" t="s">
        <v>65</v>
      </c>
      <c r="G26" s="170">
        <v>2816.35</v>
      </c>
      <c r="H26" s="170">
        <v>367.35</v>
      </c>
      <c r="I26" s="171">
        <v>2816.35</v>
      </c>
      <c r="J26" s="507" t="s">
        <v>9</v>
      </c>
      <c r="K26" s="138" t="s">
        <v>450</v>
      </c>
      <c r="L26" s="138"/>
      <c r="M26" s="137"/>
    </row>
    <row r="27" spans="2:13" s="189" customFormat="1">
      <c r="B27" s="496" t="s">
        <v>421</v>
      </c>
      <c r="C27" s="497" t="s">
        <v>35</v>
      </c>
      <c r="D27" s="497" t="s">
        <v>428</v>
      </c>
      <c r="E27" s="211">
        <v>1760855</v>
      </c>
      <c r="F27" s="527" t="s">
        <v>65</v>
      </c>
      <c r="G27" s="213">
        <v>3235.11</v>
      </c>
      <c r="H27" s="213">
        <v>421.96</v>
      </c>
      <c r="I27" s="171">
        <v>3235.11</v>
      </c>
      <c r="J27" s="507" t="s">
        <v>9</v>
      </c>
      <c r="K27" s="138" t="s">
        <v>450</v>
      </c>
    </row>
    <row r="28" spans="2:13" s="137" customFormat="1">
      <c r="B28" s="174" t="s">
        <v>430</v>
      </c>
      <c r="C28" s="167" t="s">
        <v>35</v>
      </c>
      <c r="D28" s="167" t="s">
        <v>491</v>
      </c>
      <c r="E28" s="167">
        <v>40727</v>
      </c>
      <c r="F28" s="175" t="s">
        <v>65</v>
      </c>
      <c r="G28" s="176">
        <v>1447</v>
      </c>
      <c r="H28" s="176">
        <v>217.05</v>
      </c>
      <c r="I28" s="171">
        <v>1664.05</v>
      </c>
      <c r="J28" s="507" t="s">
        <v>9</v>
      </c>
      <c r="K28" s="138" t="s">
        <v>450</v>
      </c>
      <c r="L28" s="138"/>
    </row>
    <row r="29" spans="2:13">
      <c r="B29" s="531" t="s">
        <v>430</v>
      </c>
      <c r="C29" s="532" t="s">
        <v>35</v>
      </c>
      <c r="D29" s="167" t="s">
        <v>490</v>
      </c>
      <c r="E29" s="168">
        <v>40726</v>
      </c>
      <c r="F29" s="533" t="s">
        <v>77</v>
      </c>
      <c r="G29" s="170">
        <v>1219</v>
      </c>
      <c r="H29" s="170">
        <v>182.85</v>
      </c>
      <c r="I29" s="171">
        <v>1401.85</v>
      </c>
      <c r="J29" s="507" t="s">
        <v>9</v>
      </c>
      <c r="K29" s="138" t="s">
        <v>450</v>
      </c>
      <c r="L29" s="138"/>
      <c r="M29" s="137"/>
    </row>
    <row r="30" spans="2:13">
      <c r="B30" s="492" t="s">
        <v>431</v>
      </c>
      <c r="C30" s="493" t="s">
        <v>35</v>
      </c>
      <c r="D30" s="167" t="s">
        <v>406</v>
      </c>
      <c r="E30" s="168">
        <v>229084</v>
      </c>
      <c r="F30" s="524" t="s">
        <v>65</v>
      </c>
      <c r="G30" s="170"/>
      <c r="H30" s="170"/>
      <c r="I30" s="171">
        <v>465.97</v>
      </c>
      <c r="J30" s="507" t="s">
        <v>9</v>
      </c>
      <c r="K30" s="138" t="s">
        <v>450</v>
      </c>
      <c r="L30" s="138"/>
      <c r="M30" s="137"/>
    </row>
    <row r="31" spans="2:13">
      <c r="B31" s="174" t="s">
        <v>431</v>
      </c>
      <c r="C31" s="167" t="s">
        <v>35</v>
      </c>
      <c r="D31" s="167" t="s">
        <v>236</v>
      </c>
      <c r="E31" s="167">
        <v>2900785</v>
      </c>
      <c r="F31" s="175" t="s">
        <v>64</v>
      </c>
      <c r="G31" s="176">
        <v>1997.77</v>
      </c>
      <c r="H31" s="176">
        <v>299.67</v>
      </c>
      <c r="I31" s="171">
        <v>2297.44</v>
      </c>
      <c r="J31" s="507" t="s">
        <v>9</v>
      </c>
      <c r="K31" s="138" t="s">
        <v>450</v>
      </c>
      <c r="L31" s="138"/>
      <c r="M31" s="137"/>
    </row>
    <row r="32" spans="2:13" s="137" customFormat="1">
      <c r="B32" s="174" t="s">
        <v>431</v>
      </c>
      <c r="C32" s="167" t="s">
        <v>35</v>
      </c>
      <c r="D32" s="167" t="s">
        <v>236</v>
      </c>
      <c r="E32" s="167">
        <v>2900793</v>
      </c>
      <c r="F32" s="175" t="s">
        <v>64</v>
      </c>
      <c r="G32" s="176">
        <v>2239.1799999999998</v>
      </c>
      <c r="H32" s="176">
        <v>335.89</v>
      </c>
      <c r="I32" s="171">
        <v>2575.0700000000002</v>
      </c>
      <c r="J32" s="507" t="s">
        <v>9</v>
      </c>
      <c r="K32" s="138" t="s">
        <v>450</v>
      </c>
    </row>
    <row r="33" spans="2:13">
      <c r="B33" s="518" t="s">
        <v>431</v>
      </c>
      <c r="C33" s="519" t="s">
        <v>35</v>
      </c>
      <c r="D33" s="167" t="s">
        <v>236</v>
      </c>
      <c r="E33" s="168">
        <v>2900583</v>
      </c>
      <c r="F33" s="520" t="s">
        <v>65</v>
      </c>
      <c r="G33" s="170">
        <v>1787.9</v>
      </c>
      <c r="H33" s="170">
        <v>268.19</v>
      </c>
      <c r="I33" s="171">
        <v>2056.09</v>
      </c>
      <c r="J33" s="507" t="s">
        <v>9</v>
      </c>
      <c r="K33" s="138" t="s">
        <v>450</v>
      </c>
      <c r="L33" s="138"/>
      <c r="M33" s="137"/>
    </row>
    <row r="34" spans="2:13">
      <c r="B34" s="521" t="s">
        <v>436</v>
      </c>
      <c r="C34" s="522" t="s">
        <v>35</v>
      </c>
      <c r="D34" s="167" t="s">
        <v>236</v>
      </c>
      <c r="E34" s="168">
        <v>2901709</v>
      </c>
      <c r="F34" s="523" t="s">
        <v>64</v>
      </c>
      <c r="G34" s="170">
        <v>693.26</v>
      </c>
      <c r="H34" s="170">
        <v>103.99</v>
      </c>
      <c r="I34" s="171">
        <v>797.25</v>
      </c>
      <c r="J34" s="507" t="s">
        <v>9</v>
      </c>
      <c r="K34" s="138" t="s">
        <v>450</v>
      </c>
      <c r="L34" s="138"/>
      <c r="M34" s="137"/>
    </row>
    <row r="35" spans="2:13">
      <c r="B35" s="172" t="s">
        <v>436</v>
      </c>
      <c r="C35" s="168" t="s">
        <v>35</v>
      </c>
      <c r="D35" s="167" t="s">
        <v>236</v>
      </c>
      <c r="E35" s="168">
        <v>2901707</v>
      </c>
      <c r="F35" s="178" t="s">
        <v>64</v>
      </c>
      <c r="G35" s="170">
        <v>753.56</v>
      </c>
      <c r="H35" s="170">
        <v>113.04</v>
      </c>
      <c r="I35" s="171">
        <v>866.6</v>
      </c>
      <c r="J35" s="507" t="s">
        <v>9</v>
      </c>
      <c r="K35" s="138" t="s">
        <v>450</v>
      </c>
      <c r="L35" s="138"/>
      <c r="M35" s="137"/>
    </row>
    <row r="36" spans="2:13">
      <c r="B36" s="172" t="s">
        <v>436</v>
      </c>
      <c r="C36" s="168" t="s">
        <v>35</v>
      </c>
      <c r="D36" s="167" t="s">
        <v>236</v>
      </c>
      <c r="E36" s="168">
        <v>2901696</v>
      </c>
      <c r="F36" s="178" t="s">
        <v>64</v>
      </c>
      <c r="G36" s="170">
        <v>2505.92</v>
      </c>
      <c r="H36" s="170">
        <v>375.9</v>
      </c>
      <c r="I36" s="171">
        <v>2881.82</v>
      </c>
      <c r="J36" s="507" t="s">
        <v>9</v>
      </c>
      <c r="K36" s="138" t="s">
        <v>450</v>
      </c>
      <c r="L36" s="138"/>
      <c r="M36" s="137"/>
    </row>
    <row r="37" spans="2:13">
      <c r="B37" s="172" t="s">
        <v>436</v>
      </c>
      <c r="C37" s="168" t="s">
        <v>35</v>
      </c>
      <c r="D37" s="167" t="s">
        <v>236</v>
      </c>
      <c r="E37" s="168">
        <v>2901703</v>
      </c>
      <c r="F37" s="178" t="s">
        <v>64</v>
      </c>
      <c r="G37" s="170">
        <v>7753.95</v>
      </c>
      <c r="H37" s="170">
        <v>1127.0999999999999</v>
      </c>
      <c r="I37" s="171">
        <v>8881.0499999999993</v>
      </c>
      <c r="J37" s="507" t="s">
        <v>9</v>
      </c>
      <c r="K37" s="138" t="s">
        <v>450</v>
      </c>
      <c r="L37" s="138"/>
      <c r="M37" s="137"/>
    </row>
    <row r="38" spans="2:13">
      <c r="B38" s="172" t="s">
        <v>436</v>
      </c>
      <c r="C38" s="167" t="s">
        <v>35</v>
      </c>
      <c r="D38" s="167" t="s">
        <v>406</v>
      </c>
      <c r="E38" s="167">
        <v>229393</v>
      </c>
      <c r="F38" s="175" t="s">
        <v>65</v>
      </c>
      <c r="G38" s="176">
        <v>541.73</v>
      </c>
      <c r="H38" s="176">
        <v>81.27</v>
      </c>
      <c r="I38" s="171">
        <v>623</v>
      </c>
      <c r="J38" s="507" t="s">
        <v>9</v>
      </c>
      <c r="K38" s="138" t="s">
        <v>450</v>
      </c>
      <c r="L38" s="138"/>
      <c r="M38" s="137"/>
    </row>
    <row r="39" spans="2:13">
      <c r="B39" s="504" t="s">
        <v>436</v>
      </c>
      <c r="C39" s="505" t="s">
        <v>35</v>
      </c>
      <c r="D39" s="167" t="s">
        <v>129</v>
      </c>
      <c r="E39" s="168">
        <v>590982</v>
      </c>
      <c r="F39" s="506" t="s">
        <v>64</v>
      </c>
      <c r="G39" s="170">
        <v>804.5</v>
      </c>
      <c r="H39" s="170">
        <v>120.68</v>
      </c>
      <c r="I39" s="362">
        <v>925.18</v>
      </c>
      <c r="J39" s="507" t="s">
        <v>9</v>
      </c>
      <c r="K39" s="138" t="s">
        <v>450</v>
      </c>
      <c r="L39" s="138"/>
      <c r="M39" s="137"/>
    </row>
    <row r="40" spans="2:13">
      <c r="B40" s="172" t="s">
        <v>436</v>
      </c>
      <c r="C40" s="168" t="s">
        <v>35</v>
      </c>
      <c r="D40" s="167" t="s">
        <v>129</v>
      </c>
      <c r="E40" s="168">
        <v>590930</v>
      </c>
      <c r="F40" s="178" t="s">
        <v>64</v>
      </c>
      <c r="G40" s="170">
        <v>9544.85</v>
      </c>
      <c r="H40" s="170">
        <v>1431.75</v>
      </c>
      <c r="I40" s="171">
        <v>10976.6</v>
      </c>
      <c r="J40" s="489" t="s">
        <v>9</v>
      </c>
      <c r="K40" s="138" t="s">
        <v>450</v>
      </c>
      <c r="L40" s="138"/>
      <c r="M40" s="137"/>
    </row>
    <row r="41" spans="2:13">
      <c r="B41" s="504" t="s">
        <v>439</v>
      </c>
      <c r="C41" s="505" t="s">
        <v>35</v>
      </c>
      <c r="D41" s="167" t="s">
        <v>130</v>
      </c>
      <c r="E41" s="168">
        <v>96159672</v>
      </c>
      <c r="F41" s="506" t="s">
        <v>77</v>
      </c>
      <c r="G41" s="170">
        <v>326736.2</v>
      </c>
      <c r="H41" s="170"/>
      <c r="I41" s="171">
        <v>326736.2</v>
      </c>
      <c r="J41" s="489" t="s">
        <v>9</v>
      </c>
      <c r="K41" s="138" t="s">
        <v>440</v>
      </c>
      <c r="L41" s="138"/>
      <c r="M41" s="137"/>
    </row>
    <row r="42" spans="2:13">
      <c r="B42" s="504" t="s">
        <v>439</v>
      </c>
      <c r="C42" s="505" t="s">
        <v>35</v>
      </c>
      <c r="D42" s="167" t="s">
        <v>152</v>
      </c>
      <c r="E42" s="168" t="s">
        <v>443</v>
      </c>
      <c r="F42" s="506" t="s">
        <v>64</v>
      </c>
      <c r="G42" s="170">
        <f>5212.81+751.37</f>
        <v>5964.18</v>
      </c>
      <c r="H42" s="170">
        <f>781.92+1126.71</f>
        <v>1908.63</v>
      </c>
      <c r="I42" s="171">
        <f>5994.73+8638.08</f>
        <v>14632.81</v>
      </c>
      <c r="J42" s="507" t="s">
        <v>9</v>
      </c>
      <c r="K42" s="138" t="s">
        <v>444</v>
      </c>
      <c r="L42" s="138"/>
      <c r="M42" s="137"/>
    </row>
    <row r="43" spans="2:13">
      <c r="B43" s="504" t="s">
        <v>445</v>
      </c>
      <c r="C43" s="505" t="s">
        <v>35</v>
      </c>
      <c r="D43" s="505" t="s">
        <v>448</v>
      </c>
      <c r="E43" s="409">
        <v>88598</v>
      </c>
      <c r="F43" s="506" t="s">
        <v>64</v>
      </c>
      <c r="G43" s="411">
        <v>356.65</v>
      </c>
      <c r="H43" s="411">
        <v>53.51</v>
      </c>
      <c r="I43" s="412">
        <v>410.16</v>
      </c>
      <c r="J43" s="507" t="s">
        <v>9</v>
      </c>
      <c r="K43" s="138" t="s">
        <v>450</v>
      </c>
      <c r="L43" s="138"/>
      <c r="M43" s="137"/>
    </row>
    <row r="44" spans="2:13">
      <c r="B44" s="504" t="s">
        <v>445</v>
      </c>
      <c r="C44" s="505" t="s">
        <v>35</v>
      </c>
      <c r="D44" s="167" t="s">
        <v>167</v>
      </c>
      <c r="E44" s="168">
        <v>4945</v>
      </c>
      <c r="F44" s="506" t="s">
        <v>64</v>
      </c>
      <c r="G44" s="170">
        <v>1797</v>
      </c>
      <c r="H44" s="170">
        <v>269.55</v>
      </c>
      <c r="I44" s="171">
        <v>2066.5500000000002</v>
      </c>
      <c r="J44" s="150" t="s">
        <v>9</v>
      </c>
      <c r="K44" s="138" t="s">
        <v>517</v>
      </c>
      <c r="L44" s="138"/>
      <c r="M44" s="137"/>
    </row>
    <row r="45" spans="2:13">
      <c r="B45" s="172" t="s">
        <v>445</v>
      </c>
      <c r="C45" s="168" t="s">
        <v>35</v>
      </c>
      <c r="D45" s="167" t="s">
        <v>236</v>
      </c>
      <c r="E45" s="168">
        <v>2904381</v>
      </c>
      <c r="F45" s="178" t="s">
        <v>64</v>
      </c>
      <c r="G45" s="170">
        <v>5603.72</v>
      </c>
      <c r="H45" s="170">
        <v>840.57</v>
      </c>
      <c r="I45" s="171">
        <v>6444.29</v>
      </c>
      <c r="J45" s="507" t="s">
        <v>9</v>
      </c>
      <c r="K45" s="138" t="s">
        <v>517</v>
      </c>
      <c r="L45" s="138"/>
      <c r="M45" s="137"/>
    </row>
    <row r="46" spans="2:13">
      <c r="B46" s="172" t="s">
        <v>445</v>
      </c>
      <c r="C46" s="168" t="s">
        <v>35</v>
      </c>
      <c r="D46" s="167" t="s">
        <v>236</v>
      </c>
      <c r="E46" s="168">
        <v>2904348</v>
      </c>
      <c r="F46" s="178" t="s">
        <v>64</v>
      </c>
      <c r="G46" s="170">
        <v>4451.87</v>
      </c>
      <c r="H46" s="170">
        <v>667.8</v>
      </c>
      <c r="I46" s="171">
        <v>5119.67</v>
      </c>
      <c r="J46" s="507" t="s">
        <v>9</v>
      </c>
      <c r="K46" s="138" t="s">
        <v>517</v>
      </c>
      <c r="L46" s="138"/>
      <c r="M46" s="137"/>
    </row>
    <row r="47" spans="2:13">
      <c r="B47" s="528" t="s">
        <v>445</v>
      </c>
      <c r="C47" s="529" t="s">
        <v>35</v>
      </c>
      <c r="D47" s="529" t="s">
        <v>236</v>
      </c>
      <c r="E47" s="377">
        <v>2904362</v>
      </c>
      <c r="F47" s="530" t="s">
        <v>64</v>
      </c>
      <c r="G47" s="379">
        <v>789.54</v>
      </c>
      <c r="H47" s="379">
        <v>118.43</v>
      </c>
      <c r="I47" s="380">
        <v>907.97</v>
      </c>
      <c r="J47" s="507" t="s">
        <v>9</v>
      </c>
      <c r="K47" s="138" t="s">
        <v>517</v>
      </c>
      <c r="L47" s="138"/>
      <c r="M47" s="137"/>
    </row>
    <row r="48" spans="2:13">
      <c r="B48" s="528" t="s">
        <v>445</v>
      </c>
      <c r="C48" s="529" t="s">
        <v>35</v>
      </c>
      <c r="D48" s="167" t="s">
        <v>236</v>
      </c>
      <c r="E48" s="168">
        <v>2904416</v>
      </c>
      <c r="F48" s="530" t="s">
        <v>65</v>
      </c>
      <c r="G48" s="170">
        <v>2670.4</v>
      </c>
      <c r="H48" s="170">
        <v>400.57</v>
      </c>
      <c r="I48" s="171">
        <v>3070.97</v>
      </c>
      <c r="J48" s="507" t="s">
        <v>9</v>
      </c>
      <c r="K48" s="138" t="s">
        <v>517</v>
      </c>
      <c r="L48" s="138"/>
      <c r="M48" s="137"/>
    </row>
    <row r="49" spans="2:13">
      <c r="B49" s="548" t="s">
        <v>453</v>
      </c>
      <c r="C49" s="549" t="s">
        <v>35</v>
      </c>
      <c r="D49" s="167" t="s">
        <v>130</v>
      </c>
      <c r="E49" s="168">
        <v>96166455</v>
      </c>
      <c r="F49" s="550" t="s">
        <v>77</v>
      </c>
      <c r="G49" s="170">
        <v>333256.2</v>
      </c>
      <c r="H49" s="170"/>
      <c r="I49" s="171">
        <v>333256.2</v>
      </c>
      <c r="J49" s="507" t="s">
        <v>9</v>
      </c>
      <c r="K49" s="138" t="s">
        <v>479</v>
      </c>
      <c r="L49" s="138"/>
      <c r="M49" s="137"/>
    </row>
    <row r="50" spans="2:13">
      <c r="B50" s="172" t="s">
        <v>453</v>
      </c>
      <c r="C50" s="168" t="s">
        <v>35</v>
      </c>
      <c r="D50" s="167" t="s">
        <v>196</v>
      </c>
      <c r="E50" s="168">
        <v>106368</v>
      </c>
      <c r="F50" s="178" t="s">
        <v>65</v>
      </c>
      <c r="G50" s="170">
        <v>4822.74</v>
      </c>
      <c r="H50" s="170">
        <v>723.43</v>
      </c>
      <c r="I50" s="171">
        <v>5546.17</v>
      </c>
      <c r="J50" s="507" t="s">
        <v>495</v>
      </c>
      <c r="K50" s="138" t="s">
        <v>496</v>
      </c>
      <c r="L50" s="138"/>
      <c r="M50" s="137"/>
    </row>
    <row r="51" spans="2:13">
      <c r="B51" s="172" t="s">
        <v>453</v>
      </c>
      <c r="C51" s="168" t="s">
        <v>35</v>
      </c>
      <c r="D51" s="167" t="s">
        <v>129</v>
      </c>
      <c r="E51" s="168">
        <v>591567</v>
      </c>
      <c r="F51" s="178" t="s">
        <v>64</v>
      </c>
      <c r="G51" s="170">
        <v>1259</v>
      </c>
      <c r="H51" s="170">
        <v>188.86</v>
      </c>
      <c r="I51" s="171">
        <v>1447.86</v>
      </c>
      <c r="J51" s="507" t="s">
        <v>9</v>
      </c>
      <c r="K51" s="138" t="s">
        <v>496</v>
      </c>
      <c r="L51" s="138"/>
      <c r="M51" s="137"/>
    </row>
    <row r="52" spans="2:13">
      <c r="B52" s="172" t="s">
        <v>453</v>
      </c>
      <c r="C52" s="168" t="s">
        <v>35</v>
      </c>
      <c r="D52" s="167" t="s">
        <v>95</v>
      </c>
      <c r="E52" s="168">
        <v>52790</v>
      </c>
      <c r="F52" s="178" t="s">
        <v>64</v>
      </c>
      <c r="G52" s="170">
        <v>2345.5</v>
      </c>
      <c r="H52" s="170">
        <v>351.83</v>
      </c>
      <c r="I52" s="171">
        <v>2697.33</v>
      </c>
      <c r="J52" s="507" t="s">
        <v>9</v>
      </c>
      <c r="K52" s="138" t="s">
        <v>517</v>
      </c>
      <c r="L52" s="138"/>
      <c r="M52" s="137"/>
    </row>
    <row r="53" spans="2:13">
      <c r="B53" s="172" t="s">
        <v>453</v>
      </c>
      <c r="C53" s="168" t="s">
        <v>35</v>
      </c>
      <c r="D53" s="167" t="s">
        <v>406</v>
      </c>
      <c r="E53" s="168">
        <v>229665</v>
      </c>
      <c r="F53" s="178" t="s">
        <v>65</v>
      </c>
      <c r="G53" s="170">
        <v>532.21</v>
      </c>
      <c r="H53" s="170"/>
      <c r="I53" s="171">
        <v>532.21</v>
      </c>
      <c r="J53" s="507" t="s">
        <v>9</v>
      </c>
      <c r="K53" s="138" t="s">
        <v>496</v>
      </c>
      <c r="L53" s="138"/>
      <c r="M53" s="137"/>
    </row>
    <row r="54" spans="2:13">
      <c r="B54" s="172" t="s">
        <v>453</v>
      </c>
      <c r="C54" s="168" t="s">
        <v>35</v>
      </c>
      <c r="D54" s="167" t="s">
        <v>428</v>
      </c>
      <c r="E54" s="168">
        <v>1766555</v>
      </c>
      <c r="F54" s="178" t="s">
        <v>65</v>
      </c>
      <c r="G54" s="170">
        <v>2869.25</v>
      </c>
      <c r="H54" s="170">
        <v>374.25</v>
      </c>
      <c r="I54" s="171">
        <v>2869.25</v>
      </c>
      <c r="J54" s="507" t="s">
        <v>9</v>
      </c>
      <c r="K54" s="138" t="s">
        <v>517</v>
      </c>
      <c r="L54" s="138"/>
      <c r="M54" s="137"/>
    </row>
    <row r="55" spans="2:13">
      <c r="B55" s="172" t="s">
        <v>453</v>
      </c>
      <c r="C55" s="168" t="s">
        <v>35</v>
      </c>
      <c r="D55" s="167" t="s">
        <v>428</v>
      </c>
      <c r="E55" s="168">
        <v>1766556</v>
      </c>
      <c r="F55" s="178" t="s">
        <v>65</v>
      </c>
      <c r="G55" s="170">
        <v>879.75</v>
      </c>
      <c r="H55" s="170">
        <v>114.75</v>
      </c>
      <c r="I55" s="171">
        <v>879.75</v>
      </c>
      <c r="J55" s="507" t="s">
        <v>9</v>
      </c>
      <c r="K55" s="138" t="s">
        <v>517</v>
      </c>
      <c r="L55" s="138"/>
      <c r="M55" s="137"/>
    </row>
    <row r="56" spans="2:13">
      <c r="B56" s="172" t="s">
        <v>453</v>
      </c>
      <c r="C56" s="168" t="s">
        <v>35</v>
      </c>
      <c r="D56" s="167" t="s">
        <v>140</v>
      </c>
      <c r="E56" s="168">
        <v>132675168</v>
      </c>
      <c r="F56" s="178" t="s">
        <v>64</v>
      </c>
      <c r="G56" s="170">
        <v>6548.28</v>
      </c>
      <c r="H56" s="170">
        <v>845.12</v>
      </c>
      <c r="I56" s="171">
        <v>7393.4</v>
      </c>
      <c r="J56" s="507" t="s">
        <v>9</v>
      </c>
      <c r="K56" s="138" t="s">
        <v>517</v>
      </c>
      <c r="L56" s="138"/>
      <c r="M56" s="137"/>
    </row>
    <row r="57" spans="2:13">
      <c r="B57" s="583" t="s">
        <v>457</v>
      </c>
      <c r="C57" s="584" t="s">
        <v>35</v>
      </c>
      <c r="D57" s="167" t="s">
        <v>171</v>
      </c>
      <c r="E57" s="387">
        <v>68537</v>
      </c>
      <c r="F57" s="585" t="s">
        <v>65</v>
      </c>
      <c r="G57" s="170">
        <v>2596.2199999999998</v>
      </c>
      <c r="H57" s="170">
        <v>389.43</v>
      </c>
      <c r="I57" s="171">
        <v>2985.65</v>
      </c>
      <c r="J57" s="507" t="s">
        <v>9</v>
      </c>
      <c r="K57" s="138" t="s">
        <v>517</v>
      </c>
      <c r="L57" s="138"/>
      <c r="M57" s="137"/>
    </row>
    <row r="58" spans="2:13">
      <c r="B58" s="548" t="s">
        <v>458</v>
      </c>
      <c r="C58" s="549" t="s">
        <v>35</v>
      </c>
      <c r="D58" s="167" t="s">
        <v>130</v>
      </c>
      <c r="E58" s="387">
        <v>96182963</v>
      </c>
      <c r="F58" s="550" t="s">
        <v>77</v>
      </c>
      <c r="G58" s="170">
        <v>333256.2</v>
      </c>
      <c r="H58" s="170"/>
      <c r="I58" s="171">
        <v>333256.2</v>
      </c>
      <c r="J58" s="507" t="s">
        <v>9</v>
      </c>
      <c r="K58" s="138" t="s">
        <v>481</v>
      </c>
      <c r="L58" s="138"/>
      <c r="M58" s="137"/>
    </row>
    <row r="59" spans="2:13">
      <c r="B59" s="172" t="s">
        <v>459</v>
      </c>
      <c r="C59" s="168" t="s">
        <v>35</v>
      </c>
      <c r="D59" s="167" t="s">
        <v>129</v>
      </c>
      <c r="E59" s="168">
        <v>592936</v>
      </c>
      <c r="F59" s="178" t="s">
        <v>64</v>
      </c>
      <c r="G59" s="170">
        <v>14246.34</v>
      </c>
      <c r="H59" s="170">
        <v>2085.73</v>
      </c>
      <c r="I59" s="171">
        <v>16332.07</v>
      </c>
      <c r="J59" s="507" t="s">
        <v>9</v>
      </c>
      <c r="K59" s="138" t="s">
        <v>496</v>
      </c>
      <c r="L59" s="138"/>
      <c r="M59" s="137"/>
    </row>
    <row r="60" spans="2:13">
      <c r="B60" s="172" t="s">
        <v>459</v>
      </c>
      <c r="C60" s="168" t="s">
        <v>35</v>
      </c>
      <c r="D60" s="167" t="s">
        <v>129</v>
      </c>
      <c r="E60" s="168">
        <v>592952</v>
      </c>
      <c r="F60" s="178" t="s">
        <v>64</v>
      </c>
      <c r="G60" s="170">
        <v>2148.6999999999998</v>
      </c>
      <c r="H60" s="170">
        <v>322.31</v>
      </c>
      <c r="I60" s="171">
        <v>2471.0100000000002</v>
      </c>
      <c r="J60" s="507" t="s">
        <v>9</v>
      </c>
      <c r="K60" s="138" t="s">
        <v>496</v>
      </c>
      <c r="L60" s="138"/>
      <c r="M60" s="137"/>
    </row>
    <row r="61" spans="2:13">
      <c r="B61" s="172" t="s">
        <v>461</v>
      </c>
      <c r="C61" s="168" t="s">
        <v>35</v>
      </c>
      <c r="D61" s="167" t="s">
        <v>152</v>
      </c>
      <c r="E61" s="168" t="s">
        <v>462</v>
      </c>
      <c r="F61" s="178" t="s">
        <v>64</v>
      </c>
      <c r="G61" s="170">
        <f>3292+9433.62</f>
        <v>12725.62</v>
      </c>
      <c r="H61" s="170">
        <f>493.8+1415.04</f>
        <v>1908.84</v>
      </c>
      <c r="I61" s="171">
        <f>10848.66+3785.8</f>
        <v>14634.46</v>
      </c>
      <c r="J61" s="475" t="s">
        <v>9</v>
      </c>
      <c r="K61" s="138" t="s">
        <v>482</v>
      </c>
      <c r="L61" s="138"/>
      <c r="M61" s="137"/>
    </row>
    <row r="62" spans="2:13">
      <c r="B62" s="539" t="s">
        <v>461</v>
      </c>
      <c r="C62" s="540" t="s">
        <v>35</v>
      </c>
      <c r="D62" s="167" t="s">
        <v>406</v>
      </c>
      <c r="E62" s="168">
        <v>230448</v>
      </c>
      <c r="F62" s="541" t="s">
        <v>64</v>
      </c>
      <c r="G62" s="170"/>
      <c r="H62" s="170"/>
      <c r="I62" s="171">
        <v>1017.83</v>
      </c>
      <c r="J62" s="507" t="s">
        <v>9</v>
      </c>
      <c r="K62" s="138" t="s">
        <v>496</v>
      </c>
      <c r="L62" s="138"/>
      <c r="M62" s="137"/>
    </row>
    <row r="63" spans="2:13">
      <c r="B63" s="548" t="s">
        <v>470</v>
      </c>
      <c r="C63" s="625" t="s">
        <v>35</v>
      </c>
      <c r="D63" s="167" t="s">
        <v>484</v>
      </c>
      <c r="E63" s="168"/>
      <c r="F63" s="626" t="s">
        <v>77</v>
      </c>
      <c r="G63" s="170">
        <v>314567.5</v>
      </c>
      <c r="H63" s="170"/>
      <c r="I63" s="171">
        <v>314567.5</v>
      </c>
      <c r="J63" s="507" t="s">
        <v>9</v>
      </c>
      <c r="K63" s="138" t="s">
        <v>485</v>
      </c>
      <c r="L63" s="138"/>
      <c r="M63" s="137"/>
    </row>
    <row r="64" spans="2:13">
      <c r="B64" s="580" t="s">
        <v>470</v>
      </c>
      <c r="C64" s="581" t="s">
        <v>42</v>
      </c>
      <c r="D64" s="167" t="s">
        <v>353</v>
      </c>
      <c r="E64" s="581" t="s">
        <v>471</v>
      </c>
      <c r="F64" s="582" t="s">
        <v>354</v>
      </c>
      <c r="G64" s="170">
        <v>450</v>
      </c>
      <c r="H64" s="170">
        <v>67.5</v>
      </c>
      <c r="I64" s="171">
        <v>517.5</v>
      </c>
      <c r="J64" s="489" t="s">
        <v>9</v>
      </c>
      <c r="K64" s="138" t="s">
        <v>517</v>
      </c>
      <c r="L64" s="138"/>
      <c r="M64" s="137"/>
    </row>
    <row r="65" spans="2:13">
      <c r="B65" s="172" t="s">
        <v>476</v>
      </c>
      <c r="C65" s="168" t="s">
        <v>35</v>
      </c>
      <c r="D65" s="167" t="s">
        <v>114</v>
      </c>
      <c r="E65" s="168">
        <v>326</v>
      </c>
      <c r="F65" s="178" t="s">
        <v>64</v>
      </c>
      <c r="G65" s="170">
        <v>1704.7</v>
      </c>
      <c r="H65" s="170"/>
      <c r="I65" s="171">
        <v>1704.4</v>
      </c>
      <c r="J65" s="152" t="s">
        <v>477</v>
      </c>
      <c r="K65" s="138"/>
      <c r="L65" s="138"/>
      <c r="M65" s="137"/>
    </row>
    <row r="66" spans="2:13">
      <c r="B66" s="172" t="s">
        <v>476</v>
      </c>
      <c r="C66" s="168" t="s">
        <v>35</v>
      </c>
      <c r="D66" s="167" t="s">
        <v>488</v>
      </c>
      <c r="E66" s="168">
        <v>40748</v>
      </c>
      <c r="F66" s="178" t="s">
        <v>65</v>
      </c>
      <c r="G66" s="170">
        <v>387</v>
      </c>
      <c r="H66" s="170">
        <v>58.05</v>
      </c>
      <c r="I66" s="171">
        <v>445.05</v>
      </c>
      <c r="J66" s="489" t="s">
        <v>9</v>
      </c>
      <c r="K66" s="138" t="s">
        <v>517</v>
      </c>
      <c r="L66" s="138"/>
      <c r="M66" s="137"/>
    </row>
    <row r="67" spans="2:13">
      <c r="B67" s="172" t="s">
        <v>476</v>
      </c>
      <c r="C67" s="168" t="s">
        <v>35</v>
      </c>
      <c r="D67" s="167" t="s">
        <v>478</v>
      </c>
      <c r="E67" s="168">
        <v>40252</v>
      </c>
      <c r="F67" s="178" t="s">
        <v>64</v>
      </c>
      <c r="G67" s="170">
        <v>5127.17</v>
      </c>
      <c r="H67" s="170">
        <v>769.07</v>
      </c>
      <c r="I67" s="171">
        <v>5896.24</v>
      </c>
      <c r="J67" s="489" t="s">
        <v>9</v>
      </c>
      <c r="K67" s="138" t="s">
        <v>517</v>
      </c>
      <c r="L67" s="138"/>
      <c r="M67" s="137"/>
    </row>
    <row r="68" spans="2:13">
      <c r="B68" s="172" t="s">
        <v>476</v>
      </c>
      <c r="C68" s="168" t="s">
        <v>35</v>
      </c>
      <c r="D68" s="167" t="s">
        <v>130</v>
      </c>
      <c r="E68" s="168">
        <v>96207035</v>
      </c>
      <c r="F68" s="178" t="s">
        <v>77</v>
      </c>
      <c r="G68" s="170">
        <v>314567.5</v>
      </c>
      <c r="H68" s="170"/>
      <c r="I68" s="171">
        <v>314567.5</v>
      </c>
      <c r="J68" s="507" t="s">
        <v>9</v>
      </c>
      <c r="K68" s="138" t="s">
        <v>483</v>
      </c>
      <c r="L68" s="138"/>
      <c r="M68" s="137"/>
    </row>
    <row r="69" spans="2:13">
      <c r="B69" s="172" t="s">
        <v>476</v>
      </c>
      <c r="C69" s="168" t="s">
        <v>35</v>
      </c>
      <c r="D69" s="167" t="s">
        <v>236</v>
      </c>
      <c r="E69" s="168">
        <v>2908836</v>
      </c>
      <c r="F69" s="178" t="s">
        <v>65</v>
      </c>
      <c r="G69" s="170">
        <v>1765</v>
      </c>
      <c r="H69" s="170">
        <v>264.75</v>
      </c>
      <c r="I69" s="171">
        <v>2029.75</v>
      </c>
      <c r="J69" s="507" t="s">
        <v>9</v>
      </c>
      <c r="K69" s="138" t="s">
        <v>517</v>
      </c>
      <c r="L69" s="138"/>
      <c r="M69" s="137"/>
    </row>
    <row r="70" spans="2:13">
      <c r="B70" s="172" t="s">
        <v>493</v>
      </c>
      <c r="C70" s="168" t="s">
        <v>35</v>
      </c>
      <c r="D70" s="167" t="s">
        <v>406</v>
      </c>
      <c r="E70" s="168">
        <v>231150</v>
      </c>
      <c r="F70" s="178" t="s">
        <v>65</v>
      </c>
      <c r="G70" s="170">
        <v>932.12</v>
      </c>
      <c r="H70" s="170">
        <v>139.82</v>
      </c>
      <c r="I70" s="171">
        <v>1071.94</v>
      </c>
      <c r="J70" s="507" t="s">
        <v>9</v>
      </c>
      <c r="K70" s="138" t="s">
        <v>496</v>
      </c>
      <c r="L70" s="138"/>
      <c r="M70" s="137"/>
    </row>
    <row r="71" spans="2:13">
      <c r="B71" s="172" t="s">
        <v>493</v>
      </c>
      <c r="C71" s="168" t="s">
        <v>35</v>
      </c>
      <c r="D71" s="167" t="s">
        <v>478</v>
      </c>
      <c r="E71" s="168">
        <v>40309</v>
      </c>
      <c r="F71" s="178" t="s">
        <v>64</v>
      </c>
      <c r="G71" s="170">
        <v>621.26</v>
      </c>
      <c r="H71" s="170">
        <v>93.18</v>
      </c>
      <c r="I71" s="171">
        <v>714.44</v>
      </c>
      <c r="J71" s="489" t="s">
        <v>9</v>
      </c>
      <c r="K71" s="138" t="s">
        <v>517</v>
      </c>
      <c r="L71" s="138"/>
      <c r="M71" s="137"/>
    </row>
    <row r="72" spans="2:13">
      <c r="B72" s="172" t="s">
        <v>493</v>
      </c>
      <c r="C72" s="168" t="s">
        <v>35</v>
      </c>
      <c r="D72" s="167" t="s">
        <v>171</v>
      </c>
      <c r="E72" s="168">
        <v>68673</v>
      </c>
      <c r="F72" s="178" t="s">
        <v>65</v>
      </c>
      <c r="G72" s="170">
        <v>3211.63</v>
      </c>
      <c r="H72" s="170">
        <v>481.74</v>
      </c>
      <c r="I72" s="171">
        <v>3693.37</v>
      </c>
      <c r="J72" s="489" t="s">
        <v>9</v>
      </c>
      <c r="K72" s="138" t="s">
        <v>517</v>
      </c>
      <c r="L72" s="138"/>
      <c r="M72" s="137"/>
    </row>
    <row r="73" spans="2:13">
      <c r="B73" s="172" t="s">
        <v>493</v>
      </c>
      <c r="C73" s="168" t="s">
        <v>35</v>
      </c>
      <c r="D73" s="167" t="s">
        <v>236</v>
      </c>
      <c r="E73" s="168">
        <v>2909023</v>
      </c>
      <c r="F73" s="178" t="s">
        <v>64</v>
      </c>
      <c r="G73" s="170">
        <v>135.69999999999999</v>
      </c>
      <c r="H73" s="170">
        <v>20.36</v>
      </c>
      <c r="I73" s="171">
        <v>156.06</v>
      </c>
      <c r="J73" s="507" t="s">
        <v>9</v>
      </c>
      <c r="K73" s="138" t="s">
        <v>517</v>
      </c>
      <c r="L73" s="138"/>
      <c r="M73" s="137"/>
    </row>
    <row r="74" spans="2:13">
      <c r="B74" s="172" t="s">
        <v>493</v>
      </c>
      <c r="C74" s="168" t="s">
        <v>35</v>
      </c>
      <c r="D74" s="167" t="s">
        <v>236</v>
      </c>
      <c r="E74" s="168">
        <v>2909021</v>
      </c>
      <c r="F74" s="178" t="s">
        <v>64</v>
      </c>
      <c r="G74" s="170">
        <v>2068.04</v>
      </c>
      <c r="H74" s="170">
        <v>310.2</v>
      </c>
      <c r="I74" s="171">
        <v>2378.2399999999998</v>
      </c>
      <c r="J74" s="507" t="s">
        <v>9</v>
      </c>
      <c r="K74" s="138" t="s">
        <v>517</v>
      </c>
      <c r="L74" s="138"/>
      <c r="M74" s="137"/>
    </row>
    <row r="75" spans="2:13">
      <c r="B75" s="172" t="s">
        <v>493</v>
      </c>
      <c r="C75" s="168" t="s">
        <v>35</v>
      </c>
      <c r="D75" s="167" t="s">
        <v>236</v>
      </c>
      <c r="E75" s="168">
        <v>2908911</v>
      </c>
      <c r="F75" s="178" t="s">
        <v>65</v>
      </c>
      <c r="G75" s="170">
        <v>905.4</v>
      </c>
      <c r="H75" s="170">
        <v>135.81</v>
      </c>
      <c r="I75" s="171">
        <v>1041.21</v>
      </c>
      <c r="J75" s="507" t="s">
        <v>9</v>
      </c>
      <c r="K75" s="138" t="s">
        <v>517</v>
      </c>
      <c r="L75" s="138"/>
      <c r="M75" s="137"/>
    </row>
    <row r="76" spans="2:13">
      <c r="B76" s="172" t="s">
        <v>493</v>
      </c>
      <c r="C76" s="168" t="s">
        <v>35</v>
      </c>
      <c r="D76" s="167" t="s">
        <v>196</v>
      </c>
      <c r="E76" s="168">
        <v>107033</v>
      </c>
      <c r="F76" s="178" t="s">
        <v>65</v>
      </c>
      <c r="G76" s="170">
        <v>5684.51</v>
      </c>
      <c r="H76" s="170">
        <v>852.69</v>
      </c>
      <c r="I76" s="171">
        <v>6537.2</v>
      </c>
      <c r="J76" s="489" t="s">
        <v>9</v>
      </c>
      <c r="K76" s="138" t="s">
        <v>517</v>
      </c>
      <c r="L76" s="138"/>
      <c r="M76" s="137"/>
    </row>
    <row r="77" spans="2:13">
      <c r="B77" s="172" t="s">
        <v>497</v>
      </c>
      <c r="C77" s="168" t="s">
        <v>42</v>
      </c>
      <c r="D77" s="167" t="s">
        <v>221</v>
      </c>
      <c r="E77" s="168">
        <v>108740</v>
      </c>
      <c r="F77" s="178" t="s">
        <v>77</v>
      </c>
      <c r="G77" s="170">
        <v>1675</v>
      </c>
      <c r="H77" s="170">
        <v>251.25</v>
      </c>
      <c r="I77" s="171">
        <v>1926.25</v>
      </c>
      <c r="J77" s="489" t="s">
        <v>9</v>
      </c>
      <c r="K77" s="138" t="s">
        <v>517</v>
      </c>
      <c r="L77" s="138"/>
      <c r="M77" s="137"/>
    </row>
    <row r="78" spans="2:13">
      <c r="B78" s="172" t="s">
        <v>498</v>
      </c>
      <c r="C78" s="168" t="s">
        <v>42</v>
      </c>
      <c r="D78" s="167" t="s">
        <v>135</v>
      </c>
      <c r="E78" s="168" t="s">
        <v>499</v>
      </c>
      <c r="F78" s="178" t="s">
        <v>500</v>
      </c>
      <c r="G78" s="170">
        <v>3500</v>
      </c>
      <c r="H78" s="170"/>
      <c r="I78" s="171">
        <v>3500</v>
      </c>
      <c r="J78" s="489" t="s">
        <v>9</v>
      </c>
      <c r="K78" s="138" t="s">
        <v>517</v>
      </c>
      <c r="L78" s="138"/>
      <c r="M78" s="137"/>
    </row>
    <row r="79" spans="2:13">
      <c r="B79" s="172" t="s">
        <v>497</v>
      </c>
      <c r="C79" s="168" t="s">
        <v>35</v>
      </c>
      <c r="D79" s="167" t="s">
        <v>140</v>
      </c>
      <c r="E79" s="168">
        <v>132961658</v>
      </c>
      <c r="F79" s="178" t="s">
        <v>64</v>
      </c>
      <c r="G79" s="170">
        <v>5910.25</v>
      </c>
      <c r="H79" s="170">
        <v>827.19</v>
      </c>
      <c r="I79" s="171">
        <v>6737.44</v>
      </c>
      <c r="J79" s="507" t="s">
        <v>9</v>
      </c>
      <c r="K79" s="138" t="s">
        <v>517</v>
      </c>
      <c r="L79" s="138"/>
      <c r="M79" s="137"/>
    </row>
    <row r="80" spans="2:13">
      <c r="B80" s="172" t="s">
        <v>497</v>
      </c>
      <c r="C80" s="168" t="s">
        <v>35</v>
      </c>
      <c r="D80" s="167" t="s">
        <v>236</v>
      </c>
      <c r="E80" s="168">
        <v>2909024</v>
      </c>
      <c r="F80" s="178" t="s">
        <v>64</v>
      </c>
      <c r="G80" s="170">
        <v>17329.29</v>
      </c>
      <c r="H80" s="170">
        <v>2599.42</v>
      </c>
      <c r="I80" s="171">
        <v>19928.71</v>
      </c>
      <c r="J80" s="507" t="s">
        <v>9</v>
      </c>
      <c r="K80" s="138" t="s">
        <v>517</v>
      </c>
      <c r="L80" s="138"/>
      <c r="M80" s="137"/>
    </row>
    <row r="81" spans="2:13">
      <c r="B81" s="172" t="s">
        <v>497</v>
      </c>
      <c r="C81" s="168" t="s">
        <v>35</v>
      </c>
      <c r="D81" s="167" t="s">
        <v>236</v>
      </c>
      <c r="E81" s="168">
        <v>2909025</v>
      </c>
      <c r="F81" s="178" t="s">
        <v>64</v>
      </c>
      <c r="G81" s="170">
        <v>6732.3</v>
      </c>
      <c r="H81" s="170">
        <v>1009.86</v>
      </c>
      <c r="I81" s="171">
        <v>7742.16</v>
      </c>
      <c r="J81" s="507" t="s">
        <v>9</v>
      </c>
      <c r="K81" s="138" t="s">
        <v>517</v>
      </c>
      <c r="L81" s="138"/>
      <c r="M81" s="137"/>
    </row>
    <row r="82" spans="2:13">
      <c r="B82" s="172" t="s">
        <v>497</v>
      </c>
      <c r="C82" s="168" t="s">
        <v>35</v>
      </c>
      <c r="D82" s="167" t="s">
        <v>152</v>
      </c>
      <c r="E82" s="168" t="s">
        <v>501</v>
      </c>
      <c r="F82" s="178" t="s">
        <v>64</v>
      </c>
      <c r="G82" s="170">
        <f>4624.95+4907.72</f>
        <v>9532.67</v>
      </c>
      <c r="H82" s="170">
        <f>693.73+736.17</f>
        <v>1429.9</v>
      </c>
      <c r="I82" s="171">
        <f>5318.68+5428.87</f>
        <v>10747.55</v>
      </c>
      <c r="J82" s="489" t="s">
        <v>9</v>
      </c>
      <c r="K82" s="138" t="s">
        <v>502</v>
      </c>
      <c r="L82" s="138"/>
      <c r="M82" s="137"/>
    </row>
    <row r="83" spans="2:13">
      <c r="B83" s="172" t="s">
        <v>506</v>
      </c>
      <c r="C83" s="168" t="s">
        <v>35</v>
      </c>
      <c r="D83" s="167" t="s">
        <v>130</v>
      </c>
      <c r="E83" s="168">
        <v>96224739</v>
      </c>
      <c r="F83" s="178" t="s">
        <v>77</v>
      </c>
      <c r="G83" s="170">
        <v>614619.06999999995</v>
      </c>
      <c r="H83" s="170"/>
      <c r="I83" s="171">
        <v>614619.06999999995</v>
      </c>
      <c r="J83" s="489" t="s">
        <v>9</v>
      </c>
      <c r="K83" s="138" t="s">
        <v>508</v>
      </c>
      <c r="L83" s="138"/>
      <c r="M83" s="137"/>
    </row>
    <row r="84" spans="2:13">
      <c r="B84" s="172" t="s">
        <v>509</v>
      </c>
      <c r="C84" s="168" t="s">
        <v>35</v>
      </c>
      <c r="D84" s="167" t="s">
        <v>428</v>
      </c>
      <c r="E84" s="168">
        <v>1777963</v>
      </c>
      <c r="F84" s="178" t="s">
        <v>65</v>
      </c>
      <c r="G84" s="170">
        <v>2918</v>
      </c>
      <c r="H84" s="170">
        <v>437.7</v>
      </c>
      <c r="I84" s="171">
        <v>3355.7</v>
      </c>
      <c r="J84" s="507" t="s">
        <v>9</v>
      </c>
      <c r="K84" s="138" t="s">
        <v>517</v>
      </c>
      <c r="L84" s="138"/>
      <c r="M84" s="137"/>
    </row>
    <row r="85" spans="2:13">
      <c r="B85" s="172" t="s">
        <v>509</v>
      </c>
      <c r="C85" s="168" t="s">
        <v>35</v>
      </c>
      <c r="D85" s="167" t="s">
        <v>406</v>
      </c>
      <c r="E85" s="168">
        <v>231792</v>
      </c>
      <c r="F85" s="178" t="s">
        <v>65</v>
      </c>
      <c r="G85" s="170"/>
      <c r="H85" s="170"/>
      <c r="I85" s="171">
        <v>842.46</v>
      </c>
      <c r="J85" s="507" t="s">
        <v>9</v>
      </c>
      <c r="K85" s="138" t="s">
        <v>496</v>
      </c>
      <c r="L85" s="138"/>
      <c r="M85" s="137"/>
    </row>
    <row r="86" spans="2:13">
      <c r="B86" s="172" t="s">
        <v>509</v>
      </c>
      <c r="C86" s="168" t="s">
        <v>35</v>
      </c>
      <c r="D86" s="167" t="s">
        <v>129</v>
      </c>
      <c r="E86" s="168">
        <v>595664</v>
      </c>
      <c r="F86" s="178" t="s">
        <v>64</v>
      </c>
      <c r="G86" s="170">
        <v>1634.9</v>
      </c>
      <c r="H86" s="170">
        <v>245.24</v>
      </c>
      <c r="I86" s="171">
        <v>1880.14</v>
      </c>
      <c r="J86" s="489" t="s">
        <v>9</v>
      </c>
      <c r="K86" s="138" t="s">
        <v>517</v>
      </c>
      <c r="L86" s="321" t="s">
        <v>533</v>
      </c>
      <c r="M86" s="137"/>
    </row>
    <row r="87" spans="2:13">
      <c r="B87" s="172" t="s">
        <v>509</v>
      </c>
      <c r="C87" s="168" t="s">
        <v>35</v>
      </c>
      <c r="D87" s="167" t="s">
        <v>129</v>
      </c>
      <c r="E87" s="168">
        <v>595480</v>
      </c>
      <c r="F87" s="178" t="s">
        <v>64</v>
      </c>
      <c r="G87" s="170">
        <v>19388.95</v>
      </c>
      <c r="H87" s="170">
        <v>2908.41</v>
      </c>
      <c r="I87" s="171">
        <v>22297.360000000001</v>
      </c>
      <c r="J87" s="489" t="s">
        <v>9</v>
      </c>
      <c r="K87" s="138" t="s">
        <v>517</v>
      </c>
      <c r="L87" s="321" t="s">
        <v>534</v>
      </c>
      <c r="M87" s="137"/>
    </row>
    <row r="88" spans="2:13">
      <c r="B88" s="172" t="s">
        <v>509</v>
      </c>
      <c r="C88" s="168" t="s">
        <v>35</v>
      </c>
      <c r="D88" s="167" t="s">
        <v>130</v>
      </c>
      <c r="E88" s="168">
        <v>804012448</v>
      </c>
      <c r="F88" s="178" t="s">
        <v>77</v>
      </c>
      <c r="G88" s="170">
        <v>591147.62</v>
      </c>
      <c r="H88" s="170"/>
      <c r="I88" s="171">
        <v>591147.62</v>
      </c>
      <c r="J88" s="489" t="s">
        <v>9</v>
      </c>
      <c r="K88" s="138" t="s">
        <v>520</v>
      </c>
      <c r="L88" s="138"/>
      <c r="M88" s="137"/>
    </row>
    <row r="89" spans="2:13">
      <c r="B89" s="172" t="s">
        <v>511</v>
      </c>
      <c r="C89" s="168" t="s">
        <v>42</v>
      </c>
      <c r="D89" s="167" t="s">
        <v>214</v>
      </c>
      <c r="E89" s="168">
        <v>33695</v>
      </c>
      <c r="F89" s="178" t="s">
        <v>512</v>
      </c>
      <c r="G89" s="170">
        <v>950</v>
      </c>
      <c r="H89" s="170">
        <v>142.5</v>
      </c>
      <c r="I89" s="171">
        <v>1092.5</v>
      </c>
      <c r="J89" s="507" t="s">
        <v>61</v>
      </c>
      <c r="K89" s="138" t="s">
        <v>517</v>
      </c>
      <c r="L89" s="375"/>
      <c r="M89" s="137"/>
    </row>
    <row r="90" spans="2:13">
      <c r="B90" s="570" t="s">
        <v>511</v>
      </c>
      <c r="C90" s="571" t="s">
        <v>35</v>
      </c>
      <c r="D90" s="167" t="s">
        <v>196</v>
      </c>
      <c r="E90" s="168">
        <v>107580</v>
      </c>
      <c r="F90" s="572" t="s">
        <v>65</v>
      </c>
      <c r="G90" s="170">
        <v>4507.18</v>
      </c>
      <c r="H90" s="170">
        <v>676.09</v>
      </c>
      <c r="I90" s="171">
        <v>5183.2700000000004</v>
      </c>
      <c r="J90" s="489" t="s">
        <v>9</v>
      </c>
      <c r="K90" s="138" t="s">
        <v>517</v>
      </c>
      <c r="L90" s="425"/>
      <c r="M90" s="137"/>
    </row>
    <row r="91" spans="2:13">
      <c r="B91" s="432"/>
      <c r="C91" s="433"/>
      <c r="D91" s="216"/>
      <c r="E91" s="215"/>
      <c r="F91" s="434"/>
      <c r="G91" s="217"/>
      <c r="H91" s="217"/>
      <c r="I91" s="329"/>
      <c r="J91" s="331"/>
      <c r="K91" s="138"/>
      <c r="L91" s="425"/>
      <c r="M91" s="137"/>
    </row>
    <row r="92" spans="2:13">
      <c r="B92" s="432"/>
      <c r="C92" s="433"/>
      <c r="D92" s="216"/>
      <c r="E92" s="215"/>
      <c r="F92" s="434"/>
      <c r="G92" s="217"/>
      <c r="H92" s="217"/>
      <c r="I92" s="329"/>
      <c r="J92" s="331"/>
      <c r="K92" s="138"/>
      <c r="L92" s="425"/>
      <c r="M92" s="137"/>
    </row>
    <row r="93" spans="2:13">
      <c r="B93" s="430"/>
      <c r="C93" s="215"/>
      <c r="D93" s="216"/>
      <c r="E93" s="215"/>
      <c r="F93" s="431"/>
      <c r="G93" s="217"/>
      <c r="H93" s="217"/>
      <c r="I93" s="329"/>
      <c r="J93" s="331"/>
      <c r="K93" s="138"/>
      <c r="L93" s="138"/>
      <c r="M93" s="137"/>
    </row>
    <row r="94" spans="2:13">
      <c r="B94" s="430"/>
      <c r="C94" s="215"/>
      <c r="D94" s="216"/>
      <c r="E94" s="215"/>
      <c r="F94" s="431"/>
      <c r="G94" s="217"/>
      <c r="H94" s="217"/>
      <c r="I94" s="329"/>
      <c r="J94" s="331"/>
      <c r="K94" s="138"/>
      <c r="L94" s="138"/>
      <c r="M94" s="137"/>
    </row>
    <row r="95" spans="2:13">
      <c r="B95" s="430"/>
      <c r="C95" s="215"/>
      <c r="D95" s="216"/>
      <c r="E95" s="215"/>
      <c r="F95" s="431"/>
      <c r="G95" s="217"/>
      <c r="H95" s="217"/>
      <c r="I95" s="329"/>
      <c r="J95" s="331"/>
      <c r="K95" s="138"/>
      <c r="L95" s="138"/>
      <c r="M95" s="137"/>
    </row>
    <row r="96" spans="2:13">
      <c r="B96" s="430"/>
      <c r="C96" s="215"/>
      <c r="D96" s="216"/>
      <c r="E96" s="215"/>
      <c r="F96" s="431"/>
      <c r="G96" s="217"/>
      <c r="H96" s="217"/>
      <c r="I96" s="329"/>
      <c r="J96" s="331"/>
      <c r="K96" s="138"/>
      <c r="L96" s="138"/>
      <c r="M96" s="137"/>
    </row>
    <row r="97" spans="2:13">
      <c r="B97" s="430"/>
      <c r="C97" s="215"/>
      <c r="D97" s="216"/>
      <c r="E97" s="215"/>
      <c r="F97" s="431"/>
      <c r="G97" s="217"/>
      <c r="H97" s="217"/>
      <c r="I97" s="329"/>
      <c r="J97" s="331"/>
      <c r="K97" s="138"/>
      <c r="L97" s="138"/>
      <c r="M97" s="137"/>
    </row>
    <row r="98" spans="2:13">
      <c r="B98" s="430"/>
      <c r="C98" s="215"/>
      <c r="D98" s="216"/>
      <c r="E98" s="215"/>
      <c r="F98" s="431"/>
      <c r="G98" s="217"/>
      <c r="H98" s="217"/>
      <c r="I98" s="329"/>
      <c r="J98" s="331"/>
      <c r="K98" s="138"/>
      <c r="L98" s="138"/>
      <c r="M98" s="137"/>
    </row>
    <row r="99" spans="2:13">
      <c r="B99" s="430"/>
      <c r="C99" s="215"/>
      <c r="D99" s="216"/>
      <c r="E99" s="215"/>
      <c r="F99" s="431"/>
      <c r="G99" s="217"/>
      <c r="H99" s="217"/>
      <c r="I99" s="329"/>
      <c r="J99" s="331"/>
      <c r="K99" s="138"/>
      <c r="L99" s="138"/>
      <c r="M99" s="137"/>
    </row>
    <row r="100" spans="2:13">
      <c r="B100" s="132"/>
      <c r="C100" s="133"/>
      <c r="D100" s="134"/>
      <c r="E100" s="133"/>
      <c r="F100" s="135"/>
      <c r="G100" s="136"/>
      <c r="H100" s="136"/>
      <c r="I100" s="105"/>
      <c r="J100" s="331"/>
      <c r="K100" s="138"/>
      <c r="L100" s="138"/>
      <c r="M100" s="137"/>
    </row>
    <row r="101" spans="2:13">
      <c r="B101" s="132"/>
      <c r="C101" s="133"/>
      <c r="D101" s="134"/>
      <c r="E101" s="133"/>
      <c r="F101" s="135"/>
      <c r="G101" s="136"/>
      <c r="H101" s="136"/>
      <c r="I101" s="105"/>
      <c r="J101" s="331"/>
      <c r="K101" s="138"/>
      <c r="L101" s="138"/>
      <c r="M101" s="137"/>
    </row>
    <row r="102" spans="2:13">
      <c r="B102" s="132"/>
      <c r="C102" s="133"/>
      <c r="D102" s="134"/>
      <c r="E102" s="133"/>
      <c r="F102" s="135"/>
      <c r="G102" s="136"/>
      <c r="H102" s="136"/>
      <c r="I102" s="105">
        <f t="shared" ref="I102:I120" si="0">G102+H102</f>
        <v>0</v>
      </c>
      <c r="J102" s="150" t="b">
        <v>0</v>
      </c>
      <c r="K102" s="138"/>
      <c r="L102" s="138"/>
      <c r="M102" s="137"/>
    </row>
    <row r="103" spans="2:13">
      <c r="B103" s="132"/>
      <c r="C103" s="133"/>
      <c r="D103" s="134"/>
      <c r="E103" s="133"/>
      <c r="F103" s="135"/>
      <c r="G103" s="136"/>
      <c r="H103" s="136"/>
      <c r="I103" s="105">
        <f t="shared" si="0"/>
        <v>0</v>
      </c>
      <c r="J103" s="150" t="b">
        <v>0</v>
      </c>
      <c r="K103" s="138"/>
      <c r="L103" s="138"/>
      <c r="M103" s="137"/>
    </row>
    <row r="104" spans="2:13">
      <c r="B104" s="132"/>
      <c r="C104" s="133"/>
      <c r="D104" s="134"/>
      <c r="E104" s="133"/>
      <c r="F104" s="135"/>
      <c r="G104" s="136"/>
      <c r="H104" s="136"/>
      <c r="I104" s="105">
        <f t="shared" si="0"/>
        <v>0</v>
      </c>
      <c r="J104" s="150" t="b">
        <v>0</v>
      </c>
      <c r="K104" s="138"/>
      <c r="L104" s="138"/>
      <c r="M104" s="137"/>
    </row>
    <row r="105" spans="2:13">
      <c r="B105" s="132"/>
      <c r="C105" s="133"/>
      <c r="D105" s="134"/>
      <c r="E105" s="133"/>
      <c r="F105" s="135"/>
      <c r="G105" s="136"/>
      <c r="H105" s="136"/>
      <c r="I105" s="105">
        <f t="shared" si="0"/>
        <v>0</v>
      </c>
      <c r="J105" s="150" t="b">
        <v>0</v>
      </c>
      <c r="K105" s="138"/>
      <c r="L105" s="138"/>
      <c r="M105" s="137"/>
    </row>
    <row r="106" spans="2:13">
      <c r="B106" s="132"/>
      <c r="C106" s="133"/>
      <c r="D106" s="134"/>
      <c r="E106" s="133"/>
      <c r="F106" s="135"/>
      <c r="G106" s="136"/>
      <c r="H106" s="136"/>
      <c r="I106" s="105">
        <f t="shared" si="0"/>
        <v>0</v>
      </c>
      <c r="J106" s="150" t="b">
        <v>0</v>
      </c>
      <c r="K106" s="138"/>
      <c r="L106" s="138"/>
      <c r="M106" s="137"/>
    </row>
    <row r="107" spans="2:13">
      <c r="B107" s="132"/>
      <c r="C107" s="133"/>
      <c r="D107" s="134"/>
      <c r="E107" s="133"/>
      <c r="F107" s="135"/>
      <c r="G107" s="136"/>
      <c r="H107" s="136"/>
      <c r="I107" s="105">
        <f t="shared" si="0"/>
        <v>0</v>
      </c>
      <c r="J107" s="150" t="b">
        <v>0</v>
      </c>
      <c r="K107" s="138"/>
      <c r="L107" s="138"/>
      <c r="M107" s="137"/>
    </row>
    <row r="108" spans="2:13">
      <c r="B108" s="132"/>
      <c r="C108" s="133"/>
      <c r="D108" s="134"/>
      <c r="E108" s="133"/>
      <c r="F108" s="135"/>
      <c r="G108" s="136"/>
      <c r="H108" s="136"/>
      <c r="I108" s="105">
        <f t="shared" si="0"/>
        <v>0</v>
      </c>
      <c r="J108" s="150" t="b">
        <v>0</v>
      </c>
      <c r="K108" s="138"/>
      <c r="L108" s="138"/>
      <c r="M108" s="137"/>
    </row>
    <row r="109" spans="2:13">
      <c r="B109" s="132"/>
      <c r="C109" s="133"/>
      <c r="D109" s="134"/>
      <c r="E109" s="133"/>
      <c r="F109" s="135"/>
      <c r="G109" s="136"/>
      <c r="H109" s="136"/>
      <c r="I109" s="105">
        <f t="shared" si="0"/>
        <v>0</v>
      </c>
      <c r="J109" s="150" t="b">
        <v>0</v>
      </c>
      <c r="K109" s="138"/>
      <c r="L109" s="138"/>
      <c r="M109" s="137"/>
    </row>
    <row r="110" spans="2:13">
      <c r="B110" s="132"/>
      <c r="C110" s="133"/>
      <c r="D110" s="134"/>
      <c r="E110" s="133"/>
      <c r="F110" s="135"/>
      <c r="G110" s="136"/>
      <c r="H110" s="136"/>
      <c r="I110" s="105">
        <f t="shared" si="0"/>
        <v>0</v>
      </c>
      <c r="J110" s="150" t="b">
        <v>0</v>
      </c>
      <c r="K110" s="138"/>
      <c r="L110" s="138"/>
      <c r="M110" s="137"/>
    </row>
    <row r="111" spans="2:13">
      <c r="B111" s="132"/>
      <c r="C111" s="133"/>
      <c r="D111" s="134"/>
      <c r="E111" s="133"/>
      <c r="F111" s="135"/>
      <c r="G111" s="136"/>
      <c r="H111" s="136"/>
      <c r="I111" s="105">
        <f t="shared" si="0"/>
        <v>0</v>
      </c>
      <c r="J111" s="150" t="b">
        <v>0</v>
      </c>
      <c r="K111" s="138"/>
      <c r="L111" s="138"/>
      <c r="M111" s="137"/>
    </row>
    <row r="112" spans="2:13">
      <c r="B112" s="132"/>
      <c r="C112" s="133"/>
      <c r="D112" s="134"/>
      <c r="E112" s="133"/>
      <c r="F112" s="135"/>
      <c r="G112" s="136"/>
      <c r="H112" s="136"/>
      <c r="I112" s="105">
        <f t="shared" si="0"/>
        <v>0</v>
      </c>
      <c r="J112" s="150" t="b">
        <v>0</v>
      </c>
      <c r="K112" s="138"/>
      <c r="L112" s="138"/>
      <c r="M112" s="137"/>
    </row>
    <row r="113" spans="2:13">
      <c r="B113" s="132"/>
      <c r="C113" s="133"/>
      <c r="D113" s="134"/>
      <c r="E113" s="133"/>
      <c r="F113" s="135"/>
      <c r="G113" s="136"/>
      <c r="H113" s="136"/>
      <c r="I113" s="105">
        <f t="shared" si="0"/>
        <v>0</v>
      </c>
      <c r="J113" s="150" t="b">
        <v>0</v>
      </c>
      <c r="K113" s="138"/>
      <c r="L113" s="138"/>
      <c r="M113" s="137"/>
    </row>
    <row r="114" spans="2:13">
      <c r="B114" s="132"/>
      <c r="C114" s="133"/>
      <c r="D114" s="134"/>
      <c r="E114" s="133"/>
      <c r="F114" s="135"/>
      <c r="G114" s="136"/>
      <c r="H114" s="136"/>
      <c r="I114" s="105">
        <f t="shared" si="0"/>
        <v>0</v>
      </c>
      <c r="J114" s="150" t="b">
        <v>0</v>
      </c>
      <c r="K114" s="138"/>
      <c r="L114" s="138"/>
      <c r="M114" s="137"/>
    </row>
    <row r="115" spans="2:13">
      <c r="B115" s="132"/>
      <c r="C115" s="133"/>
      <c r="D115" s="134"/>
      <c r="E115" s="133"/>
      <c r="F115" s="135"/>
      <c r="G115" s="136"/>
      <c r="H115" s="136"/>
      <c r="I115" s="105">
        <f t="shared" si="0"/>
        <v>0</v>
      </c>
      <c r="J115" s="150" t="b">
        <v>0</v>
      </c>
      <c r="K115" s="138"/>
      <c r="L115" s="138"/>
      <c r="M115" s="137"/>
    </row>
    <row r="116" spans="2:13">
      <c r="B116" s="132"/>
      <c r="C116" s="133"/>
      <c r="D116" s="134"/>
      <c r="E116" s="133"/>
      <c r="F116" s="135"/>
      <c r="G116" s="136"/>
      <c r="H116" s="136"/>
      <c r="I116" s="105">
        <f t="shared" si="0"/>
        <v>0</v>
      </c>
      <c r="J116" s="150" t="b">
        <v>0</v>
      </c>
      <c r="K116" s="138"/>
      <c r="L116" s="138"/>
      <c r="M116" s="137"/>
    </row>
    <row r="117" spans="2:13">
      <c r="B117" s="132"/>
      <c r="C117" s="133"/>
      <c r="D117" s="134"/>
      <c r="E117" s="133"/>
      <c r="F117" s="135"/>
      <c r="G117" s="136"/>
      <c r="H117" s="136"/>
      <c r="I117" s="105">
        <f t="shared" si="0"/>
        <v>0</v>
      </c>
      <c r="J117" s="150" t="b">
        <v>0</v>
      </c>
      <c r="K117" s="138"/>
      <c r="L117" s="138"/>
      <c r="M117" s="137"/>
    </row>
    <row r="118" spans="2:13">
      <c r="B118" s="132"/>
      <c r="C118" s="133"/>
      <c r="D118" s="134"/>
      <c r="E118" s="133"/>
      <c r="F118" s="135"/>
      <c r="G118" s="136"/>
      <c r="H118" s="136"/>
      <c r="I118" s="105">
        <f t="shared" si="0"/>
        <v>0</v>
      </c>
      <c r="J118" s="150" t="b">
        <v>0</v>
      </c>
      <c r="K118" s="138"/>
      <c r="L118" s="138"/>
      <c r="M118" s="137"/>
    </row>
    <row r="119" spans="2:13">
      <c r="B119" s="132"/>
      <c r="C119" s="133"/>
      <c r="D119" s="134"/>
      <c r="E119" s="133"/>
      <c r="F119" s="135"/>
      <c r="G119" s="136"/>
      <c r="H119" s="136"/>
      <c r="I119" s="105">
        <f t="shared" si="0"/>
        <v>0</v>
      </c>
      <c r="J119" s="150" t="b">
        <v>0</v>
      </c>
      <c r="K119" s="138"/>
      <c r="L119" s="138"/>
      <c r="M119" s="137"/>
    </row>
    <row r="120" spans="2:13">
      <c r="B120" s="132"/>
      <c r="C120" s="133"/>
      <c r="D120" s="134"/>
      <c r="E120" s="133"/>
      <c r="F120" s="135"/>
      <c r="G120" s="136"/>
      <c r="H120" s="136"/>
      <c r="I120" s="105">
        <f t="shared" si="0"/>
        <v>0</v>
      </c>
      <c r="J120" s="150" t="b">
        <v>0</v>
      </c>
      <c r="K120" s="138"/>
      <c r="L120" s="138"/>
      <c r="M120" s="137"/>
    </row>
    <row r="121" spans="2:13" ht="15.75" thickBot="1">
      <c r="B121" s="139"/>
      <c r="G121" s="141">
        <f>SUM(G7:G115)</f>
        <v>3770337.8499999996</v>
      </c>
      <c r="H121" s="141">
        <f>SUM(H7:H115)</f>
        <v>40013.189999999988</v>
      </c>
      <c r="I121" s="141">
        <f>SUM(I7:I113)</f>
        <v>3817943.6700000004</v>
      </c>
      <c r="J121" s="142"/>
      <c r="K121" s="138"/>
      <c r="L121" s="138"/>
    </row>
    <row r="122" spans="2:13" ht="16.5" thickTop="1" thickBot="1">
      <c r="B122" s="143"/>
      <c r="C122" s="144"/>
      <c r="D122" s="145"/>
      <c r="E122" s="144"/>
      <c r="F122" s="144"/>
      <c r="G122" s="146"/>
      <c r="H122" s="146"/>
      <c r="I122" s="147"/>
      <c r="K122" s="138"/>
      <c r="L122" s="137">
        <v>5773.08</v>
      </c>
      <c r="M122" s="137"/>
    </row>
    <row r="123" spans="2:13">
      <c r="L123" s="375">
        <f>L89-L122</f>
        <v>-5773.08</v>
      </c>
      <c r="M123" s="137" t="s">
        <v>391</v>
      </c>
    </row>
  </sheetData>
  <autoFilter ref="B6:M6" xr:uid="{F761D4AD-1EDD-4107-B93D-414C0C11BCD0}"/>
  <mergeCells count="3">
    <mergeCell ref="B1:I1"/>
    <mergeCell ref="B3:I3"/>
    <mergeCell ref="C5:E5"/>
  </mergeCells>
  <conditionalFormatting sqref="J1:J1048576">
    <cfRule type="containsText" dxfId="21" priority="15" operator="containsText" text="FALSE">
      <formula>NOT(ISERROR(SEARCH("FALSE",J1)))</formula>
    </cfRule>
    <cfRule type="containsText" dxfId="20" priority="16" operator="containsText" text="TRUE">
      <formula>NOT(ISERROR(SEARCH("TRUE",J1)))</formula>
    </cfRule>
  </conditionalFormatting>
  <conditionalFormatting sqref="K7:K13">
    <cfRule type="containsText" dxfId="19" priority="5" operator="containsText" text="FALSE">
      <formula>NOT(ISERROR(SEARCH("FALSE",K7)))</formula>
    </cfRule>
    <cfRule type="containsText" dxfId="18" priority="6" operator="containsText" text="TRUE">
      <formula>NOT(ISERROR(SEARCH("TRUE",K7)))</formula>
    </cfRule>
  </conditionalFormatting>
  <conditionalFormatting sqref="K17:K23">
    <cfRule type="containsText" dxfId="17" priority="1" operator="containsText" text="FALSE">
      <formula>NOT(ISERROR(SEARCH("FALSE",K17)))</formula>
    </cfRule>
    <cfRule type="containsText" dxfId="16" priority="2" operator="containsText" text="TRUE">
      <formula>NOT(ISERROR(SEARCH("TRUE",K17)))</formula>
    </cfRule>
  </conditionalFormatting>
  <conditionalFormatting sqref="L7:L9">
    <cfRule type="containsText" dxfId="15" priority="13" operator="containsText" text="FALSE">
      <formula>NOT(ISERROR(SEARCH("FALSE",L7)))</formula>
    </cfRule>
    <cfRule type="containsText" dxfId="14" priority="14" operator="containsText" text="TRUE">
      <formula>NOT(ISERROR(SEARCH("TRUE",L7)))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599B9-0556-400F-B86F-028119EDD23C}">
  <dimension ref="B1:N125"/>
  <sheetViews>
    <sheetView topLeftCell="A47" workbookViewId="0">
      <selection activeCell="A68" sqref="A68:XFD68"/>
    </sheetView>
  </sheetViews>
  <sheetFormatPr defaultColWidth="8.5703125" defaultRowHeight="15"/>
  <cols>
    <col min="1" max="1" width="3.140625" style="107" customWidth="1"/>
    <col min="2" max="2" width="29.5703125" style="148" customWidth="1"/>
    <col min="3" max="3" width="14.42578125" style="107" customWidth="1"/>
    <col min="4" max="4" width="38.42578125" style="140" bestFit="1" customWidth="1"/>
    <col min="5" max="5" width="20.42578125" style="107" customWidth="1"/>
    <col min="6" max="6" width="17.140625" style="107" customWidth="1"/>
    <col min="7" max="8" width="15.42578125" style="149" customWidth="1"/>
    <col min="9" max="9" width="17" style="149" customWidth="1"/>
    <col min="10" max="10" width="15.42578125" style="121" customWidth="1"/>
    <col min="11" max="11" width="9.42578125" style="107" customWidth="1"/>
    <col min="12" max="12" width="12.85546875" style="107" bestFit="1" customWidth="1"/>
    <col min="13" max="13" width="28.140625" style="107" customWidth="1"/>
    <col min="14" max="14" width="48.42578125" style="107" customWidth="1"/>
    <col min="15" max="15" width="9.85546875" style="107" customWidth="1"/>
    <col min="16" max="16384" width="8.5703125" style="107"/>
  </cols>
  <sheetData>
    <row r="1" spans="2:13" ht="9" customHeight="1" thickBot="1">
      <c r="B1" s="772"/>
      <c r="C1" s="772"/>
      <c r="D1" s="772"/>
      <c r="E1" s="772"/>
      <c r="F1" s="772"/>
      <c r="G1" s="772"/>
      <c r="H1" s="772"/>
      <c r="I1" s="772"/>
      <c r="J1" s="106"/>
    </row>
    <row r="2" spans="2:13" ht="9" customHeight="1" thickBot="1">
      <c r="B2" s="108"/>
      <c r="C2" s="109"/>
      <c r="D2" s="110"/>
      <c r="E2" s="109"/>
      <c r="F2" s="109"/>
      <c r="G2" s="111"/>
      <c r="H2" s="111"/>
      <c r="I2" s="112"/>
      <c r="J2" s="113"/>
    </row>
    <row r="3" spans="2:13">
      <c r="B3" s="778" t="s">
        <v>70</v>
      </c>
      <c r="C3" s="779"/>
      <c r="D3" s="779"/>
      <c r="E3" s="779"/>
      <c r="F3" s="779"/>
      <c r="G3" s="779"/>
      <c r="H3" s="779"/>
      <c r="I3" s="780"/>
      <c r="J3" s="114"/>
    </row>
    <row r="4" spans="2:13">
      <c r="B4" s="115"/>
      <c r="C4" s="106"/>
      <c r="D4" s="116"/>
      <c r="E4" s="106"/>
      <c r="F4" s="106"/>
      <c r="G4" s="117"/>
      <c r="H4" s="117"/>
      <c r="I4" s="118"/>
      <c r="J4" s="113"/>
    </row>
    <row r="5" spans="2:13">
      <c r="B5" s="115" t="s">
        <v>0</v>
      </c>
      <c r="C5" s="776">
        <v>46107</v>
      </c>
      <c r="D5" s="777"/>
      <c r="E5" s="777"/>
      <c r="G5" s="119"/>
      <c r="H5" s="119"/>
      <c r="I5" s="120"/>
    </row>
    <row r="6" spans="2:13" ht="45">
      <c r="B6" s="122" t="s">
        <v>1</v>
      </c>
      <c r="C6" s="123" t="s">
        <v>2</v>
      </c>
      <c r="D6" s="124" t="s">
        <v>3</v>
      </c>
      <c r="E6" s="125" t="s">
        <v>4</v>
      </c>
      <c r="F6" s="124" t="s">
        <v>5</v>
      </c>
      <c r="G6" s="126" t="s">
        <v>6</v>
      </c>
      <c r="H6" s="126" t="s">
        <v>7</v>
      </c>
      <c r="I6" s="127" t="s">
        <v>8</v>
      </c>
      <c r="J6" s="128" t="s">
        <v>9</v>
      </c>
      <c r="K6" s="128" t="s">
        <v>33</v>
      </c>
      <c r="L6" s="129"/>
      <c r="M6" s="129"/>
    </row>
    <row r="7" spans="2:13">
      <c r="B7" s="263" t="s">
        <v>405</v>
      </c>
      <c r="C7" s="264" t="s">
        <v>35</v>
      </c>
      <c r="D7" s="265" t="s">
        <v>63</v>
      </c>
      <c r="E7" s="442">
        <v>82229</v>
      </c>
      <c r="F7" s="437" t="s">
        <v>64</v>
      </c>
      <c r="G7" s="267">
        <v>320.56</v>
      </c>
      <c r="H7" s="267">
        <v>31.1</v>
      </c>
      <c r="I7" s="438">
        <v>351.66</v>
      </c>
      <c r="J7" s="439" t="s">
        <v>343</v>
      </c>
      <c r="K7" s="128"/>
      <c r="L7" s="129"/>
      <c r="M7" s="129"/>
    </row>
    <row r="8" spans="2:13">
      <c r="B8" s="263" t="s">
        <v>405</v>
      </c>
      <c r="C8" s="264" t="s">
        <v>35</v>
      </c>
      <c r="D8" s="265" t="s">
        <v>407</v>
      </c>
      <c r="E8" s="442">
        <v>78762</v>
      </c>
      <c r="F8" s="437" t="s">
        <v>65</v>
      </c>
      <c r="G8" s="267">
        <v>540</v>
      </c>
      <c r="H8" s="268"/>
      <c r="I8" s="438">
        <v>540</v>
      </c>
      <c r="J8" s="439" t="s">
        <v>343</v>
      </c>
      <c r="K8" s="128"/>
      <c r="L8" s="129"/>
      <c r="M8" s="129"/>
    </row>
    <row r="9" spans="2:13">
      <c r="B9" s="263" t="s">
        <v>405</v>
      </c>
      <c r="C9" s="264" t="s">
        <v>35</v>
      </c>
      <c r="D9" s="265" t="s">
        <v>408</v>
      </c>
      <c r="E9" s="442">
        <v>179</v>
      </c>
      <c r="F9" s="437" t="s">
        <v>65</v>
      </c>
      <c r="G9" s="267">
        <v>330</v>
      </c>
      <c r="H9" s="268"/>
      <c r="I9" s="171">
        <v>330</v>
      </c>
      <c r="J9" s="444" t="s">
        <v>412</v>
      </c>
      <c r="K9" s="445"/>
      <c r="L9" s="129"/>
      <c r="M9" s="129"/>
    </row>
    <row r="10" spans="2:13">
      <c r="B10" s="172" t="s">
        <v>405</v>
      </c>
      <c r="C10" s="168" t="s">
        <v>42</v>
      </c>
      <c r="D10" s="167" t="s">
        <v>409</v>
      </c>
      <c r="E10" s="451">
        <v>225</v>
      </c>
      <c r="F10" s="446" t="s">
        <v>65</v>
      </c>
      <c r="G10" s="170">
        <v>793.38</v>
      </c>
      <c r="H10" s="170"/>
      <c r="I10" s="171">
        <v>793.38</v>
      </c>
      <c r="J10" s="444" t="s">
        <v>412</v>
      </c>
      <c r="K10" s="319"/>
      <c r="L10" s="138"/>
      <c r="M10" s="137"/>
    </row>
    <row r="11" spans="2:13">
      <c r="B11" s="447" t="s">
        <v>405</v>
      </c>
      <c r="C11" s="448" t="s">
        <v>42</v>
      </c>
      <c r="D11" s="167" t="s">
        <v>410</v>
      </c>
      <c r="E11" s="451">
        <v>1</v>
      </c>
      <c r="F11" s="446" t="s">
        <v>65</v>
      </c>
      <c r="G11" s="170">
        <v>193</v>
      </c>
      <c r="H11" s="170"/>
      <c r="I11" s="171">
        <v>193</v>
      </c>
      <c r="J11" s="444" t="s">
        <v>412</v>
      </c>
      <c r="K11" s="319"/>
      <c r="L11" s="138"/>
      <c r="M11" s="137"/>
    </row>
    <row r="12" spans="2:13">
      <c r="B12" s="449" t="s">
        <v>405</v>
      </c>
      <c r="C12" s="168" t="s">
        <v>42</v>
      </c>
      <c r="D12" s="167" t="s">
        <v>411</v>
      </c>
      <c r="E12" s="168"/>
      <c r="F12" s="269"/>
      <c r="G12" s="170">
        <v>100</v>
      </c>
      <c r="H12" s="170"/>
      <c r="I12" s="171">
        <v>100</v>
      </c>
      <c r="J12" s="444" t="s">
        <v>412</v>
      </c>
      <c r="K12" s="450"/>
      <c r="L12" s="138"/>
      <c r="M12" s="137"/>
    </row>
    <row r="13" spans="2:13">
      <c r="B13" s="174" t="s">
        <v>413</v>
      </c>
      <c r="C13" s="167" t="s">
        <v>35</v>
      </c>
      <c r="D13" s="167" t="s">
        <v>105</v>
      </c>
      <c r="E13" s="452">
        <v>29437765</v>
      </c>
      <c r="F13" s="457" t="s">
        <v>64</v>
      </c>
      <c r="G13" s="176">
        <v>272</v>
      </c>
      <c r="H13" s="176"/>
      <c r="I13" s="453">
        <v>272</v>
      </c>
      <c r="J13" s="164" t="s">
        <v>343</v>
      </c>
      <c r="K13" s="332"/>
      <c r="L13" s="138"/>
      <c r="M13" s="137"/>
    </row>
    <row r="14" spans="2:13">
      <c r="B14" s="172" t="s">
        <v>414</v>
      </c>
      <c r="C14" s="168" t="s">
        <v>35</v>
      </c>
      <c r="D14" s="167" t="s">
        <v>63</v>
      </c>
      <c r="E14" s="451">
        <v>843349</v>
      </c>
      <c r="F14" s="458" t="s">
        <v>64</v>
      </c>
      <c r="G14" s="170">
        <v>200.35</v>
      </c>
      <c r="H14" s="170">
        <v>19.440000000000001</v>
      </c>
      <c r="I14" s="171">
        <v>219.79</v>
      </c>
      <c r="J14" s="150" t="s">
        <v>343</v>
      </c>
      <c r="K14" s="443"/>
      <c r="L14" s="138"/>
      <c r="M14" s="137"/>
    </row>
    <row r="15" spans="2:13">
      <c r="B15" s="454" t="s">
        <v>414</v>
      </c>
      <c r="C15" s="455" t="s">
        <v>35</v>
      </c>
      <c r="D15" s="167" t="s">
        <v>387</v>
      </c>
      <c r="E15" s="178">
        <v>2801712</v>
      </c>
      <c r="F15" s="458" t="s">
        <v>65</v>
      </c>
      <c r="G15" s="279">
        <v>329.6</v>
      </c>
      <c r="H15" s="170">
        <v>49.44</v>
      </c>
      <c r="I15" s="171">
        <v>379.04</v>
      </c>
      <c r="J15" s="152" t="s">
        <v>343</v>
      </c>
      <c r="K15" s="332"/>
      <c r="L15" s="138"/>
      <c r="M15" s="137"/>
    </row>
    <row r="16" spans="2:13">
      <c r="B16" s="462" t="s">
        <v>415</v>
      </c>
      <c r="C16" s="463" t="s">
        <v>35</v>
      </c>
      <c r="D16" s="167" t="s">
        <v>63</v>
      </c>
      <c r="E16" s="451">
        <v>85377</v>
      </c>
      <c r="F16" s="464" t="s">
        <v>64</v>
      </c>
      <c r="G16" s="170">
        <v>320.56</v>
      </c>
      <c r="H16" s="170">
        <v>31.1</v>
      </c>
      <c r="I16" s="171">
        <v>351.66</v>
      </c>
      <c r="J16" s="150" t="s">
        <v>343</v>
      </c>
      <c r="K16" s="332"/>
      <c r="L16" s="138"/>
      <c r="M16" s="137"/>
    </row>
    <row r="17" spans="2:14">
      <c r="B17" s="462" t="s">
        <v>416</v>
      </c>
      <c r="C17" s="463" t="s">
        <v>42</v>
      </c>
      <c r="D17" s="167" t="s">
        <v>417</v>
      </c>
      <c r="E17" s="451">
        <v>197393</v>
      </c>
      <c r="F17" s="464" t="s">
        <v>418</v>
      </c>
      <c r="G17" s="170">
        <v>1430</v>
      </c>
      <c r="H17" s="170">
        <v>214.5</v>
      </c>
      <c r="I17" s="171">
        <v>1644.5</v>
      </c>
      <c r="J17" s="465" t="s">
        <v>419</v>
      </c>
      <c r="K17" s="319"/>
      <c r="L17" s="319"/>
      <c r="M17" s="466"/>
    </row>
    <row r="18" spans="2:14">
      <c r="B18" s="467" t="s">
        <v>415</v>
      </c>
      <c r="C18" s="468" t="s">
        <v>35</v>
      </c>
      <c r="D18" s="167" t="s">
        <v>105</v>
      </c>
      <c r="E18" s="451">
        <v>29437775</v>
      </c>
      <c r="F18" s="469" t="s">
        <v>64</v>
      </c>
      <c r="G18" s="170">
        <v>128</v>
      </c>
      <c r="H18" s="170"/>
      <c r="I18" s="171">
        <v>128</v>
      </c>
      <c r="J18" s="470" t="s">
        <v>343</v>
      </c>
      <c r="K18" s="332"/>
      <c r="L18" s="138"/>
      <c r="M18" s="137"/>
    </row>
    <row r="19" spans="2:14">
      <c r="B19" s="467" t="s">
        <v>415</v>
      </c>
      <c r="C19" s="468" t="s">
        <v>35</v>
      </c>
      <c r="D19" s="167" t="s">
        <v>407</v>
      </c>
      <c r="E19" s="451">
        <v>78791</v>
      </c>
      <c r="F19" s="469" t="s">
        <v>65</v>
      </c>
      <c r="G19" s="170">
        <v>540</v>
      </c>
      <c r="H19" s="170"/>
      <c r="I19" s="171">
        <v>540</v>
      </c>
      <c r="J19" s="470" t="s">
        <v>343</v>
      </c>
      <c r="K19" s="332"/>
      <c r="L19" s="138"/>
      <c r="M19" s="137"/>
    </row>
    <row r="20" spans="2:14">
      <c r="B20" s="174" t="s">
        <v>404</v>
      </c>
      <c r="C20" s="167" t="s">
        <v>42</v>
      </c>
      <c r="D20" s="167" t="s">
        <v>215</v>
      </c>
      <c r="E20" s="452">
        <v>41246</v>
      </c>
      <c r="F20" s="457" t="s">
        <v>373</v>
      </c>
      <c r="G20" s="176">
        <v>1475.26</v>
      </c>
      <c r="H20" s="176">
        <v>221.74</v>
      </c>
      <c r="I20" s="177">
        <v>1700</v>
      </c>
      <c r="J20" s="164" t="s">
        <v>9</v>
      </c>
      <c r="K20" s="332" t="s">
        <v>450</v>
      </c>
      <c r="L20" s="138"/>
      <c r="M20" s="137"/>
    </row>
    <row r="21" spans="2:14">
      <c r="B21" s="496" t="s">
        <v>421</v>
      </c>
      <c r="C21" s="497" t="s">
        <v>35</v>
      </c>
      <c r="D21" s="167" t="s">
        <v>422</v>
      </c>
      <c r="E21" s="451">
        <v>1442</v>
      </c>
      <c r="F21" s="490" t="s">
        <v>423</v>
      </c>
      <c r="G21" s="170">
        <v>2800</v>
      </c>
      <c r="H21" s="170"/>
      <c r="I21" s="171">
        <v>2800</v>
      </c>
      <c r="J21" s="498" t="s">
        <v>432</v>
      </c>
      <c r="K21" s="332"/>
      <c r="L21" s="157"/>
      <c r="M21" s="137"/>
    </row>
    <row r="22" spans="2:14">
      <c r="B22" s="496" t="s">
        <v>421</v>
      </c>
      <c r="C22" s="497" t="s">
        <v>42</v>
      </c>
      <c r="D22" s="167" t="s">
        <v>424</v>
      </c>
      <c r="E22" s="451">
        <v>3605</v>
      </c>
      <c r="F22" s="490" t="s">
        <v>60</v>
      </c>
      <c r="G22" s="170">
        <v>3595</v>
      </c>
      <c r="H22" s="170">
        <v>539.25</v>
      </c>
      <c r="I22" s="171">
        <v>4134.25</v>
      </c>
      <c r="J22" s="150" t="s">
        <v>9</v>
      </c>
      <c r="K22" s="332" t="s">
        <v>450</v>
      </c>
      <c r="L22" s="138"/>
      <c r="M22" s="137"/>
    </row>
    <row r="23" spans="2:14">
      <c r="B23" s="172" t="s">
        <v>421</v>
      </c>
      <c r="C23" s="168" t="s">
        <v>35</v>
      </c>
      <c r="D23" s="167" t="s">
        <v>114</v>
      </c>
      <c r="E23" s="451">
        <v>16326</v>
      </c>
      <c r="F23" s="490" t="s">
        <v>426</v>
      </c>
      <c r="G23" s="170">
        <v>2661.2</v>
      </c>
      <c r="H23" s="170">
        <v>315.7</v>
      </c>
      <c r="I23" s="171">
        <v>2976.9</v>
      </c>
      <c r="J23" s="444" t="s">
        <v>427</v>
      </c>
      <c r="K23" s="319"/>
      <c r="L23" s="138"/>
      <c r="M23" s="137"/>
    </row>
    <row r="24" spans="2:14">
      <c r="B24" s="172" t="s">
        <v>421</v>
      </c>
      <c r="C24" s="168" t="s">
        <v>35</v>
      </c>
      <c r="D24" s="167" t="s">
        <v>78</v>
      </c>
      <c r="E24" s="451">
        <v>301923</v>
      </c>
      <c r="F24" s="490" t="s">
        <v>64</v>
      </c>
      <c r="G24" s="170">
        <v>228.26</v>
      </c>
      <c r="H24" s="170">
        <v>34.24</v>
      </c>
      <c r="I24" s="171">
        <v>262.5</v>
      </c>
      <c r="J24" s="150" t="s">
        <v>343</v>
      </c>
      <c r="K24" s="332"/>
      <c r="L24" s="138"/>
      <c r="M24" s="137"/>
    </row>
    <row r="25" spans="2:14">
      <c r="B25" s="172" t="s">
        <v>430</v>
      </c>
      <c r="C25" s="168" t="s">
        <v>35</v>
      </c>
      <c r="D25" s="167" t="s">
        <v>63</v>
      </c>
      <c r="E25" s="451">
        <v>87490</v>
      </c>
      <c r="F25" s="491" t="s">
        <v>64</v>
      </c>
      <c r="G25" s="170">
        <v>135.55000000000001</v>
      </c>
      <c r="H25" s="170">
        <v>9.7200000000000006</v>
      </c>
      <c r="I25" s="171">
        <v>145.27000000000001</v>
      </c>
      <c r="J25" s="150" t="s">
        <v>343</v>
      </c>
      <c r="K25" s="332"/>
      <c r="L25" s="158"/>
      <c r="M25" s="137"/>
    </row>
    <row r="26" spans="2:14">
      <c r="B26" s="492" t="s">
        <v>431</v>
      </c>
      <c r="C26" s="493" t="s">
        <v>35</v>
      </c>
      <c r="D26" s="167" t="s">
        <v>105</v>
      </c>
      <c r="E26" s="178">
        <v>9437790</v>
      </c>
      <c r="F26" s="494" t="s">
        <v>64</v>
      </c>
      <c r="G26" s="170">
        <v>236</v>
      </c>
      <c r="H26" s="170"/>
      <c r="I26" s="171">
        <v>236</v>
      </c>
      <c r="J26" s="495" t="s">
        <v>343</v>
      </c>
      <c r="K26" s="332"/>
      <c r="L26" s="158"/>
      <c r="M26" s="137"/>
    </row>
    <row r="27" spans="2:14">
      <c r="B27" s="518" t="s">
        <v>431</v>
      </c>
      <c r="C27" s="519" t="s">
        <v>42</v>
      </c>
      <c r="D27" s="167" t="s">
        <v>433</v>
      </c>
      <c r="E27" s="451">
        <v>12299</v>
      </c>
      <c r="F27" s="526" t="s">
        <v>418</v>
      </c>
      <c r="G27" s="170">
        <v>1173.9100000000001</v>
      </c>
      <c r="H27" s="170">
        <v>176.09</v>
      </c>
      <c r="I27" s="171">
        <v>1350</v>
      </c>
      <c r="J27" s="150" t="s">
        <v>9</v>
      </c>
      <c r="K27" s="332" t="s">
        <v>450</v>
      </c>
      <c r="L27" s="158"/>
      <c r="M27" s="353">
        <v>1000</v>
      </c>
      <c r="N27" s="107" t="s">
        <v>437</v>
      </c>
    </row>
    <row r="28" spans="2:14" s="137" customFormat="1">
      <c r="B28" s="174" t="s">
        <v>436</v>
      </c>
      <c r="C28" s="167" t="s">
        <v>42</v>
      </c>
      <c r="D28" s="167" t="s">
        <v>410</v>
      </c>
      <c r="E28" s="452">
        <v>11322611</v>
      </c>
      <c r="F28" s="502" t="s">
        <v>60</v>
      </c>
      <c r="G28" s="176">
        <v>40</v>
      </c>
      <c r="H28" s="176"/>
      <c r="I28" s="171">
        <v>40</v>
      </c>
      <c r="J28" s="444" t="s">
        <v>412</v>
      </c>
      <c r="K28" s="319"/>
      <c r="L28" s="320"/>
      <c r="M28" s="137">
        <v>40</v>
      </c>
    </row>
    <row r="29" spans="2:14">
      <c r="B29" s="172" t="s">
        <v>436</v>
      </c>
      <c r="C29" s="168" t="s">
        <v>35</v>
      </c>
      <c r="D29" s="167" t="s">
        <v>212</v>
      </c>
      <c r="E29" s="451">
        <v>181</v>
      </c>
      <c r="F29" s="502" t="s">
        <v>65</v>
      </c>
      <c r="G29" s="170">
        <v>360</v>
      </c>
      <c r="H29" s="170"/>
      <c r="I29" s="171">
        <v>360</v>
      </c>
      <c r="J29" s="444" t="s">
        <v>412</v>
      </c>
      <c r="K29" s="319"/>
      <c r="L29" s="158"/>
      <c r="M29" s="137">
        <v>360</v>
      </c>
    </row>
    <row r="30" spans="2:14">
      <c r="B30" s="172" t="s">
        <v>436</v>
      </c>
      <c r="C30" s="168" t="s">
        <v>35</v>
      </c>
      <c r="D30" s="167" t="s">
        <v>301</v>
      </c>
      <c r="E30" s="451">
        <v>506</v>
      </c>
      <c r="F30" s="502" t="s">
        <v>65</v>
      </c>
      <c r="G30" s="170">
        <v>512.11</v>
      </c>
      <c r="H30" s="170"/>
      <c r="I30" s="171">
        <v>512.11</v>
      </c>
      <c r="J30" s="444" t="s">
        <v>412</v>
      </c>
      <c r="K30" s="319"/>
      <c r="L30" s="321"/>
      <c r="M30" s="137">
        <v>512.11</v>
      </c>
    </row>
    <row r="31" spans="2:14">
      <c r="B31" s="172" t="s">
        <v>436</v>
      </c>
      <c r="C31" s="168" t="s">
        <v>35</v>
      </c>
      <c r="D31" s="167" t="s">
        <v>121</v>
      </c>
      <c r="E31" s="451">
        <v>79582</v>
      </c>
      <c r="F31" s="502" t="s">
        <v>65</v>
      </c>
      <c r="G31" s="170">
        <v>1458.44</v>
      </c>
      <c r="H31" s="170">
        <v>218.76</v>
      </c>
      <c r="I31" s="171">
        <v>1677.2</v>
      </c>
      <c r="J31" s="152" t="s">
        <v>211</v>
      </c>
      <c r="K31" s="332"/>
      <c r="L31" s="321"/>
      <c r="M31" s="353">
        <f>M27-M28-M29-M30</f>
        <v>87.889999999999986</v>
      </c>
    </row>
    <row r="32" spans="2:14">
      <c r="B32" s="172" t="s">
        <v>436</v>
      </c>
      <c r="C32" s="168" t="s">
        <v>35</v>
      </c>
      <c r="D32" s="167" t="s">
        <v>105</v>
      </c>
      <c r="E32" s="451">
        <v>29437798</v>
      </c>
      <c r="F32" s="503" t="s">
        <v>64</v>
      </c>
      <c r="G32" s="170">
        <v>316.52</v>
      </c>
      <c r="H32" s="170">
        <v>23.48</v>
      </c>
      <c r="I32" s="171">
        <v>340</v>
      </c>
      <c r="J32" s="152" t="s">
        <v>343</v>
      </c>
      <c r="K32" s="332"/>
      <c r="L32" s="321"/>
      <c r="M32" s="137"/>
    </row>
    <row r="33" spans="2:13">
      <c r="B33" s="504" t="s">
        <v>439</v>
      </c>
      <c r="C33" s="505" t="s">
        <v>35</v>
      </c>
      <c r="D33" s="167" t="s">
        <v>370</v>
      </c>
      <c r="E33" s="451">
        <v>1795</v>
      </c>
      <c r="F33" s="503" t="s">
        <v>64</v>
      </c>
      <c r="G33" s="170">
        <v>186.18</v>
      </c>
      <c r="H33" s="170">
        <v>18.329999999999998</v>
      </c>
      <c r="I33" s="171">
        <v>204.51</v>
      </c>
      <c r="J33" s="152" t="s">
        <v>343</v>
      </c>
      <c r="K33" s="332"/>
      <c r="L33" s="353"/>
      <c r="M33" s="137"/>
    </row>
    <row r="34" spans="2:13">
      <c r="B34" s="504" t="s">
        <v>439</v>
      </c>
      <c r="C34" s="505" t="s">
        <v>35</v>
      </c>
      <c r="D34" s="167" t="s">
        <v>407</v>
      </c>
      <c r="E34" s="451">
        <v>78855</v>
      </c>
      <c r="F34" s="503" t="s">
        <v>65</v>
      </c>
      <c r="G34" s="170">
        <v>540</v>
      </c>
      <c r="H34" s="170"/>
      <c r="I34" s="171">
        <v>540</v>
      </c>
      <c r="J34" s="152" t="s">
        <v>343</v>
      </c>
      <c r="K34" s="332"/>
      <c r="L34" s="138"/>
      <c r="M34" s="137"/>
    </row>
    <row r="35" spans="2:13">
      <c r="B35" s="504" t="s">
        <v>439</v>
      </c>
      <c r="C35" s="505" t="s">
        <v>35</v>
      </c>
      <c r="D35" s="167" t="s">
        <v>441</v>
      </c>
      <c r="E35" s="168">
        <v>3205</v>
      </c>
      <c r="F35" s="503" t="s">
        <v>65</v>
      </c>
      <c r="G35" s="170">
        <v>185.2</v>
      </c>
      <c r="H35" s="170"/>
      <c r="I35" s="171">
        <v>185.2</v>
      </c>
      <c r="J35" s="507" t="s">
        <v>442</v>
      </c>
      <c r="K35" s="319"/>
      <c r="L35" s="353"/>
      <c r="M35" s="137"/>
    </row>
    <row r="36" spans="2:13">
      <c r="B36" s="514" t="s">
        <v>439</v>
      </c>
      <c r="C36" s="505" t="s">
        <v>42</v>
      </c>
      <c r="D36" s="167" t="s">
        <v>214</v>
      </c>
      <c r="E36" s="168">
        <v>32775</v>
      </c>
      <c r="F36" s="506" t="s">
        <v>418</v>
      </c>
      <c r="G36" s="170">
        <v>1092.5</v>
      </c>
      <c r="H36" s="170"/>
      <c r="I36" s="171">
        <v>2185</v>
      </c>
      <c r="J36" s="150" t="s">
        <v>9</v>
      </c>
      <c r="K36" s="332" t="s">
        <v>486</v>
      </c>
      <c r="L36" s="138"/>
      <c r="M36" s="137"/>
    </row>
    <row r="37" spans="2:13">
      <c r="B37" s="174" t="s">
        <v>445</v>
      </c>
      <c r="C37" s="167" t="s">
        <v>42</v>
      </c>
      <c r="D37" s="167" t="s">
        <v>446</v>
      </c>
      <c r="E37" s="167"/>
      <c r="F37" s="175" t="s">
        <v>60</v>
      </c>
      <c r="G37" s="176">
        <v>11600</v>
      </c>
      <c r="H37" s="176"/>
      <c r="I37" s="171">
        <f t="shared" ref="I37:I72" si="0">G37+H37</f>
        <v>11600</v>
      </c>
      <c r="J37" s="150" t="s">
        <v>9</v>
      </c>
      <c r="K37" s="319" t="s">
        <v>447</v>
      </c>
      <c r="L37" s="515"/>
      <c r="M37" s="137"/>
    </row>
    <row r="38" spans="2:13">
      <c r="B38" s="528" t="s">
        <v>451</v>
      </c>
      <c r="C38" s="529" t="s">
        <v>35</v>
      </c>
      <c r="D38" s="167" t="s">
        <v>105</v>
      </c>
      <c r="E38" s="168">
        <v>29437818</v>
      </c>
      <c r="F38" s="530" t="s">
        <v>64</v>
      </c>
      <c r="G38" s="170">
        <v>132</v>
      </c>
      <c r="H38" s="170"/>
      <c r="I38" s="171">
        <f t="shared" si="0"/>
        <v>132</v>
      </c>
      <c r="J38" s="150" t="s">
        <v>343</v>
      </c>
      <c r="K38" s="332"/>
      <c r="L38" s="385"/>
      <c r="M38" s="137"/>
    </row>
    <row r="39" spans="2:13">
      <c r="B39" s="528" t="s">
        <v>452</v>
      </c>
      <c r="C39" s="529" t="s">
        <v>35</v>
      </c>
      <c r="D39" s="167" t="s">
        <v>78</v>
      </c>
      <c r="E39" s="168">
        <v>301948</v>
      </c>
      <c r="F39" s="530" t="s">
        <v>64</v>
      </c>
      <c r="G39" s="170">
        <v>182.61</v>
      </c>
      <c r="H39" s="170">
        <v>27.39</v>
      </c>
      <c r="I39" s="171">
        <f t="shared" si="0"/>
        <v>210</v>
      </c>
      <c r="J39" s="150" t="s">
        <v>343</v>
      </c>
      <c r="K39" s="332"/>
      <c r="L39" s="385"/>
      <c r="M39" s="137"/>
    </row>
    <row r="40" spans="2:13">
      <c r="B40" s="528" t="s">
        <v>453</v>
      </c>
      <c r="C40" s="529" t="s">
        <v>35</v>
      </c>
      <c r="D40" s="167" t="s">
        <v>63</v>
      </c>
      <c r="E40" s="168">
        <v>93435</v>
      </c>
      <c r="F40" s="530" t="s">
        <v>64</v>
      </c>
      <c r="G40" s="170">
        <v>320.56</v>
      </c>
      <c r="H40" s="170">
        <v>31.1</v>
      </c>
      <c r="I40" s="171">
        <f t="shared" si="0"/>
        <v>351.66</v>
      </c>
      <c r="J40" s="150" t="s">
        <v>343</v>
      </c>
      <c r="K40" s="332"/>
      <c r="L40" s="138"/>
      <c r="M40" s="137"/>
    </row>
    <row r="41" spans="2:13">
      <c r="B41" s="172" t="s">
        <v>457</v>
      </c>
      <c r="C41" s="168" t="s">
        <v>35</v>
      </c>
      <c r="D41" s="167" t="s">
        <v>105</v>
      </c>
      <c r="E41" s="168">
        <v>9437827</v>
      </c>
      <c r="F41" s="178" t="s">
        <v>64</v>
      </c>
      <c r="G41" s="170">
        <v>128</v>
      </c>
      <c r="H41" s="170"/>
      <c r="I41" s="171">
        <f t="shared" si="0"/>
        <v>128</v>
      </c>
      <c r="J41" s="150" t="s">
        <v>343</v>
      </c>
      <c r="K41" s="332"/>
      <c r="L41" s="224"/>
      <c r="M41" s="137"/>
    </row>
    <row r="42" spans="2:13">
      <c r="B42" s="172" t="s">
        <v>457</v>
      </c>
      <c r="C42" s="168" t="s">
        <v>35</v>
      </c>
      <c r="D42" s="167" t="s">
        <v>387</v>
      </c>
      <c r="E42" s="168">
        <v>2808514</v>
      </c>
      <c r="F42" s="178" t="s">
        <v>65</v>
      </c>
      <c r="G42" s="170">
        <v>321.27999999999997</v>
      </c>
      <c r="H42" s="170">
        <v>48.2</v>
      </c>
      <c r="I42" s="171">
        <f t="shared" si="0"/>
        <v>369.47999999999996</v>
      </c>
      <c r="J42" s="150" t="s">
        <v>343</v>
      </c>
      <c r="K42" s="332"/>
      <c r="L42" s="138"/>
      <c r="M42" s="137"/>
    </row>
    <row r="43" spans="2:13">
      <c r="B43" s="172" t="s">
        <v>457</v>
      </c>
      <c r="C43" s="168" t="s">
        <v>35</v>
      </c>
      <c r="D43" s="167" t="s">
        <v>370</v>
      </c>
      <c r="E43" s="168">
        <v>14726</v>
      </c>
      <c r="F43" s="178" t="s">
        <v>64</v>
      </c>
      <c r="G43" s="170">
        <v>186.18</v>
      </c>
      <c r="H43" s="170">
        <v>18.329999999999998</v>
      </c>
      <c r="I43" s="171">
        <f t="shared" si="0"/>
        <v>204.51</v>
      </c>
      <c r="J43" s="150" t="s">
        <v>343</v>
      </c>
      <c r="K43" s="332"/>
      <c r="L43" s="413"/>
      <c r="M43" s="137"/>
    </row>
    <row r="44" spans="2:13">
      <c r="B44" s="536" t="s">
        <v>458</v>
      </c>
      <c r="C44" s="537" t="s">
        <v>35</v>
      </c>
      <c r="D44" s="167" t="s">
        <v>105</v>
      </c>
      <c r="E44" s="168">
        <v>29437837</v>
      </c>
      <c r="F44" s="538" t="s">
        <v>64</v>
      </c>
      <c r="G44" s="170">
        <v>200</v>
      </c>
      <c r="H44" s="170"/>
      <c r="I44" s="171">
        <f t="shared" si="0"/>
        <v>200</v>
      </c>
      <c r="J44" s="150" t="s">
        <v>343</v>
      </c>
      <c r="K44" s="332"/>
      <c r="L44" s="138"/>
      <c r="M44" s="137"/>
    </row>
    <row r="45" spans="2:13">
      <c r="B45" s="172" t="s">
        <v>459</v>
      </c>
      <c r="C45" s="168" t="s">
        <v>35</v>
      </c>
      <c r="D45" s="167" t="s">
        <v>460</v>
      </c>
      <c r="E45" s="168">
        <v>20260318</v>
      </c>
      <c r="F45" s="178" t="s">
        <v>60</v>
      </c>
      <c r="G45" s="170">
        <v>440</v>
      </c>
      <c r="H45" s="170"/>
      <c r="I45" s="171">
        <f t="shared" si="0"/>
        <v>440</v>
      </c>
      <c r="J45" s="444" t="s">
        <v>442</v>
      </c>
      <c r="K45" s="319"/>
      <c r="L45" s="413"/>
      <c r="M45" s="137"/>
    </row>
    <row r="46" spans="2:13">
      <c r="B46" s="172" t="s">
        <v>459</v>
      </c>
      <c r="C46" s="168" t="s">
        <v>35</v>
      </c>
      <c r="D46" s="167" t="s">
        <v>407</v>
      </c>
      <c r="E46" s="168">
        <v>78923</v>
      </c>
      <c r="F46" s="178" t="s">
        <v>65</v>
      </c>
      <c r="G46" s="170">
        <v>360</v>
      </c>
      <c r="H46" s="170"/>
      <c r="I46" s="171">
        <f t="shared" si="0"/>
        <v>360</v>
      </c>
      <c r="J46" s="150" t="s">
        <v>343</v>
      </c>
      <c r="K46" s="332"/>
      <c r="L46" s="138"/>
      <c r="M46" s="137"/>
    </row>
    <row r="47" spans="2:13">
      <c r="B47" s="539" t="s">
        <v>461</v>
      </c>
      <c r="C47" s="540" t="s">
        <v>35</v>
      </c>
      <c r="D47" s="167" t="s">
        <v>63</v>
      </c>
      <c r="E47" s="168">
        <v>98314</v>
      </c>
      <c r="F47" s="541" t="s">
        <v>64</v>
      </c>
      <c r="G47" s="170">
        <v>320.56</v>
      </c>
      <c r="H47" s="170">
        <v>31.1</v>
      </c>
      <c r="I47" s="171">
        <f t="shared" si="0"/>
        <v>351.66</v>
      </c>
      <c r="J47" s="150" t="s">
        <v>343</v>
      </c>
      <c r="K47" s="332"/>
      <c r="L47" s="138"/>
      <c r="M47" s="137"/>
    </row>
    <row r="48" spans="2:13">
      <c r="B48" s="174" t="s">
        <v>461</v>
      </c>
      <c r="C48" s="167" t="s">
        <v>42</v>
      </c>
      <c r="D48" s="167" t="s">
        <v>463</v>
      </c>
      <c r="E48" s="167"/>
      <c r="F48" s="175"/>
      <c r="G48" s="176"/>
      <c r="H48" s="176"/>
      <c r="I48" s="171">
        <v>400</v>
      </c>
      <c r="J48" s="150" t="s">
        <v>9</v>
      </c>
      <c r="K48" s="319" t="s">
        <v>464</v>
      </c>
      <c r="L48" s="319"/>
      <c r="M48" s="137"/>
    </row>
    <row r="49" spans="2:13">
      <c r="B49" s="542" t="s">
        <v>461</v>
      </c>
      <c r="C49" s="543" t="s">
        <v>35</v>
      </c>
      <c r="D49" s="167" t="s">
        <v>465</v>
      </c>
      <c r="E49" s="168">
        <v>92</v>
      </c>
      <c r="F49" s="544" t="s">
        <v>65</v>
      </c>
      <c r="G49" s="170">
        <v>402.8</v>
      </c>
      <c r="H49" s="170"/>
      <c r="I49" s="171">
        <f t="shared" si="0"/>
        <v>402.8</v>
      </c>
      <c r="J49" s="475" t="s">
        <v>466</v>
      </c>
      <c r="K49" s="319"/>
      <c r="L49" s="545"/>
      <c r="M49" s="137"/>
    </row>
    <row r="50" spans="2:13">
      <c r="B50" s="551" t="s">
        <v>470</v>
      </c>
      <c r="C50" s="552" t="s">
        <v>42</v>
      </c>
      <c r="D50" s="167" t="s">
        <v>503</v>
      </c>
      <c r="E50" s="168"/>
      <c r="F50" s="553" t="s">
        <v>503</v>
      </c>
      <c r="G50" s="170">
        <v>10000</v>
      </c>
      <c r="H50" s="170"/>
      <c r="I50" s="171">
        <f t="shared" si="0"/>
        <v>10000</v>
      </c>
      <c r="J50" s="475" t="s">
        <v>9</v>
      </c>
      <c r="K50" s="319" t="s">
        <v>504</v>
      </c>
      <c r="L50" s="545"/>
      <c r="M50" s="137"/>
    </row>
    <row r="51" spans="2:13">
      <c r="B51" s="172" t="s">
        <v>470</v>
      </c>
      <c r="C51" s="168" t="s">
        <v>35</v>
      </c>
      <c r="D51" s="167" t="s">
        <v>407</v>
      </c>
      <c r="E51" s="168">
        <v>78949</v>
      </c>
      <c r="F51" s="178" t="s">
        <v>65</v>
      </c>
      <c r="G51" s="170">
        <v>360</v>
      </c>
      <c r="H51" s="170"/>
      <c r="I51" s="171">
        <f t="shared" si="0"/>
        <v>360</v>
      </c>
      <c r="J51" s="150" t="s">
        <v>343</v>
      </c>
      <c r="K51" s="332"/>
      <c r="L51" s="138"/>
      <c r="M51" s="137"/>
    </row>
    <row r="52" spans="2:13">
      <c r="B52" s="172" t="s">
        <v>476</v>
      </c>
      <c r="C52" s="168" t="s">
        <v>42</v>
      </c>
      <c r="D52" s="167" t="s">
        <v>487</v>
      </c>
      <c r="E52" s="168">
        <v>20958</v>
      </c>
      <c r="F52" s="178" t="s">
        <v>60</v>
      </c>
      <c r="G52" s="170">
        <v>728</v>
      </c>
      <c r="H52" s="170"/>
      <c r="I52" s="171">
        <f t="shared" si="0"/>
        <v>728</v>
      </c>
      <c r="J52" s="150" t="s">
        <v>343</v>
      </c>
      <c r="K52" s="332"/>
      <c r="L52" s="138"/>
      <c r="M52" s="137"/>
    </row>
    <row r="53" spans="2:13">
      <c r="B53" s="172" t="s">
        <v>493</v>
      </c>
      <c r="C53" s="168" t="s">
        <v>35</v>
      </c>
      <c r="D53" s="167" t="s">
        <v>105</v>
      </c>
      <c r="E53" s="168">
        <v>29437863</v>
      </c>
      <c r="F53" s="178" t="s">
        <v>64</v>
      </c>
      <c r="G53" s="170">
        <v>202</v>
      </c>
      <c r="H53" s="170"/>
      <c r="I53" s="171">
        <f t="shared" si="0"/>
        <v>202</v>
      </c>
      <c r="J53" s="150" t="s">
        <v>343</v>
      </c>
      <c r="K53" s="332"/>
      <c r="L53" s="138"/>
      <c r="M53" s="137"/>
    </row>
    <row r="54" spans="2:13">
      <c r="B54" s="172" t="s">
        <v>493</v>
      </c>
      <c r="C54" s="168" t="s">
        <v>35</v>
      </c>
      <c r="D54" s="167" t="s">
        <v>78</v>
      </c>
      <c r="E54" s="168">
        <v>301971</v>
      </c>
      <c r="F54" s="178" t="s">
        <v>64</v>
      </c>
      <c r="G54" s="170">
        <v>210</v>
      </c>
      <c r="H54" s="170"/>
      <c r="I54" s="171">
        <f t="shared" si="0"/>
        <v>210</v>
      </c>
      <c r="J54" s="150" t="s">
        <v>343</v>
      </c>
      <c r="K54" s="332"/>
      <c r="L54" s="138"/>
      <c r="M54" s="137"/>
    </row>
    <row r="55" spans="2:13">
      <c r="B55" s="172" t="s">
        <v>493</v>
      </c>
      <c r="C55" s="168" t="s">
        <v>35</v>
      </c>
      <c r="D55" s="167" t="s">
        <v>63</v>
      </c>
      <c r="E55" s="168">
        <v>3171</v>
      </c>
      <c r="F55" s="178" t="s">
        <v>64</v>
      </c>
      <c r="G55" s="170">
        <v>320.56</v>
      </c>
      <c r="H55" s="170">
        <v>31.1</v>
      </c>
      <c r="I55" s="171">
        <f t="shared" si="0"/>
        <v>351.66</v>
      </c>
      <c r="J55" s="150" t="s">
        <v>343</v>
      </c>
      <c r="K55" s="332"/>
      <c r="L55" s="138"/>
      <c r="M55" s="137"/>
    </row>
    <row r="56" spans="2:13">
      <c r="B56" s="172" t="s">
        <v>493</v>
      </c>
      <c r="C56" s="168" t="s">
        <v>35</v>
      </c>
      <c r="D56" s="167" t="s">
        <v>494</v>
      </c>
      <c r="E56" s="168">
        <v>4821</v>
      </c>
      <c r="F56" s="178" t="s">
        <v>418</v>
      </c>
      <c r="G56" s="170">
        <v>159.22999999999999</v>
      </c>
      <c r="H56" s="170"/>
      <c r="I56" s="171">
        <f t="shared" si="0"/>
        <v>159.22999999999999</v>
      </c>
      <c r="J56" s="444" t="s">
        <v>442</v>
      </c>
      <c r="K56" s="319"/>
      <c r="L56" s="138"/>
      <c r="M56" s="137"/>
    </row>
    <row r="57" spans="2:13">
      <c r="B57" s="172" t="s">
        <v>493</v>
      </c>
      <c r="C57" s="168" t="s">
        <v>35</v>
      </c>
      <c r="D57" s="167" t="s">
        <v>387</v>
      </c>
      <c r="E57" s="168">
        <v>2812867</v>
      </c>
      <c r="F57" s="178" t="s">
        <v>64</v>
      </c>
      <c r="G57" s="170">
        <v>287.68</v>
      </c>
      <c r="H57" s="170">
        <v>43.16</v>
      </c>
      <c r="I57" s="171">
        <f t="shared" si="0"/>
        <v>330.84000000000003</v>
      </c>
      <c r="J57" s="150" t="s">
        <v>343</v>
      </c>
      <c r="K57" s="332"/>
      <c r="L57" s="138"/>
      <c r="M57" s="137"/>
    </row>
    <row r="58" spans="2:13">
      <c r="B58" s="172" t="s">
        <v>493</v>
      </c>
      <c r="C58" s="168" t="s">
        <v>35</v>
      </c>
      <c r="D58" s="167" t="s">
        <v>63</v>
      </c>
      <c r="E58" s="168">
        <v>605382</v>
      </c>
      <c r="F58" s="178" t="s">
        <v>64</v>
      </c>
      <c r="G58" s="170">
        <v>320.56</v>
      </c>
      <c r="H58" s="170">
        <v>31.1</v>
      </c>
      <c r="I58" s="171">
        <f t="shared" si="0"/>
        <v>351.66</v>
      </c>
      <c r="J58" s="150" t="s">
        <v>343</v>
      </c>
      <c r="K58" s="332"/>
      <c r="L58" s="138"/>
      <c r="M58" s="137"/>
    </row>
    <row r="59" spans="2:13">
      <c r="B59" s="172" t="s">
        <v>493</v>
      </c>
      <c r="C59" s="168" t="s">
        <v>35</v>
      </c>
      <c r="D59" s="167" t="s">
        <v>105</v>
      </c>
      <c r="E59" s="168">
        <v>29437868</v>
      </c>
      <c r="F59" s="178" t="s">
        <v>64</v>
      </c>
      <c r="G59" s="170">
        <v>164</v>
      </c>
      <c r="H59" s="170"/>
      <c r="I59" s="171">
        <f t="shared" si="0"/>
        <v>164</v>
      </c>
      <c r="J59" s="150" t="s">
        <v>343</v>
      </c>
      <c r="K59" s="332"/>
      <c r="L59" s="138"/>
      <c r="M59" s="137"/>
    </row>
    <row r="60" spans="2:13">
      <c r="B60" s="172" t="s">
        <v>493</v>
      </c>
      <c r="C60" s="168" t="s">
        <v>35</v>
      </c>
      <c r="D60" s="167" t="s">
        <v>407</v>
      </c>
      <c r="E60" s="168">
        <v>78976</v>
      </c>
      <c r="F60" s="178" t="s">
        <v>65</v>
      </c>
      <c r="G60" s="170">
        <v>540</v>
      </c>
      <c r="H60" s="170"/>
      <c r="I60" s="171">
        <f t="shared" si="0"/>
        <v>540</v>
      </c>
      <c r="J60" s="150" t="s">
        <v>343</v>
      </c>
      <c r="K60" s="332"/>
      <c r="L60" s="418"/>
      <c r="M60" s="137"/>
    </row>
    <row r="61" spans="2:13">
      <c r="B61" s="172" t="s">
        <v>493</v>
      </c>
      <c r="C61" s="168" t="s">
        <v>35</v>
      </c>
      <c r="D61" s="167" t="s">
        <v>370</v>
      </c>
      <c r="E61" s="168">
        <v>68913</v>
      </c>
      <c r="F61" s="178" t="s">
        <v>64</v>
      </c>
      <c r="G61" s="170">
        <v>186.18</v>
      </c>
      <c r="H61" s="170">
        <v>18.329999999999998</v>
      </c>
      <c r="I61" s="171">
        <f t="shared" si="0"/>
        <v>204.51</v>
      </c>
      <c r="J61" s="150" t="s">
        <v>343</v>
      </c>
      <c r="K61" s="332"/>
      <c r="L61" s="138"/>
      <c r="M61" s="137"/>
    </row>
    <row r="62" spans="2:13">
      <c r="B62" s="172" t="s">
        <v>505</v>
      </c>
      <c r="C62" s="168" t="s">
        <v>35</v>
      </c>
      <c r="D62" s="167" t="s">
        <v>465</v>
      </c>
      <c r="E62" s="168">
        <v>100</v>
      </c>
      <c r="F62" s="178" t="s">
        <v>65</v>
      </c>
      <c r="G62" s="170">
        <v>818.8</v>
      </c>
      <c r="H62" s="170"/>
      <c r="I62" s="171">
        <f t="shared" si="0"/>
        <v>818.8</v>
      </c>
      <c r="J62" s="150" t="s">
        <v>343</v>
      </c>
      <c r="K62" s="332"/>
      <c r="L62" s="138"/>
      <c r="M62" s="137"/>
    </row>
    <row r="63" spans="2:13">
      <c r="B63" s="172" t="s">
        <v>505</v>
      </c>
      <c r="C63" s="168" t="s">
        <v>35</v>
      </c>
      <c r="D63" s="167" t="s">
        <v>301</v>
      </c>
      <c r="E63" s="168">
        <v>5503</v>
      </c>
      <c r="F63" s="178" t="s">
        <v>65</v>
      </c>
      <c r="G63" s="170">
        <v>290.49</v>
      </c>
      <c r="H63" s="170"/>
      <c r="I63" s="171">
        <f t="shared" si="0"/>
        <v>290.49</v>
      </c>
      <c r="J63" s="444" t="s">
        <v>442</v>
      </c>
      <c r="K63" s="319"/>
      <c r="L63" s="418"/>
      <c r="M63" s="137"/>
    </row>
    <row r="64" spans="2:13">
      <c r="B64" s="172" t="s">
        <v>505</v>
      </c>
      <c r="C64" s="168" t="s">
        <v>35</v>
      </c>
      <c r="D64" s="167" t="s">
        <v>105</v>
      </c>
      <c r="E64" s="168">
        <v>29437985</v>
      </c>
      <c r="F64" s="178" t="s">
        <v>64</v>
      </c>
      <c r="G64" s="170">
        <v>150</v>
      </c>
      <c r="H64" s="170"/>
      <c r="I64" s="171">
        <f t="shared" si="0"/>
        <v>150</v>
      </c>
      <c r="J64" s="150" t="s">
        <v>343</v>
      </c>
      <c r="K64" s="332"/>
      <c r="L64" s="138"/>
      <c r="M64" s="137"/>
    </row>
    <row r="65" spans="2:13">
      <c r="B65" s="172" t="s">
        <v>507</v>
      </c>
      <c r="C65" s="168" t="s">
        <v>35</v>
      </c>
      <c r="D65" s="167" t="s">
        <v>63</v>
      </c>
      <c r="E65" s="168">
        <v>7593</v>
      </c>
      <c r="F65" s="178" t="s">
        <v>64</v>
      </c>
      <c r="G65" s="170">
        <v>242.8</v>
      </c>
      <c r="H65" s="170">
        <v>19.440000000000001</v>
      </c>
      <c r="I65" s="171">
        <f t="shared" si="0"/>
        <v>262.24</v>
      </c>
      <c r="J65" s="150" t="s">
        <v>343</v>
      </c>
      <c r="K65" s="332"/>
      <c r="L65" s="138"/>
      <c r="M65" s="137"/>
    </row>
    <row r="66" spans="2:13">
      <c r="B66" s="172" t="s">
        <v>507</v>
      </c>
      <c r="C66" s="168" t="s">
        <v>35</v>
      </c>
      <c r="D66" s="167" t="s">
        <v>78</v>
      </c>
      <c r="E66" s="168">
        <v>1984</v>
      </c>
      <c r="F66" s="178" t="s">
        <v>64</v>
      </c>
      <c r="G66" s="170">
        <v>182.61</v>
      </c>
      <c r="H66" s="170">
        <v>27.39</v>
      </c>
      <c r="I66" s="171">
        <f t="shared" si="0"/>
        <v>210</v>
      </c>
      <c r="J66" s="150" t="s">
        <v>343</v>
      </c>
      <c r="K66" s="332"/>
      <c r="L66" s="138"/>
      <c r="M66" s="137"/>
    </row>
    <row r="67" spans="2:13">
      <c r="B67" s="172" t="s">
        <v>509</v>
      </c>
      <c r="C67" s="168" t="s">
        <v>35</v>
      </c>
      <c r="D67" s="167" t="s">
        <v>63</v>
      </c>
      <c r="E67" s="168">
        <v>10348</v>
      </c>
      <c r="F67" s="178" t="s">
        <v>64</v>
      </c>
      <c r="G67" s="170">
        <v>320.56</v>
      </c>
      <c r="H67" s="170">
        <v>31.1</v>
      </c>
      <c r="I67" s="171">
        <f t="shared" si="0"/>
        <v>351.66</v>
      </c>
      <c r="J67" s="150" t="s">
        <v>343</v>
      </c>
      <c r="K67" s="332"/>
      <c r="L67" s="138"/>
      <c r="M67" s="137"/>
    </row>
    <row r="68" spans="2:13">
      <c r="B68" s="172" t="s">
        <v>509</v>
      </c>
      <c r="C68" s="168" t="s">
        <v>42</v>
      </c>
      <c r="D68" s="167" t="s">
        <v>503</v>
      </c>
      <c r="E68" s="168"/>
      <c r="F68" s="178" t="s">
        <v>503</v>
      </c>
      <c r="G68" s="170">
        <v>4000</v>
      </c>
      <c r="H68" s="170"/>
      <c r="I68" s="171">
        <f t="shared" si="0"/>
        <v>4000</v>
      </c>
      <c r="J68" s="150" t="s">
        <v>343</v>
      </c>
      <c r="K68" s="332"/>
      <c r="L68" s="138"/>
      <c r="M68" s="137"/>
    </row>
    <row r="69" spans="2:13">
      <c r="B69" s="172" t="s">
        <v>509</v>
      </c>
      <c r="C69" s="168" t="s">
        <v>35</v>
      </c>
      <c r="D69" s="167" t="s">
        <v>105</v>
      </c>
      <c r="E69" s="168">
        <v>29438022</v>
      </c>
      <c r="F69" s="178" t="s">
        <v>64</v>
      </c>
      <c r="G69" s="170">
        <v>170</v>
      </c>
      <c r="H69" s="170"/>
      <c r="I69" s="171">
        <f t="shared" si="0"/>
        <v>170</v>
      </c>
      <c r="J69" s="150" t="s">
        <v>343</v>
      </c>
      <c r="K69" s="332"/>
      <c r="L69" s="138"/>
      <c r="M69" s="137"/>
    </row>
    <row r="70" spans="2:13">
      <c r="B70" s="172" t="s">
        <v>509</v>
      </c>
      <c r="C70" s="168" t="s">
        <v>35</v>
      </c>
      <c r="D70" s="167" t="s">
        <v>212</v>
      </c>
      <c r="E70" s="168">
        <v>191</v>
      </c>
      <c r="F70" s="178" t="s">
        <v>65</v>
      </c>
      <c r="G70" s="170">
        <v>320</v>
      </c>
      <c r="H70" s="170"/>
      <c r="I70" s="171">
        <f t="shared" si="0"/>
        <v>320</v>
      </c>
      <c r="J70" s="444" t="s">
        <v>510</v>
      </c>
      <c r="K70" s="319"/>
      <c r="L70" s="138"/>
      <c r="M70" s="137"/>
    </row>
    <row r="71" spans="2:13">
      <c r="B71" s="567" t="s">
        <v>509</v>
      </c>
      <c r="C71" s="568" t="s">
        <v>35</v>
      </c>
      <c r="D71" s="167" t="s">
        <v>301</v>
      </c>
      <c r="E71" s="168">
        <v>690</v>
      </c>
      <c r="F71" s="569" t="s">
        <v>65</v>
      </c>
      <c r="G71" s="170">
        <v>488.5</v>
      </c>
      <c r="H71" s="170"/>
      <c r="I71" s="171">
        <f t="shared" si="0"/>
        <v>488.5</v>
      </c>
      <c r="J71" s="444" t="s">
        <v>510</v>
      </c>
      <c r="K71" s="319"/>
      <c r="L71" s="138"/>
      <c r="M71" s="137"/>
    </row>
    <row r="72" spans="2:13">
      <c r="B72" s="567" t="s">
        <v>509</v>
      </c>
      <c r="C72" s="568" t="s">
        <v>35</v>
      </c>
      <c r="D72" s="167" t="s">
        <v>370</v>
      </c>
      <c r="E72" s="168">
        <v>80208</v>
      </c>
      <c r="F72" s="569" t="s">
        <v>64</v>
      </c>
      <c r="G72" s="170">
        <v>164.78</v>
      </c>
      <c r="H72" s="170">
        <v>15.12</v>
      </c>
      <c r="I72" s="171">
        <f t="shared" si="0"/>
        <v>179.9</v>
      </c>
      <c r="J72" s="150" t="s">
        <v>343</v>
      </c>
      <c r="K72" s="332"/>
      <c r="L72" s="138"/>
      <c r="M72" s="137"/>
    </row>
    <row r="73" spans="2:13">
      <c r="B73" s="570" t="s">
        <v>511</v>
      </c>
      <c r="C73" s="571" t="s">
        <v>35</v>
      </c>
      <c r="D73" s="167" t="s">
        <v>513</v>
      </c>
      <c r="E73" s="168">
        <v>2817691</v>
      </c>
      <c r="F73" s="572" t="s">
        <v>65</v>
      </c>
      <c r="G73" s="170">
        <v>392</v>
      </c>
      <c r="H73" s="170">
        <v>58.8</v>
      </c>
      <c r="I73" s="171">
        <v>450.8</v>
      </c>
      <c r="J73" s="150" t="s">
        <v>343</v>
      </c>
      <c r="K73" s="138"/>
      <c r="L73" s="138"/>
      <c r="M73" s="137"/>
    </row>
    <row r="74" spans="2:13">
      <c r="B74" s="172" t="s">
        <v>511</v>
      </c>
      <c r="C74" s="168" t="s">
        <v>35</v>
      </c>
      <c r="D74" s="167" t="s">
        <v>63</v>
      </c>
      <c r="E74" s="168">
        <v>11419</v>
      </c>
      <c r="F74" s="178" t="s">
        <v>64</v>
      </c>
      <c r="G74" s="170">
        <v>320.56</v>
      </c>
      <c r="H74" s="170">
        <v>31.1</v>
      </c>
      <c r="I74" s="171">
        <f t="shared" ref="I74:I106" si="1">G74+H74</f>
        <v>351.66</v>
      </c>
      <c r="J74" s="150" t="s">
        <v>343</v>
      </c>
      <c r="K74" s="138"/>
      <c r="L74" s="138"/>
      <c r="M74" s="137"/>
    </row>
    <row r="75" spans="2:13">
      <c r="B75" s="172" t="s">
        <v>511</v>
      </c>
      <c r="C75" s="168" t="s">
        <v>35</v>
      </c>
      <c r="D75" s="167" t="s">
        <v>514</v>
      </c>
      <c r="E75" s="168">
        <v>221854</v>
      </c>
      <c r="F75" s="178" t="s">
        <v>65</v>
      </c>
      <c r="G75" s="170">
        <v>195.44</v>
      </c>
      <c r="H75" s="170"/>
      <c r="I75" s="171">
        <f t="shared" si="1"/>
        <v>195.44</v>
      </c>
      <c r="J75" s="150" t="s">
        <v>343</v>
      </c>
      <c r="K75" s="138"/>
      <c r="L75" s="138"/>
      <c r="M75" s="137"/>
    </row>
    <row r="76" spans="2:13">
      <c r="B76" s="172" t="s">
        <v>511</v>
      </c>
      <c r="C76" s="168" t="s">
        <v>35</v>
      </c>
      <c r="D76" s="167" t="s">
        <v>78</v>
      </c>
      <c r="E76" s="168">
        <v>302004</v>
      </c>
      <c r="F76" s="178" t="s">
        <v>64</v>
      </c>
      <c r="G76" s="170">
        <v>250</v>
      </c>
      <c r="H76" s="170"/>
      <c r="I76" s="171">
        <f t="shared" si="1"/>
        <v>250</v>
      </c>
      <c r="J76" s="150" t="s">
        <v>343</v>
      </c>
      <c r="K76" s="138"/>
      <c r="L76" s="138"/>
      <c r="M76" s="137"/>
    </row>
    <row r="77" spans="2:13">
      <c r="B77" s="132"/>
      <c r="C77" s="133"/>
      <c r="D77" s="134"/>
      <c r="E77" s="133"/>
      <c r="F77" s="135"/>
      <c r="G77" s="136"/>
      <c r="H77" s="136"/>
      <c r="I77" s="105">
        <f t="shared" si="1"/>
        <v>0</v>
      </c>
      <c r="J77" s="150" t="b">
        <v>0</v>
      </c>
      <c r="K77" s="138"/>
      <c r="L77" s="138"/>
      <c r="M77" s="137"/>
    </row>
    <row r="78" spans="2:13">
      <c r="B78" s="132"/>
      <c r="C78" s="133"/>
      <c r="D78" s="134"/>
      <c r="E78" s="133"/>
      <c r="F78" s="135"/>
      <c r="G78" s="136"/>
      <c r="H78" s="136"/>
      <c r="I78" s="105">
        <f t="shared" si="1"/>
        <v>0</v>
      </c>
      <c r="J78" s="150" t="b">
        <v>0</v>
      </c>
      <c r="K78" s="138"/>
      <c r="L78" s="138"/>
      <c r="M78" s="137"/>
    </row>
    <row r="79" spans="2:13">
      <c r="B79" s="132"/>
      <c r="C79" s="133"/>
      <c r="D79" s="134"/>
      <c r="E79" s="133"/>
      <c r="F79" s="135"/>
      <c r="G79" s="136"/>
      <c r="H79" s="136"/>
      <c r="I79" s="105">
        <f t="shared" si="1"/>
        <v>0</v>
      </c>
      <c r="J79" s="150" t="b">
        <v>0</v>
      </c>
      <c r="K79" s="138"/>
      <c r="L79" s="138"/>
      <c r="M79" s="137"/>
    </row>
    <row r="80" spans="2:13">
      <c r="B80" s="132"/>
      <c r="C80" s="133"/>
      <c r="D80" s="134"/>
      <c r="E80" s="133"/>
      <c r="F80" s="135"/>
      <c r="G80" s="136"/>
      <c r="H80" s="136"/>
      <c r="I80" s="105">
        <f t="shared" si="1"/>
        <v>0</v>
      </c>
      <c r="J80" s="150" t="b">
        <v>0</v>
      </c>
      <c r="K80" s="138"/>
      <c r="L80" s="138"/>
      <c r="M80" s="137"/>
    </row>
    <row r="81" spans="2:13">
      <c r="B81" s="132"/>
      <c r="C81" s="133"/>
      <c r="D81" s="134"/>
      <c r="E81" s="133"/>
      <c r="F81" s="135"/>
      <c r="G81" s="136"/>
      <c r="H81" s="136"/>
      <c r="I81" s="105">
        <f t="shared" si="1"/>
        <v>0</v>
      </c>
      <c r="J81" s="150" t="b">
        <v>0</v>
      </c>
      <c r="K81" s="138"/>
      <c r="L81" s="138"/>
      <c r="M81" s="137"/>
    </row>
    <row r="82" spans="2:13">
      <c r="B82" s="132"/>
      <c r="C82" s="133"/>
      <c r="D82" s="134"/>
      <c r="E82" s="133"/>
      <c r="F82" s="135"/>
      <c r="G82" s="136"/>
      <c r="H82" s="136"/>
      <c r="I82" s="105">
        <f t="shared" si="1"/>
        <v>0</v>
      </c>
      <c r="J82" s="150" t="b">
        <v>0</v>
      </c>
      <c r="K82" s="138"/>
      <c r="L82" s="138"/>
      <c r="M82" s="137"/>
    </row>
    <row r="83" spans="2:13">
      <c r="B83" s="132"/>
      <c r="C83" s="133"/>
      <c r="D83" s="134"/>
      <c r="E83" s="133"/>
      <c r="F83" s="135"/>
      <c r="G83" s="136"/>
      <c r="H83" s="136"/>
      <c r="I83" s="105">
        <f t="shared" si="1"/>
        <v>0</v>
      </c>
      <c r="J83" s="150" t="b">
        <v>0</v>
      </c>
      <c r="K83" s="138"/>
      <c r="L83" s="138"/>
      <c r="M83" s="137"/>
    </row>
    <row r="84" spans="2:13">
      <c r="B84" s="132"/>
      <c r="C84" s="133"/>
      <c r="D84" s="134"/>
      <c r="E84" s="133"/>
      <c r="F84" s="135"/>
      <c r="G84" s="136"/>
      <c r="H84" s="136"/>
      <c r="I84" s="105">
        <f t="shared" si="1"/>
        <v>0</v>
      </c>
      <c r="J84" s="150" t="b">
        <v>0</v>
      </c>
      <c r="K84" s="138"/>
      <c r="L84" s="138"/>
      <c r="M84" s="137"/>
    </row>
    <row r="85" spans="2:13">
      <c r="B85" s="132"/>
      <c r="C85" s="133"/>
      <c r="D85" s="134"/>
      <c r="E85" s="133"/>
      <c r="F85" s="135"/>
      <c r="G85" s="136"/>
      <c r="H85" s="136"/>
      <c r="I85" s="105">
        <f t="shared" si="1"/>
        <v>0</v>
      </c>
      <c r="J85" s="150" t="b">
        <v>0</v>
      </c>
      <c r="K85" s="138"/>
      <c r="L85" s="138"/>
      <c r="M85" s="137"/>
    </row>
    <row r="86" spans="2:13">
      <c r="B86" s="132"/>
      <c r="C86" s="133"/>
      <c r="D86" s="134"/>
      <c r="E86" s="133"/>
      <c r="F86" s="135"/>
      <c r="G86" s="136"/>
      <c r="H86" s="136"/>
      <c r="I86" s="105">
        <f t="shared" si="1"/>
        <v>0</v>
      </c>
      <c r="J86" s="150" t="b">
        <v>0</v>
      </c>
      <c r="K86" s="138"/>
      <c r="L86" s="138"/>
      <c r="M86" s="137"/>
    </row>
    <row r="87" spans="2:13">
      <c r="B87" s="132"/>
      <c r="C87" s="133"/>
      <c r="D87" s="134"/>
      <c r="E87" s="133"/>
      <c r="F87" s="135"/>
      <c r="G87" s="136"/>
      <c r="H87" s="136"/>
      <c r="I87" s="105">
        <f t="shared" si="1"/>
        <v>0</v>
      </c>
      <c r="J87" s="150" t="b">
        <v>0</v>
      </c>
      <c r="K87" s="138"/>
      <c r="L87" s="138"/>
      <c r="M87" s="137"/>
    </row>
    <row r="88" spans="2:13">
      <c r="B88" s="132"/>
      <c r="C88" s="133"/>
      <c r="D88" s="134"/>
      <c r="E88" s="133"/>
      <c r="F88" s="135"/>
      <c r="G88" s="136"/>
      <c r="H88" s="136"/>
      <c r="I88" s="105">
        <f t="shared" si="1"/>
        <v>0</v>
      </c>
      <c r="J88" s="150" t="b">
        <v>0</v>
      </c>
      <c r="K88" s="138"/>
      <c r="L88" s="138"/>
      <c r="M88" s="137"/>
    </row>
    <row r="89" spans="2:13">
      <c r="B89" s="132"/>
      <c r="C89" s="133"/>
      <c r="D89" s="134"/>
      <c r="E89" s="133"/>
      <c r="F89" s="135"/>
      <c r="G89" s="136"/>
      <c r="H89" s="136"/>
      <c r="I89" s="105">
        <f t="shared" si="1"/>
        <v>0</v>
      </c>
      <c r="J89" s="150" t="b">
        <v>0</v>
      </c>
      <c r="K89" s="138"/>
      <c r="L89" s="138"/>
      <c r="M89" s="137"/>
    </row>
    <row r="90" spans="2:13">
      <c r="B90" s="132"/>
      <c r="C90" s="133"/>
      <c r="D90" s="134"/>
      <c r="E90" s="133"/>
      <c r="F90" s="135"/>
      <c r="G90" s="136"/>
      <c r="H90" s="136"/>
      <c r="I90" s="105">
        <f t="shared" si="1"/>
        <v>0</v>
      </c>
      <c r="J90" s="150" t="b">
        <v>0</v>
      </c>
      <c r="K90" s="138"/>
      <c r="L90" s="138"/>
      <c r="M90" s="137"/>
    </row>
    <row r="91" spans="2:13">
      <c r="B91" s="132"/>
      <c r="C91" s="133"/>
      <c r="D91" s="134"/>
      <c r="E91" s="133"/>
      <c r="F91" s="135"/>
      <c r="G91" s="136"/>
      <c r="H91" s="136"/>
      <c r="I91" s="105">
        <f t="shared" si="1"/>
        <v>0</v>
      </c>
      <c r="J91" s="150" t="b">
        <v>0</v>
      </c>
      <c r="K91" s="138"/>
      <c r="L91" s="138"/>
      <c r="M91" s="137"/>
    </row>
    <row r="92" spans="2:13">
      <c r="B92" s="132"/>
      <c r="C92" s="133"/>
      <c r="D92" s="134"/>
      <c r="E92" s="133"/>
      <c r="F92" s="135"/>
      <c r="G92" s="136"/>
      <c r="H92" s="136"/>
      <c r="I92" s="105">
        <f t="shared" si="1"/>
        <v>0</v>
      </c>
      <c r="J92" s="150" t="b">
        <v>0</v>
      </c>
      <c r="K92" s="138"/>
      <c r="L92" s="138"/>
      <c r="M92" s="137"/>
    </row>
    <row r="93" spans="2:13">
      <c r="B93" s="132"/>
      <c r="C93" s="133"/>
      <c r="D93" s="134"/>
      <c r="E93" s="133"/>
      <c r="F93" s="135"/>
      <c r="G93" s="136"/>
      <c r="H93" s="136"/>
      <c r="I93" s="105">
        <f t="shared" si="1"/>
        <v>0</v>
      </c>
      <c r="J93" s="150" t="b">
        <v>0</v>
      </c>
      <c r="K93" s="138"/>
      <c r="L93" s="138"/>
      <c r="M93" s="137"/>
    </row>
    <row r="94" spans="2:13">
      <c r="B94" s="132"/>
      <c r="C94" s="133"/>
      <c r="D94" s="134"/>
      <c r="E94" s="133"/>
      <c r="F94" s="135"/>
      <c r="G94" s="136"/>
      <c r="H94" s="136"/>
      <c r="I94" s="105">
        <f t="shared" si="1"/>
        <v>0</v>
      </c>
      <c r="J94" s="150" t="b">
        <v>0</v>
      </c>
      <c r="K94" s="138"/>
      <c r="L94" s="138"/>
      <c r="M94" s="137"/>
    </row>
    <row r="95" spans="2:13">
      <c r="B95" s="132"/>
      <c r="C95" s="133"/>
      <c r="D95" s="134"/>
      <c r="E95" s="133"/>
      <c r="F95" s="135"/>
      <c r="G95" s="136"/>
      <c r="H95" s="136"/>
      <c r="I95" s="105">
        <f t="shared" si="1"/>
        <v>0</v>
      </c>
      <c r="J95" s="150" t="b">
        <v>0</v>
      </c>
      <c r="K95" s="138"/>
      <c r="L95" s="138"/>
      <c r="M95" s="137"/>
    </row>
    <row r="96" spans="2:13">
      <c r="B96" s="132"/>
      <c r="C96" s="133"/>
      <c r="D96" s="134"/>
      <c r="E96" s="133"/>
      <c r="F96" s="135"/>
      <c r="G96" s="136"/>
      <c r="H96" s="136"/>
      <c r="I96" s="105">
        <f t="shared" si="1"/>
        <v>0</v>
      </c>
      <c r="J96" s="150" t="b">
        <v>0</v>
      </c>
      <c r="K96" s="138"/>
      <c r="L96" s="138"/>
      <c r="M96" s="137"/>
    </row>
    <row r="97" spans="2:13">
      <c r="B97" s="132"/>
      <c r="C97" s="133"/>
      <c r="D97" s="134"/>
      <c r="E97" s="133"/>
      <c r="F97" s="135"/>
      <c r="G97" s="136"/>
      <c r="H97" s="136"/>
      <c r="I97" s="105">
        <f t="shared" si="1"/>
        <v>0</v>
      </c>
      <c r="J97" s="150" t="b">
        <v>0</v>
      </c>
      <c r="K97" s="138"/>
      <c r="L97" s="138"/>
      <c r="M97" s="137"/>
    </row>
    <row r="98" spans="2:13">
      <c r="B98" s="132"/>
      <c r="C98" s="133"/>
      <c r="D98" s="134"/>
      <c r="E98" s="133"/>
      <c r="F98" s="135"/>
      <c r="G98" s="136"/>
      <c r="H98" s="136"/>
      <c r="I98" s="105">
        <f t="shared" si="1"/>
        <v>0</v>
      </c>
      <c r="J98" s="150" t="b">
        <v>0</v>
      </c>
      <c r="K98" s="138"/>
      <c r="L98" s="138"/>
      <c r="M98" s="137"/>
    </row>
    <row r="99" spans="2:13">
      <c r="B99" s="132"/>
      <c r="C99" s="133"/>
      <c r="D99" s="134"/>
      <c r="E99" s="133"/>
      <c r="F99" s="135"/>
      <c r="G99" s="136"/>
      <c r="H99" s="136"/>
      <c r="I99" s="105">
        <f t="shared" si="1"/>
        <v>0</v>
      </c>
      <c r="J99" s="150" t="b">
        <v>0</v>
      </c>
      <c r="K99" s="138"/>
      <c r="L99" s="138"/>
      <c r="M99" s="137"/>
    </row>
    <row r="100" spans="2:13">
      <c r="B100" s="132"/>
      <c r="C100" s="133"/>
      <c r="D100" s="134"/>
      <c r="E100" s="133"/>
      <c r="F100" s="135"/>
      <c r="G100" s="136"/>
      <c r="H100" s="136"/>
      <c r="I100" s="105">
        <f t="shared" si="1"/>
        <v>0</v>
      </c>
      <c r="J100" s="150" t="b">
        <v>0</v>
      </c>
      <c r="K100" s="138"/>
      <c r="L100" s="138"/>
      <c r="M100" s="137"/>
    </row>
    <row r="101" spans="2:13">
      <c r="B101" s="132"/>
      <c r="C101" s="133"/>
      <c r="D101" s="134"/>
      <c r="E101" s="133"/>
      <c r="F101" s="135"/>
      <c r="G101" s="136"/>
      <c r="H101" s="136"/>
      <c r="I101" s="105">
        <f t="shared" si="1"/>
        <v>0</v>
      </c>
      <c r="J101" s="150" t="b">
        <v>0</v>
      </c>
      <c r="K101" s="138"/>
      <c r="L101" s="138"/>
      <c r="M101" s="137"/>
    </row>
    <row r="102" spans="2:13">
      <c r="B102" s="132"/>
      <c r="C102" s="133"/>
      <c r="D102" s="134"/>
      <c r="E102" s="133"/>
      <c r="F102" s="135"/>
      <c r="G102" s="136"/>
      <c r="H102" s="136"/>
      <c r="I102" s="105">
        <f t="shared" si="1"/>
        <v>0</v>
      </c>
      <c r="J102" s="150" t="b">
        <v>0</v>
      </c>
      <c r="K102" s="138"/>
      <c r="L102" s="138"/>
      <c r="M102" s="137"/>
    </row>
    <row r="103" spans="2:13">
      <c r="B103" s="132"/>
      <c r="C103" s="133"/>
      <c r="D103" s="134"/>
      <c r="E103" s="133"/>
      <c r="F103" s="135"/>
      <c r="G103" s="136"/>
      <c r="H103" s="136"/>
      <c r="I103" s="105">
        <f t="shared" si="1"/>
        <v>0</v>
      </c>
      <c r="J103" s="150" t="b">
        <v>0</v>
      </c>
      <c r="K103" s="138"/>
      <c r="L103" s="138"/>
      <c r="M103" s="137"/>
    </row>
    <row r="104" spans="2:13">
      <c r="B104" s="132"/>
      <c r="C104" s="133"/>
      <c r="D104" s="134"/>
      <c r="E104" s="133"/>
      <c r="F104" s="135"/>
      <c r="G104" s="136"/>
      <c r="H104" s="136"/>
      <c r="I104" s="105">
        <f t="shared" si="1"/>
        <v>0</v>
      </c>
      <c r="J104" s="150" t="b">
        <v>0</v>
      </c>
      <c r="K104" s="138"/>
      <c r="L104" s="138"/>
      <c r="M104" s="137"/>
    </row>
    <row r="105" spans="2:13">
      <c r="B105" s="132"/>
      <c r="C105" s="133"/>
      <c r="D105" s="134"/>
      <c r="E105" s="133"/>
      <c r="F105" s="135"/>
      <c r="G105" s="136"/>
      <c r="H105" s="136"/>
      <c r="I105" s="105">
        <f t="shared" si="1"/>
        <v>0</v>
      </c>
      <c r="J105" s="150" t="b">
        <v>0</v>
      </c>
      <c r="K105" s="138"/>
      <c r="L105" s="138"/>
      <c r="M105" s="137"/>
    </row>
    <row r="106" spans="2:13">
      <c r="B106" s="132"/>
      <c r="C106" s="133"/>
      <c r="D106" s="134"/>
      <c r="E106" s="133"/>
      <c r="F106" s="135"/>
      <c r="G106" s="136"/>
      <c r="H106" s="136"/>
      <c r="I106" s="105">
        <f t="shared" si="1"/>
        <v>0</v>
      </c>
      <c r="J106" s="150" t="b">
        <v>0</v>
      </c>
      <c r="K106" s="138"/>
      <c r="L106" s="138"/>
      <c r="M106" s="137"/>
    </row>
    <row r="107" spans="2:13">
      <c r="B107" s="132"/>
      <c r="C107" s="133"/>
      <c r="D107" s="134"/>
      <c r="E107" s="133"/>
      <c r="F107" s="135"/>
      <c r="G107" s="136"/>
      <c r="H107" s="136"/>
      <c r="I107" s="105">
        <f t="shared" ref="I107:I121" si="2">G107+H107</f>
        <v>0</v>
      </c>
      <c r="J107" s="150" t="b">
        <v>0</v>
      </c>
      <c r="K107" s="138"/>
      <c r="L107" s="138"/>
      <c r="M107" s="137"/>
    </row>
    <row r="108" spans="2:13">
      <c r="B108" s="132"/>
      <c r="C108" s="133"/>
      <c r="D108" s="134"/>
      <c r="E108" s="133"/>
      <c r="F108" s="135"/>
      <c r="G108" s="136"/>
      <c r="H108" s="136"/>
      <c r="I108" s="105">
        <f t="shared" si="2"/>
        <v>0</v>
      </c>
      <c r="J108" s="150" t="b">
        <v>0</v>
      </c>
      <c r="K108" s="138"/>
      <c r="L108" s="138"/>
      <c r="M108" s="137"/>
    </row>
    <row r="109" spans="2:13">
      <c r="B109" s="132"/>
      <c r="C109" s="133"/>
      <c r="D109" s="134"/>
      <c r="E109" s="133"/>
      <c r="F109" s="135"/>
      <c r="G109" s="136"/>
      <c r="H109" s="136"/>
      <c r="I109" s="105">
        <f t="shared" si="2"/>
        <v>0</v>
      </c>
      <c r="J109" s="150" t="b">
        <v>0</v>
      </c>
      <c r="K109" s="138"/>
      <c r="L109" s="138"/>
      <c r="M109" s="137"/>
    </row>
    <row r="110" spans="2:13">
      <c r="B110" s="132"/>
      <c r="C110" s="133"/>
      <c r="D110" s="134"/>
      <c r="E110" s="133"/>
      <c r="F110" s="135"/>
      <c r="G110" s="136"/>
      <c r="H110" s="136"/>
      <c r="I110" s="105">
        <f t="shared" si="2"/>
        <v>0</v>
      </c>
      <c r="J110" s="150" t="b">
        <v>0</v>
      </c>
      <c r="K110" s="138"/>
      <c r="L110" s="138"/>
      <c r="M110" s="137"/>
    </row>
    <row r="111" spans="2:13">
      <c r="B111" s="132"/>
      <c r="C111" s="133"/>
      <c r="D111" s="134"/>
      <c r="E111" s="133"/>
      <c r="F111" s="135"/>
      <c r="G111" s="136"/>
      <c r="H111" s="136"/>
      <c r="I111" s="105">
        <f t="shared" si="2"/>
        <v>0</v>
      </c>
      <c r="J111" s="150" t="b">
        <v>0</v>
      </c>
      <c r="K111" s="138"/>
      <c r="L111" s="138"/>
      <c r="M111" s="137"/>
    </row>
    <row r="112" spans="2:13">
      <c r="B112" s="132"/>
      <c r="C112" s="133"/>
      <c r="D112" s="134"/>
      <c r="E112" s="133"/>
      <c r="F112" s="135"/>
      <c r="G112" s="136"/>
      <c r="H112" s="136"/>
      <c r="I112" s="105">
        <f t="shared" si="2"/>
        <v>0</v>
      </c>
      <c r="J112" s="150" t="b">
        <v>0</v>
      </c>
      <c r="K112" s="138"/>
      <c r="L112" s="138"/>
      <c r="M112" s="137"/>
    </row>
    <row r="113" spans="2:13">
      <c r="B113" s="132"/>
      <c r="C113" s="133"/>
      <c r="D113" s="134"/>
      <c r="E113" s="133"/>
      <c r="F113" s="135"/>
      <c r="G113" s="136"/>
      <c r="H113" s="136"/>
      <c r="I113" s="105">
        <f t="shared" si="2"/>
        <v>0</v>
      </c>
      <c r="J113" s="150" t="b">
        <v>0</v>
      </c>
      <c r="K113" s="138"/>
      <c r="L113" s="138"/>
      <c r="M113" s="137"/>
    </row>
    <row r="114" spans="2:13">
      <c r="B114" s="132"/>
      <c r="C114" s="133"/>
      <c r="D114" s="134"/>
      <c r="E114" s="133"/>
      <c r="F114" s="135"/>
      <c r="G114" s="136"/>
      <c r="H114" s="136"/>
      <c r="I114" s="105">
        <f t="shared" si="2"/>
        <v>0</v>
      </c>
      <c r="J114" s="150" t="b">
        <v>0</v>
      </c>
      <c r="K114" s="138"/>
      <c r="L114" s="138"/>
      <c r="M114" s="137"/>
    </row>
    <row r="115" spans="2:13">
      <c r="B115" s="132"/>
      <c r="C115" s="133"/>
      <c r="D115" s="134"/>
      <c r="E115" s="133"/>
      <c r="F115" s="135"/>
      <c r="G115" s="136"/>
      <c r="H115" s="136"/>
      <c r="I115" s="105">
        <f t="shared" si="2"/>
        <v>0</v>
      </c>
      <c r="J115" s="150" t="b">
        <v>0</v>
      </c>
      <c r="K115" s="138"/>
      <c r="L115" s="138"/>
      <c r="M115" s="137"/>
    </row>
    <row r="116" spans="2:13">
      <c r="B116" s="132"/>
      <c r="C116" s="133"/>
      <c r="D116" s="134"/>
      <c r="E116" s="133"/>
      <c r="F116" s="135"/>
      <c r="G116" s="136"/>
      <c r="H116" s="136"/>
      <c r="I116" s="105">
        <f t="shared" si="2"/>
        <v>0</v>
      </c>
      <c r="J116" s="150" t="b">
        <v>0</v>
      </c>
      <c r="K116" s="138"/>
      <c r="L116" s="138"/>
      <c r="M116" s="137"/>
    </row>
    <row r="117" spans="2:13">
      <c r="B117" s="132"/>
      <c r="C117" s="133"/>
      <c r="D117" s="134"/>
      <c r="E117" s="133"/>
      <c r="F117" s="135"/>
      <c r="G117" s="136"/>
      <c r="H117" s="136"/>
      <c r="I117" s="105">
        <f t="shared" si="2"/>
        <v>0</v>
      </c>
      <c r="J117" s="150" t="b">
        <v>0</v>
      </c>
      <c r="K117" s="138"/>
      <c r="L117" s="138"/>
      <c r="M117" s="137"/>
    </row>
    <row r="118" spans="2:13">
      <c r="B118" s="132"/>
      <c r="C118" s="133"/>
      <c r="D118" s="134"/>
      <c r="E118" s="133"/>
      <c r="F118" s="135"/>
      <c r="G118" s="136"/>
      <c r="H118" s="136"/>
      <c r="I118" s="105">
        <f t="shared" si="2"/>
        <v>0</v>
      </c>
      <c r="J118" s="150" t="b">
        <v>0</v>
      </c>
      <c r="K118" s="138"/>
      <c r="L118" s="138"/>
      <c r="M118" s="137"/>
    </row>
    <row r="119" spans="2:13">
      <c r="B119" s="132"/>
      <c r="C119" s="133"/>
      <c r="D119" s="134"/>
      <c r="E119" s="133"/>
      <c r="F119" s="135"/>
      <c r="G119" s="136"/>
      <c r="H119" s="136"/>
      <c r="I119" s="105">
        <f t="shared" si="2"/>
        <v>0</v>
      </c>
      <c r="J119" s="150" t="b">
        <v>0</v>
      </c>
      <c r="K119" s="138"/>
      <c r="L119" s="138"/>
      <c r="M119" s="137"/>
    </row>
    <row r="120" spans="2:13">
      <c r="B120" s="132"/>
      <c r="C120" s="133"/>
      <c r="D120" s="134"/>
      <c r="E120" s="133"/>
      <c r="F120" s="135"/>
      <c r="G120" s="136"/>
      <c r="H120" s="136"/>
      <c r="I120" s="105">
        <f t="shared" si="2"/>
        <v>0</v>
      </c>
      <c r="J120" s="150" t="b">
        <v>0</v>
      </c>
      <c r="K120" s="138"/>
      <c r="L120" s="138"/>
      <c r="M120" s="137"/>
    </row>
    <row r="121" spans="2:13" ht="15.75" thickBot="1">
      <c r="B121" s="143"/>
      <c r="C121" s="509"/>
      <c r="D121" s="510"/>
      <c r="E121" s="509"/>
      <c r="F121" s="511"/>
      <c r="G121" s="512"/>
      <c r="H121" s="512"/>
      <c r="I121" s="513">
        <f t="shared" si="2"/>
        <v>0</v>
      </c>
      <c r="J121" s="150" t="b">
        <v>0</v>
      </c>
      <c r="K121" s="138"/>
      <c r="L121" s="138"/>
      <c r="M121" s="137"/>
    </row>
    <row r="122" spans="2:13" ht="15.75" thickBot="1">
      <c r="B122" s="139"/>
      <c r="G122" s="508">
        <f>SUM(G12:G116)</f>
        <v>56695.380000000005</v>
      </c>
      <c r="H122" s="508">
        <f>SUM(H12:H116)</f>
        <v>2334.5499999999993</v>
      </c>
      <c r="I122" s="508">
        <f>SUM(I12:I114)</f>
        <v>60525.430000000037</v>
      </c>
      <c r="J122" s="142"/>
      <c r="K122" s="138"/>
      <c r="L122" s="138"/>
    </row>
    <row r="123" spans="2:13" ht="16.5" thickTop="1" thickBot="1">
      <c r="B123" s="143"/>
      <c r="C123" s="144"/>
      <c r="D123" s="145"/>
      <c r="E123" s="144"/>
      <c r="F123" s="144"/>
      <c r="G123" s="146"/>
      <c r="H123" s="146"/>
      <c r="I123" s="147"/>
      <c r="L123" s="138"/>
    </row>
    <row r="124" spans="2:13">
      <c r="L124" s="138"/>
    </row>
    <row r="125" spans="2:13">
      <c r="L125" s="138"/>
    </row>
  </sheetData>
  <autoFilter ref="B7:N7" xr:uid="{E6A599B9-0556-400F-B86F-028119EDD23C}"/>
  <mergeCells count="3">
    <mergeCell ref="B1:I1"/>
    <mergeCell ref="B3:I3"/>
    <mergeCell ref="C5:E5"/>
  </mergeCells>
  <phoneticPr fontId="137" type="noConversion"/>
  <conditionalFormatting sqref="J1:J1048576">
    <cfRule type="containsText" dxfId="13" priority="1" operator="containsText" text="FALSE">
      <formula>NOT(ISERROR(SEARCH("FALSE",J1)))</formula>
    </cfRule>
    <cfRule type="containsText" dxfId="12" priority="2" operator="containsText" text="TRUE">
      <formula>NOT(ISERROR(SEARCH("TRUE",J1)))</formula>
    </cfRule>
  </conditionalFormatting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08B75-4B8D-486B-BB9F-5126F6BA1A9D}">
  <sheetPr filterMode="1"/>
  <dimension ref="B1:N101"/>
  <sheetViews>
    <sheetView workbookViewId="0">
      <selection activeCell="B47" sqref="B47:I47"/>
    </sheetView>
  </sheetViews>
  <sheetFormatPr defaultColWidth="8.5703125" defaultRowHeight="15"/>
  <cols>
    <col min="1" max="1" width="3.140625" style="107" customWidth="1"/>
    <col min="2" max="2" width="29.5703125" style="148" customWidth="1"/>
    <col min="3" max="3" width="14.42578125" style="107" customWidth="1"/>
    <col min="4" max="4" width="38.42578125" style="140" bestFit="1" customWidth="1"/>
    <col min="5" max="5" width="20.42578125" style="107" customWidth="1"/>
    <col min="6" max="6" width="17.140625" style="107" customWidth="1"/>
    <col min="7" max="8" width="15.42578125" style="149" customWidth="1"/>
    <col min="9" max="9" width="17" style="149" customWidth="1"/>
    <col min="10" max="10" width="15.42578125" style="121" customWidth="1"/>
    <col min="11" max="11" width="41.140625" style="107" customWidth="1"/>
    <col min="12" max="12" width="12.85546875" style="107" bestFit="1" customWidth="1"/>
    <col min="13" max="13" width="28.140625" style="107" customWidth="1"/>
    <col min="14" max="14" width="48.42578125" style="107" customWidth="1"/>
    <col min="15" max="15" width="9.85546875" style="107" customWidth="1"/>
    <col min="16" max="16384" width="8.5703125" style="107"/>
  </cols>
  <sheetData>
    <row r="1" spans="2:13" ht="9" customHeight="1" thickBot="1">
      <c r="B1" s="772"/>
      <c r="C1" s="772"/>
      <c r="D1" s="772"/>
      <c r="E1" s="772"/>
      <c r="F1" s="772"/>
      <c r="G1" s="772"/>
      <c r="H1" s="772"/>
      <c r="I1" s="772"/>
      <c r="J1" s="106"/>
    </row>
    <row r="2" spans="2:13" ht="9" customHeight="1">
      <c r="B2" s="108"/>
      <c r="C2" s="109"/>
      <c r="D2" s="110"/>
      <c r="E2" s="109"/>
      <c r="F2" s="109"/>
      <c r="G2" s="111"/>
      <c r="H2" s="111"/>
      <c r="I2" s="112"/>
      <c r="J2" s="113"/>
    </row>
    <row r="3" spans="2:13">
      <c r="B3" s="773" t="s">
        <v>70</v>
      </c>
      <c r="C3" s="774"/>
      <c r="D3" s="774"/>
      <c r="E3" s="774"/>
      <c r="F3" s="774"/>
      <c r="G3" s="774"/>
      <c r="H3" s="774"/>
      <c r="I3" s="775"/>
      <c r="J3" s="114"/>
    </row>
    <row r="4" spans="2:13">
      <c r="B4" s="115"/>
      <c r="C4" s="106"/>
      <c r="D4" s="116"/>
      <c r="E4" s="106"/>
      <c r="F4" s="106"/>
      <c r="G4" s="117"/>
      <c r="H4" s="117"/>
      <c r="I4" s="118"/>
      <c r="J4" s="113"/>
    </row>
    <row r="5" spans="2:13">
      <c r="B5" s="115" t="s">
        <v>0</v>
      </c>
      <c r="C5" s="776">
        <v>46113</v>
      </c>
      <c r="D5" s="777"/>
      <c r="E5" s="777"/>
      <c r="G5" s="119"/>
      <c r="H5" s="119"/>
      <c r="I5" s="120"/>
    </row>
    <row r="6" spans="2:13">
      <c r="B6" s="122" t="s">
        <v>1</v>
      </c>
      <c r="C6" s="123" t="s">
        <v>2</v>
      </c>
      <c r="D6" s="124" t="s">
        <v>3</v>
      </c>
      <c r="E6" s="125" t="s">
        <v>4</v>
      </c>
      <c r="F6" s="124" t="s">
        <v>5</v>
      </c>
      <c r="G6" s="126" t="s">
        <v>6</v>
      </c>
      <c r="H6" s="126" t="s">
        <v>7</v>
      </c>
      <c r="I6" s="127" t="s">
        <v>8</v>
      </c>
      <c r="J6" s="128" t="s">
        <v>9</v>
      </c>
      <c r="K6" s="620" t="s">
        <v>33</v>
      </c>
      <c r="L6" s="129"/>
      <c r="M6" s="129"/>
    </row>
    <row r="7" spans="2:13" hidden="1">
      <c r="B7" s="575" t="s">
        <v>515</v>
      </c>
      <c r="C7" s="576" t="s">
        <v>35</v>
      </c>
      <c r="D7" s="167" t="s">
        <v>516</v>
      </c>
      <c r="E7" s="168">
        <v>232454</v>
      </c>
      <c r="F7" s="617" t="s">
        <v>65</v>
      </c>
      <c r="G7" s="170">
        <v>874.56</v>
      </c>
      <c r="H7" s="170">
        <v>131.19999999999999</v>
      </c>
      <c r="I7" s="171">
        <v>1005.76</v>
      </c>
      <c r="J7" s="489" t="s">
        <v>9</v>
      </c>
      <c r="K7" s="475" t="s">
        <v>559</v>
      </c>
      <c r="L7" s="474"/>
      <c r="M7" s="138"/>
    </row>
    <row r="8" spans="2:13" s="137" customFormat="1" hidden="1">
      <c r="B8" s="174" t="s">
        <v>518</v>
      </c>
      <c r="C8" s="167" t="s">
        <v>35</v>
      </c>
      <c r="D8" s="167" t="s">
        <v>129</v>
      </c>
      <c r="E8" s="167">
        <v>597461</v>
      </c>
      <c r="F8" s="175" t="s">
        <v>64</v>
      </c>
      <c r="G8" s="176">
        <v>7606.3</v>
      </c>
      <c r="H8" s="176">
        <v>110.99</v>
      </c>
      <c r="I8" s="171">
        <v>8747.2900000000009</v>
      </c>
      <c r="J8" s="475" t="s">
        <v>9</v>
      </c>
      <c r="K8" s="475" t="s">
        <v>559</v>
      </c>
      <c r="L8" s="474"/>
      <c r="M8" s="138"/>
    </row>
    <row r="9" spans="2:13" hidden="1">
      <c r="B9" s="611" t="s">
        <v>518</v>
      </c>
      <c r="C9" s="608" t="s">
        <v>35</v>
      </c>
      <c r="D9" s="167" t="s">
        <v>236</v>
      </c>
      <c r="E9" s="168">
        <v>2913277</v>
      </c>
      <c r="F9" s="612" t="s">
        <v>64</v>
      </c>
      <c r="G9" s="170">
        <v>5291.63</v>
      </c>
      <c r="H9" s="170">
        <v>793.77</v>
      </c>
      <c r="I9" s="171">
        <v>6085.4</v>
      </c>
      <c r="J9" s="475" t="s">
        <v>61</v>
      </c>
      <c r="K9" s="444" t="s">
        <v>559</v>
      </c>
      <c r="L9" s="138"/>
      <c r="M9" s="137"/>
    </row>
    <row r="10" spans="2:13" hidden="1">
      <c r="B10" s="611" t="s">
        <v>518</v>
      </c>
      <c r="C10" s="608" t="s">
        <v>35</v>
      </c>
      <c r="D10" s="167" t="s">
        <v>236</v>
      </c>
      <c r="E10" s="168">
        <v>2913281</v>
      </c>
      <c r="F10" s="612" t="s">
        <v>64</v>
      </c>
      <c r="G10" s="170">
        <v>7619.25</v>
      </c>
      <c r="H10" s="170">
        <v>1142.9000000000001</v>
      </c>
      <c r="I10" s="171">
        <v>8762.15</v>
      </c>
      <c r="J10" s="475" t="s">
        <v>61</v>
      </c>
      <c r="K10" s="444" t="s">
        <v>559</v>
      </c>
      <c r="L10" s="138"/>
      <c r="M10" s="137"/>
    </row>
    <row r="11" spans="2:13" hidden="1">
      <c r="B11" s="611" t="s">
        <v>518</v>
      </c>
      <c r="C11" s="608" t="s">
        <v>35</v>
      </c>
      <c r="D11" s="167" t="s">
        <v>236</v>
      </c>
      <c r="E11" s="168">
        <v>2913308</v>
      </c>
      <c r="F11" s="612" t="s">
        <v>65</v>
      </c>
      <c r="G11" s="170">
        <v>3332.28</v>
      </c>
      <c r="H11" s="170">
        <v>499.84</v>
      </c>
      <c r="I11" s="171">
        <v>3832.12</v>
      </c>
      <c r="J11" s="475" t="s">
        <v>61</v>
      </c>
      <c r="K11" s="444" t="s">
        <v>559</v>
      </c>
      <c r="L11" s="138"/>
      <c r="M11" s="137"/>
    </row>
    <row r="12" spans="2:13" hidden="1">
      <c r="B12" s="263" t="s">
        <v>515</v>
      </c>
      <c r="C12" s="264" t="s">
        <v>35</v>
      </c>
      <c r="D12" s="265" t="s">
        <v>294</v>
      </c>
      <c r="E12" s="266">
        <v>40790</v>
      </c>
      <c r="F12" s="265" t="s">
        <v>65</v>
      </c>
      <c r="G12" s="267">
        <v>1045</v>
      </c>
      <c r="H12" s="267">
        <v>156.75</v>
      </c>
      <c r="I12" s="438">
        <v>1201.75</v>
      </c>
      <c r="J12" s="475" t="s">
        <v>9</v>
      </c>
      <c r="K12" s="475" t="s">
        <v>559</v>
      </c>
      <c r="L12" s="138"/>
      <c r="M12" s="137"/>
    </row>
    <row r="13" spans="2:13" s="138" customFormat="1" hidden="1">
      <c r="B13" s="174" t="s">
        <v>518</v>
      </c>
      <c r="C13" s="167" t="s">
        <v>35</v>
      </c>
      <c r="D13" s="167" t="s">
        <v>152</v>
      </c>
      <c r="E13" s="167" t="s">
        <v>523</v>
      </c>
      <c r="F13" s="175" t="s">
        <v>64</v>
      </c>
      <c r="G13" s="176">
        <f>2162.79+3720.35</f>
        <v>5883.1399999999994</v>
      </c>
      <c r="H13" s="176">
        <f>324.42+558.05</f>
        <v>882.47</v>
      </c>
      <c r="I13" s="171">
        <f>2487.21+4278.4</f>
        <v>6765.61</v>
      </c>
      <c r="J13" s="475" t="s">
        <v>9</v>
      </c>
      <c r="K13" s="319" t="s">
        <v>517</v>
      </c>
    </row>
    <row r="14" spans="2:13" s="138" customFormat="1" hidden="1">
      <c r="B14" s="174" t="s">
        <v>518</v>
      </c>
      <c r="C14" s="167" t="s">
        <v>35</v>
      </c>
      <c r="D14" s="167" t="s">
        <v>130</v>
      </c>
      <c r="E14" s="167">
        <v>804032715</v>
      </c>
      <c r="F14" s="175" t="s">
        <v>77</v>
      </c>
      <c r="G14" s="176">
        <v>389039.31</v>
      </c>
      <c r="H14" s="176"/>
      <c r="I14" s="171">
        <v>389039.31</v>
      </c>
      <c r="J14" s="475" t="s">
        <v>9</v>
      </c>
      <c r="K14" s="319" t="s">
        <v>536</v>
      </c>
    </row>
    <row r="15" spans="2:13" s="138" customFormat="1" hidden="1">
      <c r="B15" s="587" t="s">
        <v>527</v>
      </c>
      <c r="C15" s="588" t="s">
        <v>35</v>
      </c>
      <c r="D15" s="588" t="s">
        <v>526</v>
      </c>
      <c r="E15" s="282">
        <v>86081</v>
      </c>
      <c r="F15" s="613" t="s">
        <v>64</v>
      </c>
      <c r="G15" s="284">
        <v>363.6</v>
      </c>
      <c r="H15" s="284">
        <v>54.56</v>
      </c>
      <c r="I15" s="285">
        <v>418.16</v>
      </c>
      <c r="J15" s="475" t="s">
        <v>9</v>
      </c>
      <c r="K15" s="319" t="s">
        <v>559</v>
      </c>
    </row>
    <row r="16" spans="2:13" hidden="1">
      <c r="B16" s="587" t="s">
        <v>527</v>
      </c>
      <c r="C16" s="588" t="s">
        <v>35</v>
      </c>
      <c r="D16" s="167" t="s">
        <v>526</v>
      </c>
      <c r="E16" s="168">
        <v>86096</v>
      </c>
      <c r="F16" s="613" t="s">
        <v>64</v>
      </c>
      <c r="G16" s="170">
        <v>2956.55</v>
      </c>
      <c r="H16" s="170">
        <v>443.48</v>
      </c>
      <c r="I16" s="171">
        <v>3400.03</v>
      </c>
      <c r="J16" s="475" t="s">
        <v>9</v>
      </c>
      <c r="K16" s="507" t="s">
        <v>559</v>
      </c>
      <c r="L16" s="138"/>
      <c r="M16" s="137"/>
    </row>
    <row r="17" spans="2:13" s="138" customFormat="1" hidden="1">
      <c r="B17" s="472" t="s">
        <v>527</v>
      </c>
      <c r="C17" s="167" t="s">
        <v>35</v>
      </c>
      <c r="D17" s="167" t="s">
        <v>246</v>
      </c>
      <c r="E17" s="167">
        <v>171041</v>
      </c>
      <c r="F17" s="175" t="s">
        <v>65</v>
      </c>
      <c r="G17" s="176">
        <v>1588.35</v>
      </c>
      <c r="H17" s="176">
        <v>238.26</v>
      </c>
      <c r="I17" s="171">
        <v>1826.61</v>
      </c>
      <c r="J17" s="475" t="s">
        <v>9</v>
      </c>
      <c r="K17" s="444" t="s">
        <v>559</v>
      </c>
    </row>
    <row r="18" spans="2:13" s="138" customFormat="1" hidden="1">
      <c r="B18" s="174" t="s">
        <v>527</v>
      </c>
      <c r="C18" s="167" t="s">
        <v>35</v>
      </c>
      <c r="D18" s="167" t="s">
        <v>171</v>
      </c>
      <c r="E18" s="167">
        <v>1013</v>
      </c>
      <c r="F18" s="175" t="s">
        <v>65</v>
      </c>
      <c r="G18" s="176">
        <v>2340.15</v>
      </c>
      <c r="H18" s="176">
        <v>351.03</v>
      </c>
      <c r="I18" s="171">
        <v>2691.18</v>
      </c>
      <c r="J18" s="475" t="s">
        <v>9</v>
      </c>
      <c r="K18" s="444" t="s">
        <v>559</v>
      </c>
    </row>
    <row r="19" spans="2:13" hidden="1">
      <c r="B19" s="587" t="s">
        <v>527</v>
      </c>
      <c r="C19" s="588" t="s">
        <v>35</v>
      </c>
      <c r="D19" s="167" t="s">
        <v>236</v>
      </c>
      <c r="E19" s="168">
        <v>2913287</v>
      </c>
      <c r="F19" s="613" t="s">
        <v>65</v>
      </c>
      <c r="G19" s="170">
        <v>234.05</v>
      </c>
      <c r="H19" s="170">
        <v>35.11</v>
      </c>
      <c r="I19" s="171">
        <v>269.16000000000003</v>
      </c>
      <c r="J19" s="475" t="s">
        <v>61</v>
      </c>
      <c r="K19" s="444" t="s">
        <v>559</v>
      </c>
      <c r="L19" s="138"/>
      <c r="M19" s="137"/>
    </row>
    <row r="20" spans="2:13" s="138" customFormat="1" hidden="1">
      <c r="B20" s="174" t="s">
        <v>527</v>
      </c>
      <c r="C20" s="167" t="s">
        <v>35</v>
      </c>
      <c r="D20" s="167" t="s">
        <v>428</v>
      </c>
      <c r="E20" s="167">
        <v>1783130</v>
      </c>
      <c r="F20" s="175" t="s">
        <v>65</v>
      </c>
      <c r="G20" s="176">
        <v>1725.23</v>
      </c>
      <c r="H20" s="176">
        <v>225.03</v>
      </c>
      <c r="I20" s="171">
        <v>1725.23</v>
      </c>
      <c r="J20" s="475" t="s">
        <v>9</v>
      </c>
      <c r="K20" s="444" t="s">
        <v>559</v>
      </c>
    </row>
    <row r="21" spans="2:13" s="138" customFormat="1" hidden="1">
      <c r="B21" s="174" t="s">
        <v>528</v>
      </c>
      <c r="C21" s="167" t="s">
        <v>35</v>
      </c>
      <c r="D21" s="167" t="s">
        <v>120</v>
      </c>
      <c r="E21" s="167">
        <v>96261044</v>
      </c>
      <c r="F21" s="175" t="s">
        <v>64</v>
      </c>
      <c r="G21" s="176">
        <v>10247.799999999999</v>
      </c>
      <c r="H21" s="176">
        <v>1537.17</v>
      </c>
      <c r="I21" s="171">
        <v>11784.97</v>
      </c>
      <c r="J21" s="475" t="s">
        <v>61</v>
      </c>
      <c r="K21" s="444" t="s">
        <v>529</v>
      </c>
    </row>
    <row r="22" spans="2:13" hidden="1">
      <c r="B22" s="587" t="s">
        <v>527</v>
      </c>
      <c r="C22" s="588" t="s">
        <v>35</v>
      </c>
      <c r="D22" s="167" t="s">
        <v>236</v>
      </c>
      <c r="E22" s="168">
        <v>2915910</v>
      </c>
      <c r="F22" s="613" t="s">
        <v>64</v>
      </c>
      <c r="G22" s="170">
        <v>463.64</v>
      </c>
      <c r="H22" s="170">
        <v>69.55</v>
      </c>
      <c r="I22" s="171">
        <v>533.19000000000005</v>
      </c>
      <c r="J22" s="475" t="s">
        <v>61</v>
      </c>
      <c r="K22" s="444" t="s">
        <v>559</v>
      </c>
      <c r="L22" s="138"/>
      <c r="M22" s="137"/>
    </row>
    <row r="23" spans="2:13" s="138" customFormat="1" hidden="1">
      <c r="B23" s="174" t="s">
        <v>527</v>
      </c>
      <c r="C23" s="167" t="s">
        <v>35</v>
      </c>
      <c r="D23" s="167" t="s">
        <v>236</v>
      </c>
      <c r="E23" s="167">
        <v>2915893</v>
      </c>
      <c r="F23" s="175" t="s">
        <v>64</v>
      </c>
      <c r="G23" s="176">
        <v>1226.1600000000001</v>
      </c>
      <c r="H23" s="176">
        <v>183.93</v>
      </c>
      <c r="I23" s="171">
        <v>1410.09</v>
      </c>
      <c r="J23" s="475" t="s">
        <v>61</v>
      </c>
      <c r="K23" s="444" t="s">
        <v>559</v>
      </c>
    </row>
    <row r="24" spans="2:13" hidden="1">
      <c r="B24" s="587" t="s">
        <v>527</v>
      </c>
      <c r="C24" s="588" t="s">
        <v>35</v>
      </c>
      <c r="D24" s="167" t="s">
        <v>236</v>
      </c>
      <c r="E24" s="168">
        <v>2915894</v>
      </c>
      <c r="F24" s="613" t="s">
        <v>64</v>
      </c>
      <c r="G24" s="170">
        <v>3505.91</v>
      </c>
      <c r="H24" s="170">
        <v>525.91</v>
      </c>
      <c r="I24" s="171">
        <v>4031.82</v>
      </c>
      <c r="J24" s="475" t="s">
        <v>61</v>
      </c>
      <c r="K24" s="444" t="s">
        <v>559</v>
      </c>
      <c r="L24" s="138"/>
      <c r="M24" s="137"/>
    </row>
    <row r="25" spans="2:13" hidden="1">
      <c r="B25" s="587" t="s">
        <v>527</v>
      </c>
      <c r="C25" s="588" t="s">
        <v>35</v>
      </c>
      <c r="D25" s="614" t="s">
        <v>236</v>
      </c>
      <c r="E25" s="168">
        <v>2915897</v>
      </c>
      <c r="F25" s="613" t="s">
        <v>64</v>
      </c>
      <c r="G25" s="170">
        <v>309.85000000000002</v>
      </c>
      <c r="H25" s="170">
        <v>46.48</v>
      </c>
      <c r="I25" s="171">
        <v>356.33</v>
      </c>
      <c r="J25" s="475" t="s">
        <v>61</v>
      </c>
      <c r="K25" s="444" t="s">
        <v>559</v>
      </c>
      <c r="L25" s="138"/>
      <c r="M25" s="137"/>
    </row>
    <row r="26" spans="2:13" s="189" customFormat="1" hidden="1">
      <c r="B26" s="590" t="s">
        <v>535</v>
      </c>
      <c r="C26" s="591" t="s">
        <v>35</v>
      </c>
      <c r="D26" s="591" t="s">
        <v>129</v>
      </c>
      <c r="E26" s="211">
        <v>597695</v>
      </c>
      <c r="F26" s="616" t="s">
        <v>64</v>
      </c>
      <c r="G26" s="213">
        <v>2065.5</v>
      </c>
      <c r="H26" s="213">
        <v>309.85000000000002</v>
      </c>
      <c r="I26" s="171">
        <v>2375.35</v>
      </c>
      <c r="J26" s="507" t="s">
        <v>9</v>
      </c>
      <c r="K26" s="319" t="s">
        <v>559</v>
      </c>
    </row>
    <row r="27" spans="2:13" s="137" customFormat="1" hidden="1">
      <c r="B27" s="174" t="s">
        <v>535</v>
      </c>
      <c r="C27" s="167" t="s">
        <v>35</v>
      </c>
      <c r="D27" s="167" t="s">
        <v>516</v>
      </c>
      <c r="E27" s="167">
        <v>233329</v>
      </c>
      <c r="F27" s="175" t="s">
        <v>65</v>
      </c>
      <c r="G27" s="176">
        <v>957.56</v>
      </c>
      <c r="H27" s="176">
        <v>143.65</v>
      </c>
      <c r="I27" s="171">
        <v>1101.21</v>
      </c>
      <c r="J27" s="507" t="s">
        <v>9</v>
      </c>
      <c r="K27" s="319" t="s">
        <v>559</v>
      </c>
      <c r="L27" s="138"/>
    </row>
    <row r="28" spans="2:13" hidden="1">
      <c r="B28" s="593" t="s">
        <v>535</v>
      </c>
      <c r="C28" s="594" t="s">
        <v>35</v>
      </c>
      <c r="D28" s="167" t="s">
        <v>130</v>
      </c>
      <c r="E28" s="168">
        <v>804051830</v>
      </c>
      <c r="F28" s="595" t="s">
        <v>77</v>
      </c>
      <c r="G28" s="170">
        <v>374302.09</v>
      </c>
      <c r="H28" s="170"/>
      <c r="I28" s="171">
        <v>374302.09</v>
      </c>
      <c r="J28" s="507" t="s">
        <v>9</v>
      </c>
      <c r="K28" s="319" t="s">
        <v>547</v>
      </c>
      <c r="L28" s="138"/>
      <c r="M28" s="137"/>
    </row>
    <row r="29" spans="2:13" hidden="1">
      <c r="B29" s="593" t="s">
        <v>537</v>
      </c>
      <c r="C29" s="594" t="s">
        <v>35</v>
      </c>
      <c r="D29" s="167" t="s">
        <v>120</v>
      </c>
      <c r="E29" s="168">
        <v>96261044</v>
      </c>
      <c r="F29" s="595" t="s">
        <v>77</v>
      </c>
      <c r="G29" s="170">
        <v>10247.799999999999</v>
      </c>
      <c r="H29" s="170">
        <v>1537.17</v>
      </c>
      <c r="I29" s="171">
        <v>11784.97</v>
      </c>
      <c r="J29" s="507" t="s">
        <v>9</v>
      </c>
      <c r="K29" s="319" t="s">
        <v>529</v>
      </c>
      <c r="L29" s="138"/>
      <c r="M29" s="137"/>
    </row>
    <row r="30" spans="2:13" hidden="1">
      <c r="B30" s="174" t="s">
        <v>537</v>
      </c>
      <c r="C30" s="167" t="s">
        <v>35</v>
      </c>
      <c r="D30" s="167" t="s">
        <v>129</v>
      </c>
      <c r="E30" s="167">
        <v>598318</v>
      </c>
      <c r="F30" s="175" t="s">
        <v>64</v>
      </c>
      <c r="G30" s="176">
        <v>2168.66</v>
      </c>
      <c r="H30" s="176">
        <v>325.31</v>
      </c>
      <c r="I30" s="171">
        <v>2493.9699999999998</v>
      </c>
      <c r="J30" s="507" t="s">
        <v>9</v>
      </c>
      <c r="K30" s="319" t="s">
        <v>559</v>
      </c>
      <c r="L30" s="138"/>
      <c r="M30" s="137"/>
    </row>
    <row r="31" spans="2:13" s="137" customFormat="1" hidden="1">
      <c r="B31" s="174" t="s">
        <v>537</v>
      </c>
      <c r="C31" s="167" t="s">
        <v>35</v>
      </c>
      <c r="D31" s="167" t="s">
        <v>236</v>
      </c>
      <c r="E31" s="167">
        <v>2915176</v>
      </c>
      <c r="F31" s="175" t="s">
        <v>64</v>
      </c>
      <c r="G31" s="176">
        <v>2039.24</v>
      </c>
      <c r="H31" s="176">
        <v>305.89</v>
      </c>
      <c r="I31" s="171">
        <v>2345.13</v>
      </c>
      <c r="J31" s="475" t="s">
        <v>61</v>
      </c>
      <c r="K31" s="444" t="s">
        <v>559</v>
      </c>
    </row>
    <row r="32" spans="2:13" hidden="1">
      <c r="B32" s="593" t="s">
        <v>537</v>
      </c>
      <c r="C32" s="594" t="s">
        <v>35</v>
      </c>
      <c r="D32" s="167" t="s">
        <v>538</v>
      </c>
      <c r="E32" s="168">
        <v>40813</v>
      </c>
      <c r="F32" s="595" t="s">
        <v>65</v>
      </c>
      <c r="G32" s="170">
        <v>956</v>
      </c>
      <c r="H32" s="170">
        <v>143.4</v>
      </c>
      <c r="I32" s="171">
        <v>1099.4000000000001</v>
      </c>
      <c r="J32" s="507" t="s">
        <v>9</v>
      </c>
      <c r="K32" s="319" t="s">
        <v>559</v>
      </c>
      <c r="L32" s="138"/>
      <c r="M32" s="137"/>
    </row>
    <row r="33" spans="2:14" hidden="1">
      <c r="B33" s="172" t="s">
        <v>537</v>
      </c>
      <c r="C33" s="168" t="s">
        <v>35</v>
      </c>
      <c r="D33" s="167" t="s">
        <v>120</v>
      </c>
      <c r="E33" s="168">
        <v>96279683</v>
      </c>
      <c r="F33" s="178" t="s">
        <v>77</v>
      </c>
      <c r="G33" s="170">
        <v>1715.1</v>
      </c>
      <c r="H33" s="170">
        <v>257.27</v>
      </c>
      <c r="I33" s="171">
        <v>1972.37</v>
      </c>
      <c r="J33" s="507" t="s">
        <v>9</v>
      </c>
      <c r="K33" s="319" t="s">
        <v>547</v>
      </c>
      <c r="L33" s="138"/>
      <c r="M33" s="137"/>
    </row>
    <row r="34" spans="2:14" hidden="1">
      <c r="B34" s="172" t="s">
        <v>545</v>
      </c>
      <c r="C34" s="168" t="s">
        <v>35</v>
      </c>
      <c r="D34" s="167" t="s">
        <v>152</v>
      </c>
      <c r="E34" s="168" t="s">
        <v>550</v>
      </c>
      <c r="F34" s="178" t="s">
        <v>64</v>
      </c>
      <c r="G34" s="170">
        <f>6920.93+3145.05</f>
        <v>10065.98</v>
      </c>
      <c r="H34" s="170">
        <f>471.74+1038.15</f>
        <v>1509.89</v>
      </c>
      <c r="I34" s="171">
        <f>7959.08+3616.79</f>
        <v>11575.869999999999</v>
      </c>
      <c r="J34" s="507" t="s">
        <v>9</v>
      </c>
      <c r="K34" s="319" t="s">
        <v>542</v>
      </c>
      <c r="L34" s="138"/>
      <c r="M34" s="137"/>
    </row>
    <row r="35" spans="2:14" hidden="1">
      <c r="B35" s="172" t="s">
        <v>551</v>
      </c>
      <c r="C35" s="168" t="s">
        <v>35</v>
      </c>
      <c r="D35" s="167" t="s">
        <v>130</v>
      </c>
      <c r="E35" s="168">
        <v>96296804</v>
      </c>
      <c r="F35" s="178" t="s">
        <v>77</v>
      </c>
      <c r="G35" s="170">
        <v>105463.53</v>
      </c>
      <c r="H35" s="170"/>
      <c r="I35" s="171">
        <v>105463.53</v>
      </c>
      <c r="J35" s="507" t="s">
        <v>9</v>
      </c>
      <c r="K35" s="319" t="s">
        <v>559</v>
      </c>
      <c r="L35" s="138"/>
      <c r="M35" s="137"/>
    </row>
    <row r="36" spans="2:14" hidden="1">
      <c r="B36" s="172" t="s">
        <v>552</v>
      </c>
      <c r="C36" s="167" t="s">
        <v>35</v>
      </c>
      <c r="D36" s="167" t="s">
        <v>553</v>
      </c>
      <c r="E36" s="167">
        <v>40815</v>
      </c>
      <c r="F36" s="175" t="s">
        <v>77</v>
      </c>
      <c r="G36" s="176">
        <v>3480</v>
      </c>
      <c r="H36" s="176">
        <v>522</v>
      </c>
      <c r="I36" s="171">
        <v>4002</v>
      </c>
      <c r="J36" s="507" t="s">
        <v>9</v>
      </c>
      <c r="K36" s="319" t="s">
        <v>559</v>
      </c>
      <c r="L36" s="138"/>
      <c r="M36" s="137"/>
    </row>
    <row r="37" spans="2:14" hidden="1">
      <c r="B37" s="606" t="s">
        <v>552</v>
      </c>
      <c r="C37" s="607" t="s">
        <v>35</v>
      </c>
      <c r="D37" s="167" t="s">
        <v>428</v>
      </c>
      <c r="E37" s="168">
        <v>1789446</v>
      </c>
      <c r="F37" s="615" t="s">
        <v>65</v>
      </c>
      <c r="G37" s="170">
        <v>3924</v>
      </c>
      <c r="H37" s="170">
        <v>588.6</v>
      </c>
      <c r="I37" s="362">
        <v>4512.6000000000004</v>
      </c>
      <c r="J37" s="507" t="s">
        <v>9</v>
      </c>
      <c r="K37" s="319" t="s">
        <v>559</v>
      </c>
      <c r="L37" s="242">
        <f>I9+I10+I11+I19+I22+I23+I24+I25+I39+I40+I41+I42+I45+I46+I50</f>
        <v>65135</v>
      </c>
      <c r="M37" s="137"/>
    </row>
    <row r="38" spans="2:14" hidden="1">
      <c r="B38" s="172" t="s">
        <v>552</v>
      </c>
      <c r="C38" s="168" t="s">
        <v>35</v>
      </c>
      <c r="D38" s="167" t="s">
        <v>428</v>
      </c>
      <c r="E38" s="168">
        <v>1789444</v>
      </c>
      <c r="F38" s="178" t="s">
        <v>65</v>
      </c>
      <c r="G38" s="170">
        <v>1140.47</v>
      </c>
      <c r="H38" s="170">
        <v>171.07</v>
      </c>
      <c r="I38" s="171">
        <v>1311.54</v>
      </c>
      <c r="J38" s="489" t="s">
        <v>9</v>
      </c>
      <c r="K38" s="319" t="s">
        <v>559</v>
      </c>
      <c r="L38" s="138"/>
      <c r="M38" s="137"/>
    </row>
    <row r="39" spans="2:14" hidden="1">
      <c r="B39" s="606" t="s">
        <v>552</v>
      </c>
      <c r="C39" s="607" t="s">
        <v>35</v>
      </c>
      <c r="D39" s="167" t="s">
        <v>236</v>
      </c>
      <c r="E39" s="168">
        <v>2918129</v>
      </c>
      <c r="F39" s="615" t="s">
        <v>64</v>
      </c>
      <c r="G39" s="170">
        <v>1130.3399999999999</v>
      </c>
      <c r="H39" s="170">
        <v>169.55</v>
      </c>
      <c r="I39" s="171">
        <v>1299.8900000000001</v>
      </c>
      <c r="J39" s="475" t="s">
        <v>61</v>
      </c>
      <c r="K39" s="444" t="s">
        <v>559</v>
      </c>
      <c r="L39" s="242">
        <f>I45+I46+I50</f>
        <v>30159.5</v>
      </c>
      <c r="M39" s="137"/>
    </row>
    <row r="40" spans="2:14" hidden="1">
      <c r="B40" s="606" t="s">
        <v>552</v>
      </c>
      <c r="C40" s="607" t="s">
        <v>35</v>
      </c>
      <c r="D40" s="167" t="s">
        <v>236</v>
      </c>
      <c r="E40" s="168">
        <v>2918260</v>
      </c>
      <c r="F40" s="615" t="s">
        <v>64</v>
      </c>
      <c r="G40" s="170">
        <v>2031.78</v>
      </c>
      <c r="H40" s="170">
        <v>304.77</v>
      </c>
      <c r="I40" s="171">
        <v>2336.5500000000002</v>
      </c>
      <c r="J40" s="475" t="s">
        <v>61</v>
      </c>
      <c r="K40" s="444" t="s">
        <v>559</v>
      </c>
      <c r="L40" s="138"/>
      <c r="M40" s="137"/>
    </row>
    <row r="41" spans="2:14" hidden="1">
      <c r="B41" s="606" t="s">
        <v>552</v>
      </c>
      <c r="C41" s="607" t="s">
        <v>35</v>
      </c>
      <c r="D41" s="607" t="s">
        <v>236</v>
      </c>
      <c r="E41" s="409">
        <v>2918389</v>
      </c>
      <c r="F41" s="615" t="s">
        <v>64</v>
      </c>
      <c r="G41" s="411">
        <v>2516.33</v>
      </c>
      <c r="H41" s="411">
        <v>377.46</v>
      </c>
      <c r="I41" s="412">
        <v>2893.79</v>
      </c>
      <c r="J41" s="475" t="s">
        <v>61</v>
      </c>
      <c r="K41" s="444" t="s">
        <v>559</v>
      </c>
      <c r="L41" s="138"/>
      <c r="M41" s="137"/>
    </row>
    <row r="42" spans="2:14" hidden="1">
      <c r="B42" s="606" t="s">
        <v>552</v>
      </c>
      <c r="C42" s="607" t="s">
        <v>35</v>
      </c>
      <c r="D42" s="167" t="s">
        <v>236</v>
      </c>
      <c r="E42" s="168">
        <v>2918396</v>
      </c>
      <c r="F42" s="615" t="s">
        <v>64</v>
      </c>
      <c r="G42" s="170">
        <v>2752.18</v>
      </c>
      <c r="H42" s="170">
        <v>412.83</v>
      </c>
      <c r="I42" s="171">
        <v>3165.01</v>
      </c>
      <c r="J42" s="475" t="s">
        <v>61</v>
      </c>
      <c r="K42" s="444" t="s">
        <v>559</v>
      </c>
      <c r="L42" s="138"/>
      <c r="M42" s="137"/>
    </row>
    <row r="43" spans="2:14" hidden="1">
      <c r="B43" s="172" t="s">
        <v>552</v>
      </c>
      <c r="C43" s="168" t="s">
        <v>35</v>
      </c>
      <c r="D43" s="167" t="s">
        <v>196</v>
      </c>
      <c r="E43" s="168">
        <v>1084444</v>
      </c>
      <c r="F43" s="178" t="s">
        <v>65</v>
      </c>
      <c r="G43" s="170">
        <v>5040.3900000000003</v>
      </c>
      <c r="H43" s="170">
        <v>756.06</v>
      </c>
      <c r="I43" s="171">
        <v>5796.45</v>
      </c>
      <c r="J43" s="507" t="s">
        <v>9</v>
      </c>
      <c r="K43" s="319" t="s">
        <v>559</v>
      </c>
      <c r="L43" s="138"/>
      <c r="M43" s="137"/>
    </row>
    <row r="44" spans="2:14" hidden="1">
      <c r="B44" s="172" t="s">
        <v>552</v>
      </c>
      <c r="C44" s="168" t="s">
        <v>35</v>
      </c>
      <c r="D44" s="167" t="s">
        <v>516</v>
      </c>
      <c r="E44" s="168">
        <v>234006</v>
      </c>
      <c r="F44" s="178" t="s">
        <v>65</v>
      </c>
      <c r="G44" s="170">
        <v>1057.6500000000001</v>
      </c>
      <c r="H44" s="170"/>
      <c r="I44" s="171">
        <v>1057.6500000000001</v>
      </c>
      <c r="J44" s="507" t="s">
        <v>9</v>
      </c>
      <c r="K44" s="319" t="s">
        <v>559</v>
      </c>
      <c r="L44" s="138"/>
      <c r="M44" s="137"/>
    </row>
    <row r="45" spans="2:14" hidden="1">
      <c r="B45" s="648" t="s">
        <v>560</v>
      </c>
      <c r="C45" s="649" t="s">
        <v>35</v>
      </c>
      <c r="D45" s="649" t="s">
        <v>236</v>
      </c>
      <c r="E45" s="377">
        <v>2919053</v>
      </c>
      <c r="F45" s="650" t="s">
        <v>64</v>
      </c>
      <c r="G45" s="379">
        <v>6601.37</v>
      </c>
      <c r="H45" s="379">
        <v>990.23</v>
      </c>
      <c r="I45" s="380">
        <v>7591.6</v>
      </c>
      <c r="J45" s="652" t="s">
        <v>9</v>
      </c>
      <c r="K45" s="319" t="s">
        <v>587</v>
      </c>
      <c r="L45" s="138"/>
      <c r="M45" s="137"/>
    </row>
    <row r="46" spans="2:14" hidden="1">
      <c r="B46" s="633" t="s">
        <v>563</v>
      </c>
      <c r="C46" s="634" t="s">
        <v>35</v>
      </c>
      <c r="D46" s="167" t="s">
        <v>236</v>
      </c>
      <c r="E46" s="168">
        <v>2919051</v>
      </c>
      <c r="F46" s="635" t="s">
        <v>64</v>
      </c>
      <c r="G46" s="170">
        <v>17771.37</v>
      </c>
      <c r="H46" s="170">
        <v>2628.28</v>
      </c>
      <c r="I46" s="171">
        <v>20399.64</v>
      </c>
      <c r="J46" s="652" t="s">
        <v>9</v>
      </c>
      <c r="K46" s="319" t="s">
        <v>587</v>
      </c>
      <c r="L46" s="137" t="s">
        <v>562</v>
      </c>
      <c r="M46" s="137"/>
    </row>
    <row r="47" spans="2:14">
      <c r="B47" s="621" t="s">
        <v>563</v>
      </c>
      <c r="C47" s="622" t="s">
        <v>35</v>
      </c>
      <c r="D47" s="216" t="s">
        <v>294</v>
      </c>
      <c r="E47" s="215">
        <v>40834</v>
      </c>
      <c r="F47" s="623" t="s">
        <v>65</v>
      </c>
      <c r="G47" s="217">
        <v>349</v>
      </c>
      <c r="H47" s="217">
        <v>52.35</v>
      </c>
      <c r="I47" s="329">
        <v>401.35</v>
      </c>
      <c r="J47" s="624" t="s">
        <v>564</v>
      </c>
      <c r="K47" s="562"/>
      <c r="L47" s="321"/>
      <c r="M47" s="321"/>
      <c r="N47" s="321"/>
    </row>
    <row r="48" spans="2:14" hidden="1">
      <c r="B48" s="633" t="s">
        <v>563</v>
      </c>
      <c r="C48" s="634" t="s">
        <v>35</v>
      </c>
      <c r="D48" s="167" t="s">
        <v>140</v>
      </c>
      <c r="E48" s="168">
        <v>133457843</v>
      </c>
      <c r="F48" s="635" t="s">
        <v>64</v>
      </c>
      <c r="G48" s="170">
        <v>6288.15</v>
      </c>
      <c r="H48" s="170">
        <v>765.18</v>
      </c>
      <c r="I48" s="171">
        <v>7053.33</v>
      </c>
      <c r="J48" s="507" t="s">
        <v>9</v>
      </c>
      <c r="K48" s="319" t="s">
        <v>587</v>
      </c>
      <c r="L48" s="138"/>
      <c r="M48" s="137"/>
    </row>
    <row r="49" spans="2:13" hidden="1">
      <c r="B49" s="633" t="s">
        <v>563</v>
      </c>
      <c r="C49" s="634" t="s">
        <v>35</v>
      </c>
      <c r="D49" s="167" t="s">
        <v>130</v>
      </c>
      <c r="E49" s="168">
        <v>804079052</v>
      </c>
      <c r="F49" s="635" t="s">
        <v>77</v>
      </c>
      <c r="G49" s="170">
        <v>160410.82</v>
      </c>
      <c r="H49" s="170"/>
      <c r="I49" s="171">
        <v>160410.82</v>
      </c>
      <c r="J49" s="631" t="s">
        <v>9</v>
      </c>
      <c r="K49" s="319" t="s">
        <v>574</v>
      </c>
      <c r="L49" s="138"/>
      <c r="M49" s="137"/>
    </row>
    <row r="50" spans="2:13" hidden="1">
      <c r="B50" s="633" t="s">
        <v>563</v>
      </c>
      <c r="C50" s="634" t="s">
        <v>35</v>
      </c>
      <c r="D50" s="167" t="s">
        <v>236</v>
      </c>
      <c r="E50" s="168">
        <v>2918802</v>
      </c>
      <c r="F50" s="635" t="s">
        <v>65</v>
      </c>
      <c r="G50" s="170">
        <v>1885.44</v>
      </c>
      <c r="H50" s="170">
        <v>282.82</v>
      </c>
      <c r="I50" s="171">
        <v>2168.2600000000002</v>
      </c>
      <c r="J50" s="652" t="s">
        <v>9</v>
      </c>
      <c r="K50" s="319" t="s">
        <v>587</v>
      </c>
      <c r="L50" s="138"/>
      <c r="M50" s="137"/>
    </row>
    <row r="51" spans="2:13" hidden="1">
      <c r="B51" s="633" t="s">
        <v>563</v>
      </c>
      <c r="C51" s="634" t="s">
        <v>35</v>
      </c>
      <c r="D51" s="167" t="s">
        <v>171</v>
      </c>
      <c r="E51" s="168">
        <v>1270</v>
      </c>
      <c r="F51" s="635" t="s">
        <v>65</v>
      </c>
      <c r="G51" s="170">
        <v>549.9</v>
      </c>
      <c r="H51" s="170">
        <v>82.49</v>
      </c>
      <c r="I51" s="171">
        <v>632.39</v>
      </c>
      <c r="J51" s="507" t="s">
        <v>9</v>
      </c>
      <c r="K51" s="319" t="s">
        <v>587</v>
      </c>
      <c r="L51" s="138"/>
      <c r="M51" s="137"/>
    </row>
    <row r="52" spans="2:13" hidden="1">
      <c r="B52" s="633" t="s">
        <v>563</v>
      </c>
      <c r="C52" s="634" t="s">
        <v>35</v>
      </c>
      <c r="D52" s="167" t="s">
        <v>171</v>
      </c>
      <c r="E52" s="168">
        <v>1269</v>
      </c>
      <c r="F52" s="635" t="s">
        <v>65</v>
      </c>
      <c r="G52" s="170">
        <v>1939.43</v>
      </c>
      <c r="H52" s="170">
        <v>290.92</v>
      </c>
      <c r="I52" s="171">
        <v>2230.34</v>
      </c>
      <c r="J52" s="507" t="s">
        <v>9</v>
      </c>
      <c r="K52" s="319" t="s">
        <v>587</v>
      </c>
      <c r="L52" s="138"/>
      <c r="M52" s="137"/>
    </row>
    <row r="53" spans="2:13" hidden="1">
      <c r="B53" s="172" t="s">
        <v>565</v>
      </c>
      <c r="C53" s="168" t="s">
        <v>42</v>
      </c>
      <c r="D53" s="167" t="s">
        <v>566</v>
      </c>
      <c r="E53" s="168">
        <v>700</v>
      </c>
      <c r="F53" s="178" t="s">
        <v>567</v>
      </c>
      <c r="G53" s="170">
        <v>8228.5</v>
      </c>
      <c r="H53" s="170">
        <v>1234.28</v>
      </c>
      <c r="I53" s="171">
        <v>9462.7800000000007</v>
      </c>
      <c r="J53" s="652" t="s">
        <v>9</v>
      </c>
      <c r="K53" s="319" t="s">
        <v>587</v>
      </c>
      <c r="L53" s="138"/>
      <c r="M53" s="137"/>
    </row>
    <row r="54" spans="2:13" hidden="1">
      <c r="B54" s="629" t="s">
        <v>565</v>
      </c>
      <c r="C54" s="630" t="s">
        <v>35</v>
      </c>
      <c r="D54" s="167" t="s">
        <v>578</v>
      </c>
      <c r="E54" s="168">
        <v>109234</v>
      </c>
      <c r="F54" s="638" t="s">
        <v>77</v>
      </c>
      <c r="G54" s="170">
        <v>325</v>
      </c>
      <c r="H54" s="170">
        <v>48.75</v>
      </c>
      <c r="I54" s="171">
        <v>373.75</v>
      </c>
      <c r="J54" s="652" t="s">
        <v>9</v>
      </c>
      <c r="K54" s="319" t="s">
        <v>587</v>
      </c>
      <c r="L54" s="138"/>
      <c r="M54" s="137"/>
    </row>
    <row r="55" spans="2:13" hidden="1">
      <c r="B55" s="629" t="s">
        <v>565</v>
      </c>
      <c r="C55" s="630" t="s">
        <v>35</v>
      </c>
      <c r="D55" s="167" t="s">
        <v>172</v>
      </c>
      <c r="E55" s="387">
        <v>205760</v>
      </c>
      <c r="F55" s="638" t="s">
        <v>64</v>
      </c>
      <c r="G55" s="170">
        <v>2636.45</v>
      </c>
      <c r="H55" s="170">
        <v>395.49</v>
      </c>
      <c r="I55" s="171">
        <v>3031.94</v>
      </c>
      <c r="J55" s="652" t="s">
        <v>9</v>
      </c>
      <c r="K55" s="319" t="s">
        <v>587</v>
      </c>
      <c r="L55" s="138"/>
      <c r="M55" s="137"/>
    </row>
    <row r="56" spans="2:13" hidden="1">
      <c r="B56" s="629" t="s">
        <v>565</v>
      </c>
      <c r="C56" s="630" t="s">
        <v>35</v>
      </c>
      <c r="D56" s="167" t="s">
        <v>152</v>
      </c>
      <c r="E56" s="637" t="s">
        <v>579</v>
      </c>
      <c r="F56" s="638" t="s">
        <v>64</v>
      </c>
      <c r="G56" s="170">
        <f>3476.52+5609.86</f>
        <v>9086.3799999999992</v>
      </c>
      <c r="H56" s="170">
        <f>521.49+841.48</f>
        <v>1362.97</v>
      </c>
      <c r="I56" s="171">
        <f>3998.01+6451.34</f>
        <v>10449.35</v>
      </c>
      <c r="J56" s="507" t="s">
        <v>9</v>
      </c>
      <c r="K56" s="319" t="s">
        <v>559</v>
      </c>
      <c r="L56" s="138" t="s">
        <v>617</v>
      </c>
      <c r="M56" s="137"/>
    </row>
    <row r="57" spans="2:13" hidden="1">
      <c r="B57" s="629" t="s">
        <v>565</v>
      </c>
      <c r="C57" s="630" t="s">
        <v>35</v>
      </c>
      <c r="D57" s="167" t="s">
        <v>167</v>
      </c>
      <c r="E57" s="168">
        <v>1645042</v>
      </c>
      <c r="F57" s="638" t="s">
        <v>64</v>
      </c>
      <c r="G57" s="170">
        <v>1732</v>
      </c>
      <c r="H57" s="170">
        <v>259.8</v>
      </c>
      <c r="I57" s="171">
        <v>1991.8</v>
      </c>
      <c r="J57" s="652" t="s">
        <v>9</v>
      </c>
      <c r="K57" s="319" t="s">
        <v>587</v>
      </c>
      <c r="L57" s="138"/>
      <c r="M57" s="137"/>
    </row>
    <row r="58" spans="2:13" hidden="1">
      <c r="B58" s="629" t="s">
        <v>565</v>
      </c>
      <c r="C58" s="630" t="s">
        <v>35</v>
      </c>
      <c r="D58" s="167" t="s">
        <v>129</v>
      </c>
      <c r="E58" s="168">
        <v>60485</v>
      </c>
      <c r="F58" s="638" t="s">
        <v>64</v>
      </c>
      <c r="G58" s="170">
        <v>7018.7</v>
      </c>
      <c r="H58" s="170">
        <v>1052.8599999999999</v>
      </c>
      <c r="I58" s="171">
        <v>8071.56</v>
      </c>
      <c r="J58" s="507" t="s">
        <v>9</v>
      </c>
      <c r="K58" s="319" t="s">
        <v>587</v>
      </c>
      <c r="L58" s="321" t="s">
        <v>589</v>
      </c>
      <c r="M58" s="137"/>
    </row>
    <row r="59" spans="2:13" hidden="1">
      <c r="B59" s="629" t="s">
        <v>565</v>
      </c>
      <c r="C59" s="630" t="s">
        <v>35</v>
      </c>
      <c r="D59" s="167" t="s">
        <v>129</v>
      </c>
      <c r="E59" s="168">
        <v>600523</v>
      </c>
      <c r="F59" s="638" t="s">
        <v>64</v>
      </c>
      <c r="G59" s="170">
        <v>6536.18</v>
      </c>
      <c r="H59" s="170">
        <v>980.45</v>
      </c>
      <c r="I59" s="171">
        <v>7516.63</v>
      </c>
      <c r="J59" s="475" t="s">
        <v>9</v>
      </c>
      <c r="K59" s="319" t="s">
        <v>587</v>
      </c>
      <c r="L59" s="138"/>
      <c r="M59" s="137"/>
    </row>
    <row r="60" spans="2:13" hidden="1">
      <c r="B60" s="645" t="s">
        <v>565</v>
      </c>
      <c r="C60" s="646" t="s">
        <v>35</v>
      </c>
      <c r="D60" s="167" t="s">
        <v>428</v>
      </c>
      <c r="E60" s="168">
        <v>1793987</v>
      </c>
      <c r="F60" s="647" t="s">
        <v>65</v>
      </c>
      <c r="G60" s="170">
        <v>401.35</v>
      </c>
      <c r="H60" s="170">
        <v>52.35</v>
      </c>
      <c r="I60" s="171">
        <v>401.35</v>
      </c>
      <c r="J60" s="507" t="s">
        <v>9</v>
      </c>
      <c r="K60" s="319" t="s">
        <v>587</v>
      </c>
      <c r="L60" s="138"/>
      <c r="M60" s="137"/>
    </row>
    <row r="61" spans="2:13" hidden="1">
      <c r="B61" s="639" t="s">
        <v>580</v>
      </c>
      <c r="C61" s="637" t="s">
        <v>35</v>
      </c>
      <c r="D61" s="167" t="s">
        <v>478</v>
      </c>
      <c r="E61" s="168">
        <v>41429</v>
      </c>
      <c r="F61" s="644" t="s">
        <v>64</v>
      </c>
      <c r="G61" s="170">
        <v>4955.3100000000004</v>
      </c>
      <c r="H61" s="170">
        <v>743.28</v>
      </c>
      <c r="I61" s="171">
        <v>5698.59</v>
      </c>
      <c r="J61" s="507" t="s">
        <v>9</v>
      </c>
      <c r="K61" s="319" t="s">
        <v>587</v>
      </c>
      <c r="L61" s="138"/>
      <c r="M61" s="137"/>
    </row>
    <row r="62" spans="2:13" hidden="1">
      <c r="B62" s="642" t="s">
        <v>580</v>
      </c>
      <c r="C62" s="643" t="s">
        <v>35</v>
      </c>
      <c r="D62" s="167" t="s">
        <v>95</v>
      </c>
      <c r="E62" s="581">
        <v>26076966</v>
      </c>
      <c r="F62" s="692" t="s">
        <v>64</v>
      </c>
      <c r="G62" s="170">
        <v>1180.5999999999999</v>
      </c>
      <c r="H62" s="170">
        <v>177.09</v>
      </c>
      <c r="I62" s="171">
        <v>1357.69</v>
      </c>
      <c r="J62" s="489" t="s">
        <v>9</v>
      </c>
      <c r="K62" s="319" t="s">
        <v>635</v>
      </c>
      <c r="L62" s="138"/>
      <c r="M62" s="137"/>
    </row>
    <row r="63" spans="2:13" hidden="1">
      <c r="B63" s="172" t="s">
        <v>580</v>
      </c>
      <c r="C63" s="168" t="s">
        <v>35</v>
      </c>
      <c r="D63" s="167" t="s">
        <v>130</v>
      </c>
      <c r="E63" s="168">
        <v>804089171</v>
      </c>
      <c r="F63" s="178" t="s">
        <v>77</v>
      </c>
      <c r="G63" s="170">
        <v>387321.89</v>
      </c>
      <c r="H63" s="170"/>
      <c r="I63" s="171">
        <v>387321.89</v>
      </c>
      <c r="J63" s="489" t="s">
        <v>9</v>
      </c>
      <c r="K63" s="319" t="s">
        <v>587</v>
      </c>
      <c r="L63" s="138"/>
      <c r="M63" s="137"/>
    </row>
    <row r="64" spans="2:13" hidden="1">
      <c r="B64" s="172" t="s">
        <v>588</v>
      </c>
      <c r="C64" s="168" t="s">
        <v>35</v>
      </c>
      <c r="D64" s="167" t="s">
        <v>130</v>
      </c>
      <c r="E64" s="168">
        <v>96325309</v>
      </c>
      <c r="F64" s="178" t="s">
        <v>77</v>
      </c>
      <c r="G64" s="170">
        <v>380861.26</v>
      </c>
      <c r="H64" s="170"/>
      <c r="I64" s="171">
        <v>380861.26</v>
      </c>
      <c r="J64" s="489" t="s">
        <v>9</v>
      </c>
      <c r="K64" s="319" t="s">
        <v>596</v>
      </c>
      <c r="L64" s="138"/>
      <c r="M64" s="137"/>
    </row>
    <row r="65" spans="2:13">
      <c r="B65" s="430" t="s">
        <v>592</v>
      </c>
      <c r="C65" s="215" t="s">
        <v>35</v>
      </c>
      <c r="D65" s="216" t="s">
        <v>516</v>
      </c>
      <c r="E65" s="215">
        <v>235017</v>
      </c>
      <c r="F65" s="431" t="s">
        <v>65</v>
      </c>
      <c r="G65" s="217">
        <v>425.88</v>
      </c>
      <c r="H65" s="217"/>
      <c r="I65" s="329">
        <v>425.88</v>
      </c>
      <c r="J65" s="429"/>
      <c r="K65" s="332"/>
      <c r="L65" s="138"/>
      <c r="M65" s="137"/>
    </row>
    <row r="66" spans="2:13" hidden="1">
      <c r="B66" s="172" t="s">
        <v>592</v>
      </c>
      <c r="C66" s="168" t="s">
        <v>35</v>
      </c>
      <c r="D66" s="167" t="s">
        <v>171</v>
      </c>
      <c r="E66" s="168">
        <v>1392</v>
      </c>
      <c r="F66" s="178" t="s">
        <v>65</v>
      </c>
      <c r="G66" s="170">
        <v>1606.54</v>
      </c>
      <c r="H66" s="170">
        <v>240.99</v>
      </c>
      <c r="I66" s="171">
        <v>1847.53</v>
      </c>
      <c r="J66" s="489" t="s">
        <v>9</v>
      </c>
      <c r="K66" s="319" t="s">
        <v>635</v>
      </c>
      <c r="L66" s="138"/>
      <c r="M66" s="137"/>
    </row>
    <row r="67" spans="2:13" hidden="1">
      <c r="B67" s="172" t="s">
        <v>592</v>
      </c>
      <c r="C67" s="168" t="s">
        <v>35</v>
      </c>
      <c r="D67" s="167" t="s">
        <v>196</v>
      </c>
      <c r="E67" s="168">
        <v>109120</v>
      </c>
      <c r="F67" s="178" t="s">
        <v>65</v>
      </c>
      <c r="G67" s="170">
        <v>8673.68</v>
      </c>
      <c r="H67" s="170">
        <v>1301.07</v>
      </c>
      <c r="I67" s="171">
        <v>9974.75</v>
      </c>
      <c r="J67" s="489" t="s">
        <v>9</v>
      </c>
      <c r="K67" s="319" t="s">
        <v>635</v>
      </c>
      <c r="L67" s="138"/>
      <c r="M67" s="137"/>
    </row>
    <row r="68" spans="2:13" hidden="1">
      <c r="B68" s="172" t="s">
        <v>598</v>
      </c>
      <c r="C68" s="168" t="s">
        <v>35</v>
      </c>
      <c r="D68" s="167" t="s">
        <v>294</v>
      </c>
      <c r="E68" s="168">
        <v>40852</v>
      </c>
      <c r="F68" s="178" t="s">
        <v>65</v>
      </c>
      <c r="G68" s="170">
        <v>841</v>
      </c>
      <c r="H68" s="170">
        <v>126.15</v>
      </c>
      <c r="I68" s="171">
        <v>967.15</v>
      </c>
      <c r="J68" s="489" t="s">
        <v>9</v>
      </c>
      <c r="K68" s="319" t="s">
        <v>635</v>
      </c>
      <c r="L68" s="138"/>
      <c r="M68" s="137"/>
    </row>
    <row r="69" spans="2:13" hidden="1">
      <c r="B69" s="172" t="s">
        <v>598</v>
      </c>
      <c r="C69" s="168" t="s">
        <v>35</v>
      </c>
      <c r="D69" s="167" t="s">
        <v>171</v>
      </c>
      <c r="E69" s="168">
        <v>1393</v>
      </c>
      <c r="F69" s="178" t="s">
        <v>65</v>
      </c>
      <c r="G69" s="170">
        <v>733.2</v>
      </c>
      <c r="H69" s="170">
        <v>109.98</v>
      </c>
      <c r="I69" s="171">
        <v>843.18</v>
      </c>
      <c r="J69" s="489" t="s">
        <v>9</v>
      </c>
      <c r="K69" s="319" t="s">
        <v>635</v>
      </c>
      <c r="L69" s="138"/>
      <c r="M69" s="137"/>
    </row>
    <row r="70" spans="2:13" hidden="1">
      <c r="B70" s="172" t="s">
        <v>600</v>
      </c>
      <c r="C70" s="168" t="s">
        <v>35</v>
      </c>
      <c r="D70" s="167" t="s">
        <v>601</v>
      </c>
      <c r="E70" s="168">
        <v>849209</v>
      </c>
      <c r="F70" s="178" t="s">
        <v>65</v>
      </c>
      <c r="G70" s="170">
        <v>672.3</v>
      </c>
      <c r="H70" s="170"/>
      <c r="I70" s="171">
        <v>672.3</v>
      </c>
      <c r="J70" s="489" t="s">
        <v>9</v>
      </c>
      <c r="K70" s="319" t="s">
        <v>635</v>
      </c>
      <c r="L70" s="138"/>
      <c r="M70" s="137"/>
    </row>
    <row r="71" spans="2:13" hidden="1">
      <c r="B71" s="172" t="s">
        <v>600</v>
      </c>
      <c r="C71" s="168" t="s">
        <v>35</v>
      </c>
      <c r="D71" s="167" t="s">
        <v>236</v>
      </c>
      <c r="E71" s="168">
        <v>2922679</v>
      </c>
      <c r="F71" s="178" t="s">
        <v>65</v>
      </c>
      <c r="G71" s="170">
        <v>234.05</v>
      </c>
      <c r="H71" s="170">
        <v>35.11</v>
      </c>
      <c r="I71" s="171">
        <v>269.16000000000003</v>
      </c>
      <c r="J71" s="489" t="s">
        <v>9</v>
      </c>
      <c r="K71" s="319" t="s">
        <v>635</v>
      </c>
      <c r="L71" s="138"/>
      <c r="M71" s="137"/>
    </row>
    <row r="72" spans="2:13" hidden="1">
      <c r="B72" s="172" t="s">
        <v>600</v>
      </c>
      <c r="C72" s="168" t="s">
        <v>35</v>
      </c>
      <c r="D72" s="167" t="s">
        <v>236</v>
      </c>
      <c r="E72" s="168">
        <v>2922691</v>
      </c>
      <c r="F72" s="178" t="s">
        <v>64</v>
      </c>
      <c r="G72" s="170">
        <v>9151.58</v>
      </c>
      <c r="H72" s="170">
        <v>1372.78</v>
      </c>
      <c r="I72" s="171">
        <v>10524.36</v>
      </c>
      <c r="J72" s="489" t="s">
        <v>9</v>
      </c>
      <c r="K72" s="319" t="s">
        <v>635</v>
      </c>
      <c r="L72" s="138"/>
      <c r="M72" s="137"/>
    </row>
    <row r="73" spans="2:13" hidden="1">
      <c r="B73" s="172" t="s">
        <v>600</v>
      </c>
      <c r="C73" s="168" t="s">
        <v>35</v>
      </c>
      <c r="D73" s="167" t="s">
        <v>236</v>
      </c>
      <c r="E73" s="168">
        <v>2922724</v>
      </c>
      <c r="F73" s="178" t="s">
        <v>64</v>
      </c>
      <c r="G73" s="170">
        <v>5142.76</v>
      </c>
      <c r="H73" s="170">
        <v>771.44</v>
      </c>
      <c r="I73" s="171">
        <v>5914.2</v>
      </c>
      <c r="J73" s="489" t="s">
        <v>9</v>
      </c>
      <c r="K73" s="319" t="s">
        <v>635</v>
      </c>
      <c r="L73" s="138"/>
      <c r="M73" s="137"/>
    </row>
    <row r="74" spans="2:13" hidden="1">
      <c r="B74" s="172" t="s">
        <v>600</v>
      </c>
      <c r="C74" s="168" t="s">
        <v>35</v>
      </c>
      <c r="D74" s="167" t="s">
        <v>236</v>
      </c>
      <c r="E74" s="168">
        <v>2922746</v>
      </c>
      <c r="F74" s="178" t="s">
        <v>65</v>
      </c>
      <c r="G74" s="170">
        <v>1896.36</v>
      </c>
      <c r="H74" s="170">
        <v>284.45999999999998</v>
      </c>
      <c r="I74" s="171">
        <v>2180.8200000000002</v>
      </c>
      <c r="J74" s="489" t="s">
        <v>9</v>
      </c>
      <c r="K74" s="319" t="s">
        <v>635</v>
      </c>
      <c r="L74" s="138"/>
      <c r="M74" s="137"/>
    </row>
    <row r="75" spans="2:13" hidden="1">
      <c r="B75" s="172" t="s">
        <v>600</v>
      </c>
      <c r="C75" s="168" t="s">
        <v>35</v>
      </c>
      <c r="D75" s="167" t="s">
        <v>140</v>
      </c>
      <c r="E75" s="168">
        <v>133639310</v>
      </c>
      <c r="F75" s="178" t="s">
        <v>64</v>
      </c>
      <c r="G75" s="170">
        <v>3000.66</v>
      </c>
      <c r="H75" s="170">
        <v>427.6</v>
      </c>
      <c r="I75" s="171">
        <v>3428.26</v>
      </c>
      <c r="J75" s="489" t="s">
        <v>9</v>
      </c>
      <c r="K75" s="319" t="s">
        <v>622</v>
      </c>
      <c r="L75" s="138"/>
      <c r="M75" s="137"/>
    </row>
    <row r="76" spans="2:13" hidden="1">
      <c r="B76" s="172" t="s">
        <v>600</v>
      </c>
      <c r="C76" s="168" t="s">
        <v>35</v>
      </c>
      <c r="D76" s="167" t="s">
        <v>516</v>
      </c>
      <c r="E76" s="168">
        <v>235351</v>
      </c>
      <c r="F76" s="178" t="s">
        <v>65</v>
      </c>
      <c r="G76" s="170">
        <v>726.09</v>
      </c>
      <c r="H76" s="170"/>
      <c r="I76" s="171">
        <v>726.09</v>
      </c>
      <c r="J76" s="489" t="s">
        <v>9</v>
      </c>
      <c r="K76" s="319" t="s">
        <v>635</v>
      </c>
      <c r="L76" s="138"/>
      <c r="M76" s="137"/>
    </row>
    <row r="77" spans="2:13" hidden="1">
      <c r="B77" s="172" t="s">
        <v>600</v>
      </c>
      <c r="C77" s="168" t="s">
        <v>35</v>
      </c>
      <c r="D77" s="167" t="s">
        <v>168</v>
      </c>
      <c r="E77" s="168">
        <v>5306</v>
      </c>
      <c r="F77" s="178" t="s">
        <v>64</v>
      </c>
      <c r="G77" s="170">
        <v>2844</v>
      </c>
      <c r="H77" s="170">
        <v>426.6</v>
      </c>
      <c r="I77" s="171">
        <v>3270.6</v>
      </c>
      <c r="J77" s="489" t="s">
        <v>9</v>
      </c>
      <c r="K77" s="319" t="s">
        <v>635</v>
      </c>
      <c r="L77" s="138"/>
      <c r="M77" s="137"/>
    </row>
    <row r="78" spans="2:13" hidden="1">
      <c r="B78" s="660" t="s">
        <v>611</v>
      </c>
      <c r="C78" s="661" t="s">
        <v>35</v>
      </c>
      <c r="D78" s="167" t="s">
        <v>129</v>
      </c>
      <c r="E78" s="168">
        <v>602284</v>
      </c>
      <c r="F78" s="662" t="s">
        <v>64</v>
      </c>
      <c r="G78" s="170">
        <v>12754.31</v>
      </c>
      <c r="H78" s="170">
        <v>1913.18</v>
      </c>
      <c r="I78" s="171">
        <f>G78+H78</f>
        <v>14667.49</v>
      </c>
      <c r="J78" s="489" t="s">
        <v>9</v>
      </c>
      <c r="K78" s="319" t="s">
        <v>635</v>
      </c>
      <c r="L78" s="138"/>
      <c r="M78" s="137"/>
    </row>
    <row r="79" spans="2:13" hidden="1">
      <c r="B79" s="660" t="s">
        <v>608</v>
      </c>
      <c r="C79" s="661" t="s">
        <v>35</v>
      </c>
      <c r="D79" s="167" t="s">
        <v>142</v>
      </c>
      <c r="E79" s="168">
        <v>31377</v>
      </c>
      <c r="F79" s="662" t="s">
        <v>65</v>
      </c>
      <c r="G79" s="170">
        <v>1140</v>
      </c>
      <c r="H79" s="170">
        <v>171</v>
      </c>
      <c r="I79" s="171">
        <f t="shared" ref="I79:I80" si="0">G79+H79</f>
        <v>1311</v>
      </c>
      <c r="J79" s="489" t="s">
        <v>9</v>
      </c>
      <c r="K79" s="319" t="s">
        <v>635</v>
      </c>
      <c r="L79" s="138"/>
      <c r="M79" s="137"/>
    </row>
    <row r="80" spans="2:13" hidden="1">
      <c r="B80" s="660" t="s">
        <v>608</v>
      </c>
      <c r="C80" s="661" t="s">
        <v>35</v>
      </c>
      <c r="D80" s="167" t="s">
        <v>612</v>
      </c>
      <c r="E80" s="168">
        <v>1799509</v>
      </c>
      <c r="F80" s="662" t="s">
        <v>65</v>
      </c>
      <c r="G80" s="170">
        <v>3109</v>
      </c>
      <c r="H80" s="170">
        <v>466.35</v>
      </c>
      <c r="I80" s="171">
        <f t="shared" si="0"/>
        <v>3575.35</v>
      </c>
      <c r="J80" s="489" t="s">
        <v>9</v>
      </c>
      <c r="K80" s="319" t="s">
        <v>635</v>
      </c>
      <c r="L80" s="138"/>
      <c r="M80" s="137"/>
    </row>
    <row r="81" spans="2:13" hidden="1">
      <c r="B81" s="660" t="s">
        <v>608</v>
      </c>
      <c r="C81" s="661" t="s">
        <v>35</v>
      </c>
      <c r="D81" s="167" t="s">
        <v>152</v>
      </c>
      <c r="E81" s="168">
        <v>270912</v>
      </c>
      <c r="F81" s="662" t="s">
        <v>64</v>
      </c>
      <c r="G81" s="170">
        <v>2897.32</v>
      </c>
      <c r="H81" s="170">
        <v>434.61</v>
      </c>
      <c r="I81" s="171">
        <f>G81+H81</f>
        <v>3331.9300000000003</v>
      </c>
      <c r="J81" s="489" t="s">
        <v>9</v>
      </c>
      <c r="K81" s="319" t="s">
        <v>609</v>
      </c>
      <c r="L81" s="138"/>
      <c r="M81" s="137"/>
    </row>
    <row r="82" spans="2:13" hidden="1">
      <c r="B82" s="660" t="s">
        <v>613</v>
      </c>
      <c r="C82" s="661" t="s">
        <v>35</v>
      </c>
      <c r="D82" s="167" t="s">
        <v>516</v>
      </c>
      <c r="E82" s="168">
        <v>23649</v>
      </c>
      <c r="F82" s="662" t="s">
        <v>65</v>
      </c>
      <c r="G82" s="170">
        <v>802.73</v>
      </c>
      <c r="H82" s="170">
        <v>120.41</v>
      </c>
      <c r="I82" s="171">
        <f t="shared" ref="I82:I98" si="1">G82+H82</f>
        <v>923.14</v>
      </c>
      <c r="J82" s="489" t="s">
        <v>9</v>
      </c>
      <c r="K82" s="319" t="s">
        <v>635</v>
      </c>
      <c r="L82" s="138"/>
      <c r="M82" s="137"/>
    </row>
    <row r="83" spans="2:13" hidden="1">
      <c r="B83" s="666" t="s">
        <v>613</v>
      </c>
      <c r="C83" s="667" t="s">
        <v>35</v>
      </c>
      <c r="D83" s="167" t="s">
        <v>624</v>
      </c>
      <c r="E83" s="168">
        <v>2925990</v>
      </c>
      <c r="F83" s="668" t="s">
        <v>65</v>
      </c>
      <c r="G83" s="170">
        <v>3016.68</v>
      </c>
      <c r="H83" s="170">
        <v>452.51</v>
      </c>
      <c r="I83" s="171">
        <f t="shared" si="1"/>
        <v>3469.1899999999996</v>
      </c>
      <c r="J83" s="489" t="s">
        <v>9</v>
      </c>
      <c r="K83" s="319" t="s">
        <v>635</v>
      </c>
      <c r="L83" s="138"/>
      <c r="M83" s="137"/>
    </row>
    <row r="84" spans="2:13" hidden="1">
      <c r="B84" s="666" t="s">
        <v>613</v>
      </c>
      <c r="C84" s="667" t="s">
        <v>35</v>
      </c>
      <c r="D84" s="167" t="s">
        <v>625</v>
      </c>
      <c r="E84" s="168">
        <v>2926077</v>
      </c>
      <c r="F84" s="668" t="s">
        <v>64</v>
      </c>
      <c r="G84" s="170">
        <f>11734.05-H84</f>
        <v>10203.509999999998</v>
      </c>
      <c r="H84" s="170">
        <v>1530.54</v>
      </c>
      <c r="I84" s="171">
        <f t="shared" si="1"/>
        <v>11734.05</v>
      </c>
      <c r="J84" s="489" t="s">
        <v>9</v>
      </c>
      <c r="K84" s="319" t="s">
        <v>635</v>
      </c>
      <c r="L84" s="138"/>
      <c r="M84" s="137"/>
    </row>
    <row r="85" spans="2:13" hidden="1">
      <c r="B85" s="666" t="s">
        <v>613</v>
      </c>
      <c r="C85" s="667" t="s">
        <v>35</v>
      </c>
      <c r="D85" s="167" t="s">
        <v>626</v>
      </c>
      <c r="E85" s="661">
        <v>2926136</v>
      </c>
      <c r="F85" s="668" t="s">
        <v>64</v>
      </c>
      <c r="G85" s="170">
        <v>10132.459999999999</v>
      </c>
      <c r="H85" s="170">
        <v>1480.86</v>
      </c>
      <c r="I85" s="171">
        <f t="shared" si="1"/>
        <v>11613.32</v>
      </c>
      <c r="J85" s="489" t="s">
        <v>9</v>
      </c>
      <c r="K85" s="319" t="s">
        <v>635</v>
      </c>
      <c r="L85" s="138"/>
      <c r="M85" s="137"/>
    </row>
    <row r="86" spans="2:13" hidden="1">
      <c r="B86" s="660" t="s">
        <v>610</v>
      </c>
      <c r="C86" s="661" t="s">
        <v>35</v>
      </c>
      <c r="D86" s="167" t="s">
        <v>130</v>
      </c>
      <c r="E86" s="168">
        <v>9630909</v>
      </c>
      <c r="F86" s="662" t="s">
        <v>77</v>
      </c>
      <c r="G86" s="170">
        <v>367803.43</v>
      </c>
      <c r="H86" s="170"/>
      <c r="I86" s="171">
        <f t="shared" ref="I86:I89" si="2">G86+H86</f>
        <v>367803.43</v>
      </c>
      <c r="J86" s="489" t="s">
        <v>9</v>
      </c>
      <c r="K86" s="319" t="s">
        <v>622</v>
      </c>
      <c r="L86" s="138"/>
      <c r="M86" s="137"/>
    </row>
    <row r="87" spans="2:13" hidden="1">
      <c r="B87" s="660" t="s">
        <v>610</v>
      </c>
      <c r="C87" s="661" t="s">
        <v>42</v>
      </c>
      <c r="D87" s="167" t="s">
        <v>614</v>
      </c>
      <c r="E87" s="168">
        <v>27197</v>
      </c>
      <c r="F87" s="662" t="s">
        <v>64</v>
      </c>
      <c r="G87" s="170">
        <v>450</v>
      </c>
      <c r="H87" s="170">
        <v>67.5</v>
      </c>
      <c r="I87" s="171">
        <f t="shared" si="2"/>
        <v>517.5</v>
      </c>
      <c r="J87" s="489" t="s">
        <v>9</v>
      </c>
      <c r="K87" s="319" t="s">
        <v>635</v>
      </c>
      <c r="L87" s="138"/>
      <c r="M87" s="137"/>
    </row>
    <row r="88" spans="2:13" hidden="1">
      <c r="B88" s="660" t="s">
        <v>610</v>
      </c>
      <c r="C88" s="661" t="s">
        <v>42</v>
      </c>
      <c r="D88" s="167" t="s">
        <v>615</v>
      </c>
      <c r="E88" s="661" t="s">
        <v>616</v>
      </c>
      <c r="F88" s="662" t="s">
        <v>64</v>
      </c>
      <c r="G88" s="170">
        <v>3500</v>
      </c>
      <c r="H88" s="170"/>
      <c r="I88" s="171">
        <f t="shared" si="2"/>
        <v>3500</v>
      </c>
      <c r="J88" s="489" t="s">
        <v>9</v>
      </c>
      <c r="K88" s="319" t="s">
        <v>635</v>
      </c>
      <c r="L88" s="375"/>
      <c r="M88" s="137"/>
    </row>
    <row r="89" spans="2:13" hidden="1">
      <c r="B89" s="172" t="s">
        <v>623</v>
      </c>
      <c r="C89" s="168" t="s">
        <v>35</v>
      </c>
      <c r="D89" s="167" t="s">
        <v>140</v>
      </c>
      <c r="E89" s="168">
        <v>133792412</v>
      </c>
      <c r="F89" s="178" t="s">
        <v>64</v>
      </c>
      <c r="G89" s="170">
        <v>3430.98</v>
      </c>
      <c r="H89" s="170">
        <v>482.71</v>
      </c>
      <c r="I89" s="171">
        <f t="shared" si="2"/>
        <v>3913.69</v>
      </c>
      <c r="J89" s="489" t="s">
        <v>9</v>
      </c>
      <c r="K89" s="319" t="s">
        <v>622</v>
      </c>
      <c r="L89" s="425"/>
      <c r="M89" s="137"/>
    </row>
    <row r="90" spans="2:13" hidden="1">
      <c r="B90" s="666" t="s">
        <v>623</v>
      </c>
      <c r="C90" s="667" t="s">
        <v>35</v>
      </c>
      <c r="D90" s="167" t="s">
        <v>152</v>
      </c>
      <c r="E90" s="168">
        <v>271878</v>
      </c>
      <c r="F90" s="668" t="s">
        <v>64</v>
      </c>
      <c r="G90" s="170">
        <v>3301.51</v>
      </c>
      <c r="H90" s="170">
        <v>495.22</v>
      </c>
      <c r="I90" s="171">
        <f t="shared" si="1"/>
        <v>3796.7300000000005</v>
      </c>
      <c r="J90" s="489" t="s">
        <v>9</v>
      </c>
      <c r="K90" s="319" t="s">
        <v>622</v>
      </c>
      <c r="L90" s="425"/>
      <c r="M90" s="137"/>
    </row>
    <row r="91" spans="2:13" hidden="1">
      <c r="B91" s="666" t="s">
        <v>623</v>
      </c>
      <c r="C91" s="667" t="s">
        <v>35</v>
      </c>
      <c r="D91" s="167" t="s">
        <v>627</v>
      </c>
      <c r="E91" s="168">
        <v>271800</v>
      </c>
      <c r="F91" s="668" t="s">
        <v>64</v>
      </c>
      <c r="G91" s="170">
        <v>5921.96</v>
      </c>
      <c r="H91" s="170">
        <v>888.3</v>
      </c>
      <c r="I91" s="171">
        <f t="shared" si="1"/>
        <v>6810.26</v>
      </c>
      <c r="J91" s="489" t="s">
        <v>9</v>
      </c>
      <c r="K91" s="319" t="s">
        <v>622</v>
      </c>
      <c r="L91" s="425"/>
      <c r="M91" s="137"/>
    </row>
    <row r="92" spans="2:13" hidden="1">
      <c r="B92" s="666" t="s">
        <v>623</v>
      </c>
      <c r="C92" s="667" t="s">
        <v>35</v>
      </c>
      <c r="D92" s="167" t="s">
        <v>121</v>
      </c>
      <c r="E92" s="168">
        <v>84042</v>
      </c>
      <c r="F92" s="668" t="s">
        <v>64</v>
      </c>
      <c r="G92" s="170">
        <v>2001.65</v>
      </c>
      <c r="H92" s="170">
        <v>277.75</v>
      </c>
      <c r="I92" s="171">
        <f t="shared" si="1"/>
        <v>2279.4</v>
      </c>
      <c r="J92" s="489" t="s">
        <v>9</v>
      </c>
      <c r="K92" s="319" t="s">
        <v>635</v>
      </c>
      <c r="L92" s="138"/>
      <c r="M92" s="137"/>
    </row>
    <row r="93" spans="2:13" hidden="1">
      <c r="B93" s="666" t="s">
        <v>623</v>
      </c>
      <c r="C93" s="667" t="s">
        <v>35</v>
      </c>
      <c r="D93" s="167" t="s">
        <v>72</v>
      </c>
      <c r="E93" s="168">
        <v>40874</v>
      </c>
      <c r="F93" s="668" t="s">
        <v>65</v>
      </c>
      <c r="G93" s="170">
        <v>1450</v>
      </c>
      <c r="H93" s="170">
        <v>217.5</v>
      </c>
      <c r="I93" s="171">
        <f t="shared" si="1"/>
        <v>1667.5</v>
      </c>
      <c r="J93" s="489" t="s">
        <v>9</v>
      </c>
      <c r="K93" s="319" t="s">
        <v>635</v>
      </c>
      <c r="L93" s="138"/>
      <c r="M93" s="137"/>
    </row>
    <row r="94" spans="2:13" hidden="1">
      <c r="B94" s="172" t="s">
        <v>632</v>
      </c>
      <c r="C94" s="168" t="s">
        <v>42</v>
      </c>
      <c r="D94" s="167" t="s">
        <v>566</v>
      </c>
      <c r="E94" s="168"/>
      <c r="F94" s="178" t="s">
        <v>567</v>
      </c>
      <c r="G94" s="170"/>
      <c r="H94" s="170"/>
      <c r="I94" s="171">
        <v>9046.36</v>
      </c>
      <c r="J94" s="489" t="s">
        <v>9</v>
      </c>
      <c r="K94" s="319" t="s">
        <v>635</v>
      </c>
      <c r="L94" s="138"/>
      <c r="M94" s="137"/>
    </row>
    <row r="95" spans="2:13" hidden="1">
      <c r="B95" s="172" t="s">
        <v>632</v>
      </c>
      <c r="C95" s="168" t="s">
        <v>42</v>
      </c>
      <c r="D95" s="167" t="s">
        <v>636</v>
      </c>
      <c r="E95" s="168"/>
      <c r="F95" s="178" t="s">
        <v>222</v>
      </c>
      <c r="G95" s="170"/>
      <c r="H95" s="170"/>
      <c r="I95" s="171">
        <v>350</v>
      </c>
      <c r="J95" s="489" t="s">
        <v>9</v>
      </c>
      <c r="K95" s="319" t="s">
        <v>635</v>
      </c>
      <c r="L95" s="138"/>
      <c r="M95" s="137"/>
    </row>
    <row r="96" spans="2:13">
      <c r="B96" s="430" t="s">
        <v>632</v>
      </c>
      <c r="C96" s="215" t="s">
        <v>42</v>
      </c>
      <c r="D96" s="216" t="s">
        <v>215</v>
      </c>
      <c r="E96" s="215"/>
      <c r="F96" s="431" t="s">
        <v>567</v>
      </c>
      <c r="G96" s="217"/>
      <c r="H96" s="217"/>
      <c r="I96" s="329">
        <v>1700</v>
      </c>
      <c r="J96" s="331"/>
      <c r="K96" s="138"/>
      <c r="L96" s="138"/>
      <c r="M96" s="137"/>
    </row>
    <row r="97" spans="2:13">
      <c r="B97" s="430" t="s">
        <v>632</v>
      </c>
      <c r="C97" s="215" t="s">
        <v>42</v>
      </c>
      <c r="D97" s="216" t="s">
        <v>637</v>
      </c>
      <c r="E97" s="215"/>
      <c r="F97" s="431" t="s">
        <v>638</v>
      </c>
      <c r="G97" s="217"/>
      <c r="H97" s="217"/>
      <c r="I97" s="329">
        <v>1092.5</v>
      </c>
      <c r="J97" s="331"/>
      <c r="K97" s="138"/>
      <c r="L97" s="138"/>
      <c r="M97" s="137"/>
    </row>
    <row r="98" spans="2:13">
      <c r="B98" s="430"/>
      <c r="C98" s="215"/>
      <c r="D98" s="216"/>
      <c r="E98" s="215"/>
      <c r="F98" s="431"/>
      <c r="G98" s="217"/>
      <c r="H98" s="217"/>
      <c r="I98" s="329">
        <f t="shared" si="1"/>
        <v>0</v>
      </c>
      <c r="J98" s="331"/>
      <c r="K98" s="138"/>
      <c r="L98" s="138"/>
      <c r="M98" s="137"/>
    </row>
    <row r="99" spans="2:13" ht="15.75" thickBot="1">
      <c r="B99" s="139"/>
      <c r="G99" s="141">
        <f>SUM(G7:G98)</f>
        <v>2452650.0999999996</v>
      </c>
      <c r="H99" s="141">
        <f>SUM(H7:H98)</f>
        <v>40757.409999999996</v>
      </c>
      <c r="I99" s="141">
        <f>SUM(I7:I98)</f>
        <v>2506348.9699999997</v>
      </c>
      <c r="J99" s="689"/>
      <c r="K99" s="332"/>
      <c r="L99" s="138"/>
    </row>
    <row r="100" spans="2:13" ht="16.5" thickTop="1" thickBot="1">
      <c r="B100" s="143"/>
      <c r="C100" s="144"/>
      <c r="D100" s="145"/>
      <c r="E100" s="144"/>
      <c r="F100" s="144"/>
      <c r="G100" s="146"/>
      <c r="H100" s="146"/>
      <c r="I100" s="147"/>
      <c r="K100" s="138"/>
      <c r="L100" s="137">
        <v>5773.08</v>
      </c>
      <c r="M100" s="137"/>
    </row>
    <row r="101" spans="2:13">
      <c r="L101" s="375">
        <f>L88-L100</f>
        <v>-5773.08</v>
      </c>
      <c r="M101" s="137" t="s">
        <v>391</v>
      </c>
    </row>
  </sheetData>
  <autoFilter ref="A6:O101" xr:uid="{35208B75-4B8D-486B-BB9F-5126F6BA1A9D}">
    <filterColumn colId="9">
      <filters blank="1">
        <filter val="Tatum please check this inv 40629 is not paid 28/01/2026 R1377,70 IVE GIVEN YOU THE INVOICE LAST WEEK TO HAVE A LOOK. ON THE JAN SHEET ITS NOT PUT DOWN AS PAID YET SO ITS OUTSTANDING."/>
      </filters>
    </filterColumn>
  </autoFilter>
  <mergeCells count="3">
    <mergeCell ref="B1:I1"/>
    <mergeCell ref="B3:I3"/>
    <mergeCell ref="C5:E5"/>
  </mergeCells>
  <phoneticPr fontId="136" type="noConversion"/>
  <conditionalFormatting sqref="J1:J18 L7:L8 K7:K12 J26:J30 J31:K31 J32:J38 J39:K42 J43:J1048576">
    <cfRule type="containsText" dxfId="11" priority="7" operator="containsText" text="FALSE">
      <formula>NOT(ISERROR(SEARCH("FALSE",J1)))</formula>
    </cfRule>
    <cfRule type="containsText" dxfId="10" priority="8" operator="containsText" text="TRUE">
      <formula>NOT(ISERROR(SEARCH("TRUE",J1)))</formula>
    </cfRule>
  </conditionalFormatting>
  <conditionalFormatting sqref="K16:K18 J19:K25">
    <cfRule type="containsText" dxfId="9" priority="1" operator="containsText" text="FALSE">
      <formula>NOT(ISERROR(SEARCH("FALSE",J16)))</formula>
    </cfRule>
    <cfRule type="containsText" dxfId="8" priority="2" operator="containsText" text="TRUE">
      <formula>NOT(ISERROR(SEARCH("TRUE",J16)))</formula>
    </cfRule>
  </conditionalFormatting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01FE5-B5CB-45E9-8C25-A860AEE7FB23}">
  <dimension ref="B1:N124"/>
  <sheetViews>
    <sheetView topLeftCell="B26" workbookViewId="0">
      <selection activeCell="J6" sqref="J6:K6"/>
    </sheetView>
  </sheetViews>
  <sheetFormatPr defaultColWidth="8.5703125" defaultRowHeight="15"/>
  <cols>
    <col min="1" max="1" width="3.140625" style="107" customWidth="1"/>
    <col min="2" max="2" width="29.5703125" style="148" customWidth="1"/>
    <col min="3" max="3" width="14.42578125" style="107" customWidth="1"/>
    <col min="4" max="4" width="38.42578125" style="140" bestFit="1" customWidth="1"/>
    <col min="5" max="5" width="20.42578125" style="140" customWidth="1"/>
    <col min="6" max="6" width="17.140625" style="140" customWidth="1"/>
    <col min="7" max="8" width="15.42578125" style="149" customWidth="1"/>
    <col min="9" max="9" width="17" style="149" customWidth="1"/>
    <col min="10" max="10" width="15.42578125" style="121" customWidth="1"/>
    <col min="11" max="11" width="9.42578125" style="107" customWidth="1"/>
    <col min="12" max="12" width="12.85546875" style="107" bestFit="1" customWidth="1"/>
    <col min="13" max="13" width="28.140625" style="107" customWidth="1"/>
    <col min="14" max="14" width="48.42578125" style="107" customWidth="1"/>
    <col min="15" max="15" width="9.85546875" style="107" customWidth="1"/>
    <col min="16" max="16384" width="8.5703125" style="107"/>
  </cols>
  <sheetData>
    <row r="1" spans="2:14" ht="9" customHeight="1" thickBot="1">
      <c r="B1" s="772"/>
      <c r="C1" s="772"/>
      <c r="D1" s="772"/>
      <c r="E1" s="772"/>
      <c r="F1" s="772"/>
      <c r="G1" s="772"/>
      <c r="H1" s="772"/>
      <c r="I1" s="772"/>
      <c r="J1" s="106"/>
    </row>
    <row r="2" spans="2:14" ht="9" customHeight="1" thickBot="1">
      <c r="B2" s="108"/>
      <c r="C2" s="109"/>
      <c r="D2" s="110"/>
      <c r="E2" s="110"/>
      <c r="F2" s="110"/>
      <c r="G2" s="111"/>
      <c r="H2" s="111"/>
      <c r="I2" s="112"/>
      <c r="J2" s="113"/>
    </row>
    <row r="3" spans="2:14">
      <c r="B3" s="778" t="s">
        <v>70</v>
      </c>
      <c r="C3" s="779"/>
      <c r="D3" s="779"/>
      <c r="E3" s="779"/>
      <c r="F3" s="779"/>
      <c r="G3" s="779"/>
      <c r="H3" s="779"/>
      <c r="I3" s="780"/>
      <c r="J3" s="114"/>
    </row>
    <row r="4" spans="2:14">
      <c r="B4" s="115"/>
      <c r="C4" s="106"/>
      <c r="D4" s="116"/>
      <c r="E4" s="116"/>
      <c r="F4" s="116"/>
      <c r="G4" s="117"/>
      <c r="H4" s="117"/>
      <c r="I4" s="118"/>
      <c r="J4" s="113"/>
    </row>
    <row r="5" spans="2:14">
      <c r="B5" s="115" t="s">
        <v>0</v>
      </c>
      <c r="C5" s="776">
        <v>46138</v>
      </c>
      <c r="D5" s="777"/>
      <c r="E5" s="777"/>
      <c r="G5" s="119"/>
      <c r="H5" s="119"/>
      <c r="I5" s="120"/>
    </row>
    <row r="6" spans="2:14" ht="45">
      <c r="B6" s="122" t="s">
        <v>1</v>
      </c>
      <c r="C6" s="123" t="s">
        <v>2</v>
      </c>
      <c r="D6" s="124" t="s">
        <v>3</v>
      </c>
      <c r="E6" s="125" t="s">
        <v>4</v>
      </c>
      <c r="F6" s="124" t="s">
        <v>5</v>
      </c>
      <c r="G6" s="126" t="s">
        <v>6</v>
      </c>
      <c r="H6" s="126" t="s">
        <v>7</v>
      </c>
      <c r="I6" s="127" t="s">
        <v>8</v>
      </c>
      <c r="J6" s="128" t="s">
        <v>9</v>
      </c>
      <c r="K6" s="128" t="s">
        <v>33</v>
      </c>
      <c r="L6" s="129"/>
      <c r="M6" s="129"/>
    </row>
    <row r="7" spans="2:14">
      <c r="B7" s="263" t="s">
        <v>515</v>
      </c>
      <c r="C7" s="264" t="s">
        <v>35</v>
      </c>
      <c r="D7" s="265" t="s">
        <v>105</v>
      </c>
      <c r="E7" s="266">
        <v>29438042</v>
      </c>
      <c r="F7" s="265" t="s">
        <v>64</v>
      </c>
      <c r="G7" s="267">
        <v>96</v>
      </c>
      <c r="H7" s="268"/>
      <c r="I7" s="438">
        <v>96</v>
      </c>
      <c r="J7" s="573" t="s">
        <v>343</v>
      </c>
      <c r="K7" s="555"/>
      <c r="L7" s="555"/>
      <c r="M7" s="555"/>
      <c r="N7" s="328"/>
    </row>
    <row r="8" spans="2:14">
      <c r="B8" s="263" t="s">
        <v>515</v>
      </c>
      <c r="C8" s="264" t="s">
        <v>35</v>
      </c>
      <c r="D8" s="265" t="s">
        <v>407</v>
      </c>
      <c r="E8" s="266">
        <v>79022</v>
      </c>
      <c r="F8" s="265" t="s">
        <v>65</v>
      </c>
      <c r="G8" s="267">
        <v>360</v>
      </c>
      <c r="H8" s="268"/>
      <c r="I8" s="171">
        <v>360</v>
      </c>
      <c r="J8" s="574" t="s">
        <v>343</v>
      </c>
      <c r="K8" s="556"/>
      <c r="L8" s="555"/>
      <c r="M8" s="555"/>
      <c r="N8" s="328"/>
    </row>
    <row r="9" spans="2:14">
      <c r="B9" s="575" t="s">
        <v>515</v>
      </c>
      <c r="C9" s="576" t="s">
        <v>35</v>
      </c>
      <c r="D9" s="167" t="s">
        <v>519</v>
      </c>
      <c r="E9" s="168">
        <v>12526</v>
      </c>
      <c r="F9" s="576" t="s">
        <v>64</v>
      </c>
      <c r="G9" s="170">
        <v>320.56</v>
      </c>
      <c r="H9" s="170">
        <v>31.1</v>
      </c>
      <c r="I9" s="171">
        <v>351.66</v>
      </c>
      <c r="J9" s="574" t="s">
        <v>343</v>
      </c>
      <c r="K9" s="332"/>
      <c r="L9" s="332"/>
      <c r="M9" s="333"/>
      <c r="N9" s="328"/>
    </row>
    <row r="10" spans="2:14">
      <c r="B10" s="577" t="s">
        <v>515</v>
      </c>
      <c r="C10" s="578" t="s">
        <v>35</v>
      </c>
      <c r="D10" s="167" t="s">
        <v>370</v>
      </c>
      <c r="E10" s="168">
        <v>80518</v>
      </c>
      <c r="F10" s="578" t="s">
        <v>64</v>
      </c>
      <c r="G10" s="170">
        <v>164.78</v>
      </c>
      <c r="H10" s="170">
        <v>15.12</v>
      </c>
      <c r="I10" s="171">
        <v>179.9</v>
      </c>
      <c r="J10" s="579" t="s">
        <v>343</v>
      </c>
      <c r="K10" s="332"/>
      <c r="L10" s="332"/>
      <c r="M10" s="333"/>
      <c r="N10" s="328"/>
    </row>
    <row r="11" spans="2:14">
      <c r="B11" s="586" t="s">
        <v>518</v>
      </c>
      <c r="C11" s="168" t="s">
        <v>35</v>
      </c>
      <c r="D11" s="167" t="s">
        <v>519</v>
      </c>
      <c r="E11" s="168">
        <v>13629</v>
      </c>
      <c r="F11" s="608" t="s">
        <v>64</v>
      </c>
      <c r="G11" s="170">
        <v>149.04</v>
      </c>
      <c r="H11" s="170"/>
      <c r="I11" s="171">
        <v>149.04</v>
      </c>
      <c r="J11" s="444" t="s">
        <v>343</v>
      </c>
      <c r="K11" s="443"/>
      <c r="L11" s="332"/>
      <c r="M11" s="333"/>
      <c r="N11" s="328"/>
    </row>
    <row r="12" spans="2:14">
      <c r="B12" s="577" t="s">
        <v>515</v>
      </c>
      <c r="C12" s="578" t="s">
        <v>42</v>
      </c>
      <c r="D12" s="167" t="s">
        <v>215</v>
      </c>
      <c r="E12" s="168">
        <v>41645</v>
      </c>
      <c r="F12" s="578" t="s">
        <v>373</v>
      </c>
      <c r="G12" s="170">
        <v>1478.26</v>
      </c>
      <c r="H12" s="170">
        <v>221.74</v>
      </c>
      <c r="I12" s="601">
        <v>1700</v>
      </c>
      <c r="J12" s="525" t="s">
        <v>9</v>
      </c>
      <c r="K12" s="319" t="s">
        <v>547</v>
      </c>
      <c r="L12" s="319"/>
      <c r="M12" s="333"/>
      <c r="N12" s="328"/>
    </row>
    <row r="13" spans="2:14">
      <c r="B13" s="174" t="s">
        <v>518</v>
      </c>
      <c r="C13" s="167" t="s">
        <v>42</v>
      </c>
      <c r="D13" s="167" t="s">
        <v>521</v>
      </c>
      <c r="E13" s="167">
        <v>400112380</v>
      </c>
      <c r="F13" s="167" t="s">
        <v>522</v>
      </c>
      <c r="G13" s="176">
        <v>45733.5</v>
      </c>
      <c r="H13" s="176">
        <v>6860.03</v>
      </c>
      <c r="I13" s="177">
        <v>52593.53</v>
      </c>
      <c r="J13" s="475" t="s">
        <v>61</v>
      </c>
      <c r="K13" s="319" t="s">
        <v>520</v>
      </c>
      <c r="L13" s="319"/>
      <c r="M13" s="333"/>
      <c r="N13" s="328"/>
    </row>
    <row r="14" spans="2:14">
      <c r="B14" s="587" t="s">
        <v>524</v>
      </c>
      <c r="C14" s="588" t="s">
        <v>35</v>
      </c>
      <c r="D14" s="167" t="s">
        <v>114</v>
      </c>
      <c r="E14" s="168">
        <v>669</v>
      </c>
      <c r="F14" s="588" t="s">
        <v>64</v>
      </c>
      <c r="G14" s="279">
        <v>3840</v>
      </c>
      <c r="H14" s="170"/>
      <c r="I14" s="171">
        <v>3840</v>
      </c>
      <c r="J14" s="489" t="s">
        <v>525</v>
      </c>
      <c r="K14" s="332"/>
      <c r="L14" s="332"/>
      <c r="M14" s="333"/>
      <c r="N14" s="328"/>
    </row>
    <row r="15" spans="2:14">
      <c r="B15" s="587" t="s">
        <v>527</v>
      </c>
      <c r="C15" s="588" t="s">
        <v>35</v>
      </c>
      <c r="D15" s="167" t="s">
        <v>519</v>
      </c>
      <c r="E15" s="168">
        <v>14746</v>
      </c>
      <c r="F15" s="588" t="s">
        <v>64</v>
      </c>
      <c r="G15" s="170">
        <v>320.56</v>
      </c>
      <c r="H15" s="170">
        <v>31.1</v>
      </c>
      <c r="I15" s="171">
        <v>351.66</v>
      </c>
      <c r="J15" s="507" t="s">
        <v>343</v>
      </c>
      <c r="K15" s="332"/>
      <c r="L15" s="332"/>
      <c r="M15" s="333"/>
      <c r="N15" s="328"/>
    </row>
    <row r="16" spans="2:14">
      <c r="B16" s="587" t="s">
        <v>530</v>
      </c>
      <c r="C16" s="588" t="s">
        <v>42</v>
      </c>
      <c r="D16" s="167" t="s">
        <v>531</v>
      </c>
      <c r="E16" s="168"/>
      <c r="F16" s="588" t="s">
        <v>354</v>
      </c>
      <c r="G16" s="170">
        <v>3788.01</v>
      </c>
      <c r="H16" s="170"/>
      <c r="I16" s="171">
        <v>3788.01</v>
      </c>
      <c r="J16" s="589" t="s">
        <v>9</v>
      </c>
      <c r="K16" s="319" t="s">
        <v>532</v>
      </c>
      <c r="L16" s="319"/>
      <c r="M16" s="333"/>
      <c r="N16" s="328"/>
    </row>
    <row r="17" spans="2:14">
      <c r="B17" s="590" t="s">
        <v>527</v>
      </c>
      <c r="C17" s="591" t="s">
        <v>35</v>
      </c>
      <c r="D17" s="167" t="s">
        <v>407</v>
      </c>
      <c r="E17" s="168">
        <v>79074</v>
      </c>
      <c r="F17" s="591" t="s">
        <v>65</v>
      </c>
      <c r="G17" s="170">
        <v>540</v>
      </c>
      <c r="H17" s="170"/>
      <c r="I17" s="171">
        <v>540</v>
      </c>
      <c r="J17" s="592" t="s">
        <v>343</v>
      </c>
      <c r="K17" s="332"/>
      <c r="L17" s="332"/>
      <c r="M17" s="333"/>
      <c r="N17" s="328"/>
    </row>
    <row r="18" spans="2:14">
      <c r="B18" s="593" t="s">
        <v>537</v>
      </c>
      <c r="C18" s="594" t="s">
        <v>35</v>
      </c>
      <c r="D18" s="167" t="s">
        <v>105</v>
      </c>
      <c r="E18" s="168">
        <v>29438087</v>
      </c>
      <c r="F18" s="594" t="s">
        <v>64</v>
      </c>
      <c r="G18" s="170">
        <v>175</v>
      </c>
      <c r="H18" s="170"/>
      <c r="I18" s="171">
        <v>175</v>
      </c>
      <c r="J18" s="596" t="s">
        <v>343</v>
      </c>
      <c r="K18" s="332"/>
      <c r="L18" s="332"/>
      <c r="M18" s="333"/>
      <c r="N18" s="328"/>
    </row>
    <row r="19" spans="2:14">
      <c r="B19" s="174" t="s">
        <v>537</v>
      </c>
      <c r="C19" s="167" t="s">
        <v>35</v>
      </c>
      <c r="D19" s="167" t="s">
        <v>370</v>
      </c>
      <c r="E19" s="167">
        <v>43665</v>
      </c>
      <c r="F19" s="167" t="s">
        <v>64</v>
      </c>
      <c r="G19" s="176">
        <v>135.21</v>
      </c>
      <c r="H19" s="176"/>
      <c r="I19" s="177">
        <v>135.24</v>
      </c>
      <c r="J19" s="525" t="s">
        <v>343</v>
      </c>
      <c r="K19" s="332"/>
      <c r="L19" s="332"/>
      <c r="M19" s="333"/>
      <c r="N19" s="328"/>
    </row>
    <row r="20" spans="2:14">
      <c r="B20" s="593" t="s">
        <v>537</v>
      </c>
      <c r="C20" s="594" t="s">
        <v>35</v>
      </c>
      <c r="D20" s="167" t="s">
        <v>519</v>
      </c>
      <c r="E20" s="168">
        <v>18483</v>
      </c>
      <c r="F20" s="594" t="s">
        <v>64</v>
      </c>
      <c r="G20" s="170">
        <v>320.56</v>
      </c>
      <c r="H20" s="170">
        <v>31.1</v>
      </c>
      <c r="I20" s="171">
        <v>351.66</v>
      </c>
      <c r="J20" s="596" t="s">
        <v>343</v>
      </c>
      <c r="K20" s="332"/>
      <c r="L20" s="557"/>
      <c r="M20" s="333"/>
      <c r="N20" s="328"/>
    </row>
    <row r="21" spans="2:14">
      <c r="B21" s="597" t="s">
        <v>537</v>
      </c>
      <c r="C21" s="598" t="s">
        <v>42</v>
      </c>
      <c r="D21" s="167" t="s">
        <v>541</v>
      </c>
      <c r="E21" s="168">
        <v>2810</v>
      </c>
      <c r="F21" s="497"/>
      <c r="G21" s="170">
        <v>5001.5</v>
      </c>
      <c r="H21" s="170">
        <v>750.23</v>
      </c>
      <c r="I21" s="171">
        <v>5751.73</v>
      </c>
      <c r="J21" s="599" t="s">
        <v>61</v>
      </c>
      <c r="K21" s="319" t="s">
        <v>542</v>
      </c>
      <c r="L21" s="319"/>
      <c r="M21" s="333"/>
      <c r="N21" s="328"/>
    </row>
    <row r="22" spans="2:14">
      <c r="B22" s="172" t="s">
        <v>537</v>
      </c>
      <c r="C22" s="168" t="s">
        <v>42</v>
      </c>
      <c r="D22" s="167" t="s">
        <v>543</v>
      </c>
      <c r="E22" s="168">
        <v>3673</v>
      </c>
      <c r="F22" s="609" t="s">
        <v>60</v>
      </c>
      <c r="G22" s="170">
        <v>1765</v>
      </c>
      <c r="H22" s="170">
        <v>264.75</v>
      </c>
      <c r="I22" s="171">
        <v>2029.75</v>
      </c>
      <c r="J22" s="444" t="s">
        <v>9</v>
      </c>
      <c r="K22" s="319" t="s">
        <v>547</v>
      </c>
      <c r="L22" s="319"/>
      <c r="M22" s="333"/>
      <c r="N22" s="328"/>
    </row>
    <row r="23" spans="2:14">
      <c r="B23" s="172" t="s">
        <v>545</v>
      </c>
      <c r="C23" s="168" t="s">
        <v>35</v>
      </c>
      <c r="D23" s="167" t="s">
        <v>448</v>
      </c>
      <c r="E23" s="168">
        <v>89437</v>
      </c>
      <c r="F23" s="610" t="s">
        <v>64</v>
      </c>
      <c r="G23" s="170">
        <v>254.6</v>
      </c>
      <c r="H23" s="170">
        <v>38.200000000000003</v>
      </c>
      <c r="I23" s="171">
        <v>292.8</v>
      </c>
      <c r="J23" s="651" t="s">
        <v>9</v>
      </c>
      <c r="K23" s="319" t="s">
        <v>590</v>
      </c>
      <c r="L23" s="319"/>
      <c r="M23" s="333"/>
      <c r="N23" s="328"/>
    </row>
    <row r="24" spans="2:14">
      <c r="B24" s="172" t="s">
        <v>545</v>
      </c>
      <c r="C24" s="168" t="s">
        <v>35</v>
      </c>
      <c r="D24" s="167" t="s">
        <v>212</v>
      </c>
      <c r="E24" s="168">
        <v>195</v>
      </c>
      <c r="F24" s="610" t="s">
        <v>65</v>
      </c>
      <c r="G24" s="170">
        <v>305</v>
      </c>
      <c r="H24" s="170"/>
      <c r="I24" s="171">
        <v>305</v>
      </c>
      <c r="J24" s="150" t="s">
        <v>546</v>
      </c>
      <c r="K24" s="332"/>
      <c r="L24" s="558"/>
      <c r="M24" s="333"/>
      <c r="N24" s="328"/>
    </row>
    <row r="25" spans="2:14">
      <c r="B25" s="602" t="s">
        <v>545</v>
      </c>
      <c r="C25" s="603" t="s">
        <v>35</v>
      </c>
      <c r="D25" s="216" t="s">
        <v>548</v>
      </c>
      <c r="E25" s="215"/>
      <c r="F25" s="603" t="s">
        <v>549</v>
      </c>
      <c r="G25" s="217">
        <v>7000</v>
      </c>
      <c r="H25" s="217"/>
      <c r="I25" s="329">
        <v>7000</v>
      </c>
      <c r="J25" s="559"/>
      <c r="K25" s="332"/>
      <c r="L25" s="558"/>
      <c r="M25" s="333"/>
      <c r="N25" s="328"/>
    </row>
    <row r="26" spans="2:14">
      <c r="B26" s="604" t="s">
        <v>545</v>
      </c>
      <c r="C26" s="605" t="s">
        <v>35</v>
      </c>
      <c r="D26" s="167" t="s">
        <v>387</v>
      </c>
      <c r="E26" s="168">
        <v>2823853</v>
      </c>
      <c r="F26" s="605" t="s">
        <v>65</v>
      </c>
      <c r="G26" s="170">
        <v>269.60000000000002</v>
      </c>
      <c r="H26" s="170">
        <v>40.450000000000003</v>
      </c>
      <c r="I26" s="171">
        <v>310.05</v>
      </c>
      <c r="J26" s="507" t="s">
        <v>343</v>
      </c>
      <c r="K26" s="332"/>
      <c r="L26" s="558"/>
      <c r="M26" s="560"/>
      <c r="N26" s="328"/>
    </row>
    <row r="27" spans="2:14" s="137" customFormat="1">
      <c r="B27" s="174" t="s">
        <v>545</v>
      </c>
      <c r="C27" s="167" t="s">
        <v>35</v>
      </c>
      <c r="D27" s="167" t="s">
        <v>519</v>
      </c>
      <c r="E27" s="167">
        <v>620666</v>
      </c>
      <c r="F27" s="605" t="s">
        <v>64</v>
      </c>
      <c r="G27" s="176">
        <v>320.56</v>
      </c>
      <c r="H27" s="176">
        <v>31.1</v>
      </c>
      <c r="I27" s="171">
        <v>351.66</v>
      </c>
      <c r="J27" s="444" t="s">
        <v>343</v>
      </c>
      <c r="K27" s="332"/>
      <c r="L27" s="561"/>
      <c r="M27" s="333"/>
      <c r="N27" s="333"/>
    </row>
    <row r="28" spans="2:14">
      <c r="B28" s="172" t="s">
        <v>545</v>
      </c>
      <c r="C28" s="168" t="s">
        <v>35</v>
      </c>
      <c r="D28" s="167" t="s">
        <v>370</v>
      </c>
      <c r="E28" s="168">
        <v>57689</v>
      </c>
      <c r="F28" s="605" t="s">
        <v>64</v>
      </c>
      <c r="G28" s="170">
        <v>164.78</v>
      </c>
      <c r="H28" s="170">
        <v>15.12</v>
      </c>
      <c r="I28" s="171">
        <v>179.9</v>
      </c>
      <c r="J28" s="444" t="s">
        <v>343</v>
      </c>
      <c r="K28" s="332"/>
      <c r="L28" s="558"/>
      <c r="M28" s="333"/>
      <c r="N28" s="328"/>
    </row>
    <row r="29" spans="2:14">
      <c r="B29" s="172" t="s">
        <v>545</v>
      </c>
      <c r="C29" s="168" t="s">
        <v>35</v>
      </c>
      <c r="D29" s="167" t="s">
        <v>105</v>
      </c>
      <c r="E29" s="168">
        <v>29438177</v>
      </c>
      <c r="F29" s="605" t="s">
        <v>64</v>
      </c>
      <c r="G29" s="170">
        <v>280</v>
      </c>
      <c r="H29" s="170"/>
      <c r="I29" s="171">
        <v>280</v>
      </c>
      <c r="J29" s="444" t="s">
        <v>343</v>
      </c>
      <c r="K29" s="332"/>
      <c r="L29" s="562"/>
      <c r="M29" s="333"/>
      <c r="N29" s="328"/>
    </row>
    <row r="30" spans="2:14">
      <c r="B30" s="172" t="s">
        <v>552</v>
      </c>
      <c r="C30" s="168" t="s">
        <v>35</v>
      </c>
      <c r="D30" s="167" t="s">
        <v>78</v>
      </c>
      <c r="E30" s="168">
        <v>402047</v>
      </c>
      <c r="F30" s="607" t="s">
        <v>64</v>
      </c>
      <c r="G30" s="170">
        <v>228.26</v>
      </c>
      <c r="H30" s="170">
        <v>34.24</v>
      </c>
      <c r="I30" s="171">
        <v>262.5</v>
      </c>
      <c r="J30" s="489" t="s">
        <v>343</v>
      </c>
      <c r="K30" s="332"/>
      <c r="L30" s="562"/>
      <c r="M30" s="560"/>
      <c r="N30" s="328"/>
    </row>
    <row r="31" spans="2:14">
      <c r="B31" s="172" t="s">
        <v>552</v>
      </c>
      <c r="C31" s="168" t="s">
        <v>35</v>
      </c>
      <c r="D31" s="167" t="s">
        <v>554</v>
      </c>
      <c r="E31" s="168">
        <v>197760520</v>
      </c>
      <c r="F31" s="607" t="s">
        <v>65</v>
      </c>
      <c r="G31" s="170">
        <v>590.89</v>
      </c>
      <c r="H31" s="170">
        <v>44.99</v>
      </c>
      <c r="I31" s="171">
        <v>635.88</v>
      </c>
      <c r="J31" s="489" t="s">
        <v>555</v>
      </c>
      <c r="K31" s="332"/>
      <c r="L31" s="562"/>
      <c r="M31" s="333"/>
      <c r="N31" s="328"/>
    </row>
    <row r="32" spans="2:14">
      <c r="B32" s="606" t="s">
        <v>552</v>
      </c>
      <c r="C32" s="607" t="s">
        <v>556</v>
      </c>
      <c r="D32" s="167" t="s">
        <v>557</v>
      </c>
      <c r="E32" s="168">
        <v>1038959</v>
      </c>
      <c r="F32" s="607" t="s">
        <v>60</v>
      </c>
      <c r="G32" s="170">
        <v>389</v>
      </c>
      <c r="H32" s="170"/>
      <c r="I32" s="171">
        <v>389</v>
      </c>
      <c r="J32" s="152" t="s">
        <v>558</v>
      </c>
      <c r="K32" s="332"/>
      <c r="L32" s="560"/>
      <c r="M32" s="333"/>
      <c r="N32" s="328"/>
    </row>
    <row r="33" spans="2:14">
      <c r="B33" s="606" t="s">
        <v>552</v>
      </c>
      <c r="C33" s="607" t="s">
        <v>35</v>
      </c>
      <c r="D33" s="167" t="s">
        <v>114</v>
      </c>
      <c r="E33" s="168">
        <v>426</v>
      </c>
      <c r="F33" s="607" t="s">
        <v>65</v>
      </c>
      <c r="G33" s="170">
        <v>4234.1000000000004</v>
      </c>
      <c r="H33" s="170"/>
      <c r="I33" s="171">
        <v>4234.1000000000004</v>
      </c>
      <c r="J33" s="152" t="s">
        <v>558</v>
      </c>
      <c r="K33" s="332"/>
      <c r="L33" s="332"/>
      <c r="M33" s="333"/>
      <c r="N33" s="328"/>
    </row>
    <row r="34" spans="2:14">
      <c r="B34" s="606" t="s">
        <v>552</v>
      </c>
      <c r="C34" s="607" t="s">
        <v>35</v>
      </c>
      <c r="D34" s="167" t="s">
        <v>370</v>
      </c>
      <c r="E34" s="168">
        <v>70991</v>
      </c>
      <c r="F34" s="607" t="s">
        <v>64</v>
      </c>
      <c r="G34" s="170">
        <v>64</v>
      </c>
      <c r="H34" s="170"/>
      <c r="I34" s="171">
        <v>64</v>
      </c>
      <c r="J34" s="507" t="s">
        <v>343</v>
      </c>
      <c r="K34" s="332"/>
      <c r="L34" s="560"/>
      <c r="M34" s="333"/>
      <c r="N34" s="328"/>
    </row>
    <row r="35" spans="2:14">
      <c r="B35" s="514" t="s">
        <v>552</v>
      </c>
      <c r="C35" s="607" t="s">
        <v>35</v>
      </c>
      <c r="D35" s="167" t="s">
        <v>105</v>
      </c>
      <c r="E35" s="168">
        <v>29438261</v>
      </c>
      <c r="F35" s="607" t="s">
        <v>64</v>
      </c>
      <c r="G35" s="170">
        <v>158.80000000000001</v>
      </c>
      <c r="H35" s="170"/>
      <c r="I35" s="171">
        <v>158.80000000000001</v>
      </c>
      <c r="J35" s="507" t="s">
        <v>343</v>
      </c>
      <c r="K35" s="332"/>
      <c r="L35" s="332"/>
      <c r="M35" s="333"/>
      <c r="N35" s="328"/>
    </row>
    <row r="36" spans="2:14">
      <c r="B36" s="174" t="s">
        <v>552</v>
      </c>
      <c r="C36" s="167" t="s">
        <v>35</v>
      </c>
      <c r="D36" s="167" t="s">
        <v>519</v>
      </c>
      <c r="E36" s="167">
        <v>23378</v>
      </c>
      <c r="F36" s="167" t="s">
        <v>64</v>
      </c>
      <c r="G36" s="176">
        <v>320.56</v>
      </c>
      <c r="H36" s="176">
        <v>31.1</v>
      </c>
      <c r="I36" s="171">
        <v>351.66</v>
      </c>
      <c r="J36" s="507" t="s">
        <v>343</v>
      </c>
      <c r="K36" s="332"/>
      <c r="L36" s="563"/>
      <c r="M36" s="333"/>
      <c r="N36" s="328"/>
    </row>
    <row r="37" spans="2:14">
      <c r="B37" s="606" t="s">
        <v>552</v>
      </c>
      <c r="C37" s="607" t="s">
        <v>35</v>
      </c>
      <c r="D37" s="167" t="s">
        <v>407</v>
      </c>
      <c r="E37" s="168">
        <v>79123</v>
      </c>
      <c r="F37" s="607" t="s">
        <v>65</v>
      </c>
      <c r="G37" s="170">
        <v>540</v>
      </c>
      <c r="H37" s="170"/>
      <c r="I37" s="171">
        <v>540</v>
      </c>
      <c r="J37" s="507" t="s">
        <v>343</v>
      </c>
      <c r="K37" s="332"/>
      <c r="L37" s="563"/>
      <c r="M37" s="333"/>
      <c r="N37" s="328"/>
    </row>
    <row r="38" spans="2:14">
      <c r="B38" s="618" t="s">
        <v>560</v>
      </c>
      <c r="C38" s="619" t="s">
        <v>42</v>
      </c>
      <c r="D38" s="167" t="s">
        <v>561</v>
      </c>
      <c r="E38" s="168">
        <v>20260413</v>
      </c>
      <c r="F38" s="619" t="s">
        <v>60</v>
      </c>
      <c r="G38" s="170">
        <v>440</v>
      </c>
      <c r="H38" s="170"/>
      <c r="I38" s="171">
        <v>440</v>
      </c>
      <c r="J38" s="507" t="s">
        <v>343</v>
      </c>
      <c r="K38" s="332"/>
      <c r="L38" s="563"/>
      <c r="M38" s="333"/>
      <c r="N38" s="328"/>
    </row>
    <row r="39" spans="2:14">
      <c r="B39" s="655" t="s">
        <v>563</v>
      </c>
      <c r="C39" s="656" t="s">
        <v>42</v>
      </c>
      <c r="D39" s="167" t="s">
        <v>92</v>
      </c>
      <c r="E39" s="168">
        <v>23320</v>
      </c>
      <c r="F39" s="656" t="s">
        <v>65</v>
      </c>
      <c r="G39" s="170">
        <v>448</v>
      </c>
      <c r="H39" s="170">
        <v>67.2</v>
      </c>
      <c r="I39" s="171">
        <v>515.20000000000005</v>
      </c>
      <c r="J39" s="475" t="s">
        <v>61</v>
      </c>
      <c r="K39" s="319" t="s">
        <v>587</v>
      </c>
      <c r="L39" s="545"/>
      <c r="M39" s="333"/>
      <c r="N39" s="328"/>
    </row>
    <row r="40" spans="2:14">
      <c r="B40" s="629" t="s">
        <v>565</v>
      </c>
      <c r="C40" s="630" t="s">
        <v>35</v>
      </c>
      <c r="D40" s="167" t="s">
        <v>519</v>
      </c>
      <c r="E40" s="168">
        <v>25527</v>
      </c>
      <c r="F40" s="630" t="s">
        <v>64</v>
      </c>
      <c r="G40" s="170">
        <v>320.56</v>
      </c>
      <c r="H40" s="170">
        <v>31.1</v>
      </c>
      <c r="I40" s="171">
        <v>351.66</v>
      </c>
      <c r="J40" s="631" t="s">
        <v>572</v>
      </c>
      <c r="K40" s="319"/>
      <c r="L40" s="564"/>
      <c r="M40" s="333"/>
      <c r="N40" s="328"/>
    </row>
    <row r="41" spans="2:14">
      <c r="B41" s="629" t="s">
        <v>565</v>
      </c>
      <c r="C41" s="630" t="s">
        <v>35</v>
      </c>
      <c r="D41" s="167" t="s">
        <v>387</v>
      </c>
      <c r="E41" s="168">
        <v>2825694</v>
      </c>
      <c r="F41" s="630" t="s">
        <v>65</v>
      </c>
      <c r="G41" s="170">
        <v>358.52</v>
      </c>
      <c r="H41" s="170">
        <v>53.79</v>
      </c>
      <c r="I41" s="171">
        <v>412.31</v>
      </c>
      <c r="J41" s="632" t="s">
        <v>573</v>
      </c>
      <c r="K41" s="319"/>
      <c r="L41" s="332"/>
      <c r="M41" s="333"/>
      <c r="N41" s="328"/>
    </row>
    <row r="42" spans="2:14">
      <c r="B42" s="629" t="s">
        <v>565</v>
      </c>
      <c r="C42" s="630" t="s">
        <v>42</v>
      </c>
      <c r="D42" s="167" t="s">
        <v>575</v>
      </c>
      <c r="E42" s="168">
        <v>26390</v>
      </c>
      <c r="F42" s="630" t="s">
        <v>222</v>
      </c>
      <c r="G42" s="170">
        <v>2850</v>
      </c>
      <c r="H42" s="170">
        <v>427.5</v>
      </c>
      <c r="I42" s="171">
        <v>3277.5</v>
      </c>
      <c r="J42" s="475" t="s">
        <v>61</v>
      </c>
      <c r="K42" s="319" t="s">
        <v>587</v>
      </c>
      <c r="L42" s="545"/>
      <c r="M42" s="333"/>
      <c r="N42" s="328"/>
    </row>
    <row r="43" spans="2:14">
      <c r="B43" s="639" t="s">
        <v>580</v>
      </c>
      <c r="C43" s="637" t="s">
        <v>35</v>
      </c>
      <c r="D43" s="167" t="s">
        <v>519</v>
      </c>
      <c r="E43" s="168">
        <v>627705</v>
      </c>
      <c r="F43" s="637" t="s">
        <v>64</v>
      </c>
      <c r="G43" s="170">
        <v>320.56</v>
      </c>
      <c r="H43" s="170">
        <v>31.1</v>
      </c>
      <c r="I43" s="171">
        <v>351.66</v>
      </c>
      <c r="J43" s="507" t="s">
        <v>581</v>
      </c>
      <c r="K43" s="319"/>
      <c r="L43" s="332"/>
      <c r="M43" s="333"/>
      <c r="N43" s="328"/>
    </row>
    <row r="44" spans="2:14">
      <c r="B44" s="172" t="s">
        <v>580</v>
      </c>
      <c r="C44" s="168" t="s">
        <v>35</v>
      </c>
      <c r="D44" s="167" t="s">
        <v>78</v>
      </c>
      <c r="E44" s="168">
        <v>402069</v>
      </c>
      <c r="F44" s="168" t="s">
        <v>64</v>
      </c>
      <c r="G44" s="170">
        <v>182.61</v>
      </c>
      <c r="H44" s="170">
        <v>27.39</v>
      </c>
      <c r="I44" s="171">
        <v>210</v>
      </c>
      <c r="J44" s="444" t="s">
        <v>582</v>
      </c>
      <c r="K44" s="319"/>
      <c r="L44" s="565"/>
      <c r="M44" s="333"/>
      <c r="N44" s="328"/>
    </row>
    <row r="45" spans="2:14">
      <c r="B45" s="172" t="s">
        <v>580</v>
      </c>
      <c r="C45" s="168" t="s">
        <v>35</v>
      </c>
      <c r="D45" s="167" t="s">
        <v>407</v>
      </c>
      <c r="E45" s="168">
        <v>79190</v>
      </c>
      <c r="F45" s="168" t="s">
        <v>65</v>
      </c>
      <c r="G45" s="170">
        <v>360</v>
      </c>
      <c r="H45" s="170"/>
      <c r="I45" s="171">
        <v>360</v>
      </c>
      <c r="J45" s="507" t="s">
        <v>583</v>
      </c>
      <c r="K45" s="319"/>
      <c r="L45" s="332"/>
      <c r="M45" s="333"/>
      <c r="N45" s="328"/>
    </row>
    <row r="46" spans="2:14">
      <c r="B46" s="642" t="s">
        <v>580</v>
      </c>
      <c r="C46" s="643" t="s">
        <v>35</v>
      </c>
      <c r="D46" s="167" t="s">
        <v>584</v>
      </c>
      <c r="E46" s="168">
        <v>125</v>
      </c>
      <c r="F46" s="643" t="s">
        <v>65</v>
      </c>
      <c r="G46" s="170">
        <v>151.38</v>
      </c>
      <c r="H46" s="170"/>
      <c r="I46" s="171">
        <v>151.38</v>
      </c>
      <c r="J46" s="150" t="s">
        <v>555</v>
      </c>
      <c r="K46" s="319"/>
      <c r="L46" s="332"/>
      <c r="M46" s="333"/>
      <c r="N46" s="328"/>
    </row>
    <row r="47" spans="2:14">
      <c r="B47" s="174" t="s">
        <v>580</v>
      </c>
      <c r="C47" s="167" t="s">
        <v>35</v>
      </c>
      <c r="D47" s="167" t="s">
        <v>105</v>
      </c>
      <c r="E47" s="167">
        <v>29438360</v>
      </c>
      <c r="F47" s="167" t="s">
        <v>64</v>
      </c>
      <c r="G47" s="176">
        <v>195.52</v>
      </c>
      <c r="H47" s="176">
        <v>14.48</v>
      </c>
      <c r="I47" s="171">
        <v>210</v>
      </c>
      <c r="J47" s="507" t="s">
        <v>585</v>
      </c>
      <c r="K47" s="319"/>
      <c r="L47" s="332"/>
      <c r="M47" s="333"/>
      <c r="N47" s="328"/>
    </row>
    <row r="48" spans="2:14">
      <c r="B48" s="642" t="s">
        <v>580</v>
      </c>
      <c r="C48" s="643" t="s">
        <v>35</v>
      </c>
      <c r="D48" s="167" t="s">
        <v>370</v>
      </c>
      <c r="E48" s="168">
        <v>1993495541</v>
      </c>
      <c r="F48" s="643" t="s">
        <v>64</v>
      </c>
      <c r="G48" s="170">
        <v>135.19999999999999</v>
      </c>
      <c r="H48" s="170"/>
      <c r="I48" s="171">
        <v>135.19999999999999</v>
      </c>
      <c r="J48" s="475" t="s">
        <v>586</v>
      </c>
      <c r="K48" s="319"/>
      <c r="L48" s="564"/>
      <c r="M48" s="333"/>
      <c r="N48" s="328"/>
    </row>
    <row r="49" spans="2:14">
      <c r="B49" s="653" t="s">
        <v>588</v>
      </c>
      <c r="C49" s="654" t="s">
        <v>42</v>
      </c>
      <c r="D49" s="167" t="s">
        <v>503</v>
      </c>
      <c r="E49" s="168"/>
      <c r="F49" s="654" t="s">
        <v>503</v>
      </c>
      <c r="G49" s="170">
        <v>10000</v>
      </c>
      <c r="H49" s="170"/>
      <c r="I49" s="171">
        <v>10000</v>
      </c>
      <c r="J49" s="475" t="s">
        <v>61</v>
      </c>
      <c r="K49" s="319" t="s">
        <v>587</v>
      </c>
      <c r="L49" s="545"/>
      <c r="M49" s="333"/>
      <c r="N49" s="328"/>
    </row>
    <row r="50" spans="2:14">
      <c r="B50" s="653" t="s">
        <v>588</v>
      </c>
      <c r="C50" s="654" t="s">
        <v>556</v>
      </c>
      <c r="D50" s="167" t="s">
        <v>548</v>
      </c>
      <c r="E50" s="168"/>
      <c r="F50" s="654" t="s">
        <v>549</v>
      </c>
      <c r="G50" s="170">
        <v>3000</v>
      </c>
      <c r="H50" s="170"/>
      <c r="I50" s="171">
        <v>3000</v>
      </c>
      <c r="J50" s="475" t="s">
        <v>61</v>
      </c>
      <c r="K50" s="319" t="s">
        <v>587</v>
      </c>
      <c r="L50" s="545"/>
      <c r="M50" s="333"/>
      <c r="N50" s="328"/>
    </row>
    <row r="51" spans="2:14">
      <c r="B51" s="653" t="s">
        <v>588</v>
      </c>
      <c r="C51" s="654" t="s">
        <v>42</v>
      </c>
      <c r="D51" s="167" t="s">
        <v>531</v>
      </c>
      <c r="E51" s="168"/>
      <c r="F51" s="654" t="s">
        <v>354</v>
      </c>
      <c r="G51" s="170">
        <v>550</v>
      </c>
      <c r="H51" s="170"/>
      <c r="I51" s="171">
        <v>550</v>
      </c>
      <c r="J51" s="475" t="s">
        <v>61</v>
      </c>
      <c r="K51" s="319" t="s">
        <v>587</v>
      </c>
      <c r="L51" s="545"/>
      <c r="M51" s="333"/>
      <c r="N51" s="328"/>
    </row>
    <row r="52" spans="2:14">
      <c r="B52" s="653" t="s">
        <v>588</v>
      </c>
      <c r="C52" s="654" t="s">
        <v>556</v>
      </c>
      <c r="D52" s="167" t="s">
        <v>591</v>
      </c>
      <c r="E52" s="168">
        <v>20291</v>
      </c>
      <c r="F52" s="654" t="s">
        <v>60</v>
      </c>
      <c r="G52" s="170">
        <v>1018</v>
      </c>
      <c r="H52" s="170"/>
      <c r="I52" s="171">
        <v>1018</v>
      </c>
      <c r="J52" s="651" t="s">
        <v>558</v>
      </c>
      <c r="K52" s="332"/>
      <c r="L52" s="332"/>
      <c r="M52" s="333"/>
      <c r="N52" s="328"/>
    </row>
    <row r="53" spans="2:14">
      <c r="B53" s="172" t="s">
        <v>592</v>
      </c>
      <c r="C53" s="168" t="s">
        <v>35</v>
      </c>
      <c r="D53" s="167" t="s">
        <v>370</v>
      </c>
      <c r="E53" s="168">
        <v>3132</v>
      </c>
      <c r="F53" s="168" t="s">
        <v>64</v>
      </c>
      <c r="G53" s="170">
        <v>64</v>
      </c>
      <c r="H53" s="170"/>
      <c r="I53" s="171">
        <v>64</v>
      </c>
      <c r="J53" s="507" t="s">
        <v>593</v>
      </c>
      <c r="K53" s="319"/>
      <c r="L53" s="332"/>
      <c r="M53" s="333"/>
      <c r="N53" s="328"/>
    </row>
    <row r="54" spans="2:14">
      <c r="B54" s="172" t="s">
        <v>592</v>
      </c>
      <c r="C54" s="168" t="s">
        <v>35</v>
      </c>
      <c r="D54" s="167" t="s">
        <v>105</v>
      </c>
      <c r="E54" s="168">
        <v>29438371</v>
      </c>
      <c r="F54" s="168" t="s">
        <v>64</v>
      </c>
      <c r="G54" s="170">
        <v>99</v>
      </c>
      <c r="H54" s="170"/>
      <c r="I54" s="171">
        <v>99</v>
      </c>
      <c r="J54" s="507" t="s">
        <v>594</v>
      </c>
      <c r="K54" s="319"/>
      <c r="L54" s="332"/>
      <c r="M54" s="333"/>
      <c r="N54" s="328"/>
    </row>
    <row r="55" spans="2:14">
      <c r="B55" s="172" t="s">
        <v>592</v>
      </c>
      <c r="C55" s="168" t="s">
        <v>35</v>
      </c>
      <c r="D55" s="167" t="s">
        <v>519</v>
      </c>
      <c r="E55" s="168">
        <v>30423</v>
      </c>
      <c r="F55" s="168" t="s">
        <v>64</v>
      </c>
      <c r="G55" s="170">
        <v>320.56</v>
      </c>
      <c r="H55" s="170">
        <v>31.1</v>
      </c>
      <c r="I55" s="171">
        <v>351.66</v>
      </c>
      <c r="J55" s="444" t="s">
        <v>595</v>
      </c>
      <c r="K55" s="319"/>
      <c r="L55" s="332"/>
      <c r="M55" s="333"/>
      <c r="N55" s="328"/>
    </row>
    <row r="56" spans="2:14">
      <c r="B56" s="172" t="s">
        <v>598</v>
      </c>
      <c r="C56" s="168" t="s">
        <v>35</v>
      </c>
      <c r="D56" s="167" t="s">
        <v>387</v>
      </c>
      <c r="E56" s="168">
        <v>2829373</v>
      </c>
      <c r="F56" s="168" t="s">
        <v>65</v>
      </c>
      <c r="G56" s="170">
        <v>379.52</v>
      </c>
      <c r="H56" s="170">
        <v>56.94</v>
      </c>
      <c r="I56" s="171">
        <v>436.46</v>
      </c>
      <c r="J56" s="507" t="s">
        <v>597</v>
      </c>
      <c r="K56" s="319"/>
      <c r="L56" s="332"/>
      <c r="M56" s="333"/>
      <c r="N56" s="328"/>
    </row>
    <row r="57" spans="2:14">
      <c r="B57" s="172" t="s">
        <v>598</v>
      </c>
      <c r="C57" s="168" t="s">
        <v>35</v>
      </c>
      <c r="D57" s="167" t="s">
        <v>407</v>
      </c>
      <c r="E57" s="168">
        <v>79201</v>
      </c>
      <c r="F57" s="168" t="s">
        <v>65</v>
      </c>
      <c r="G57" s="170">
        <v>540</v>
      </c>
      <c r="H57" s="170"/>
      <c r="I57" s="171">
        <v>540</v>
      </c>
      <c r="J57" s="507" t="s">
        <v>599</v>
      </c>
      <c r="K57" s="319"/>
      <c r="L57" s="332"/>
      <c r="M57" s="333"/>
      <c r="N57" s="328"/>
    </row>
    <row r="58" spans="2:14">
      <c r="B58" s="172" t="s">
        <v>600</v>
      </c>
      <c r="C58" s="168" t="s">
        <v>35</v>
      </c>
      <c r="D58" s="167" t="s">
        <v>370</v>
      </c>
      <c r="E58" s="168">
        <v>15140</v>
      </c>
      <c r="F58" s="168" t="s">
        <v>64</v>
      </c>
      <c r="G58" s="170">
        <v>160.69999999999999</v>
      </c>
      <c r="H58" s="170">
        <v>14.51</v>
      </c>
      <c r="I58" s="171">
        <v>175.21</v>
      </c>
      <c r="J58" s="507" t="s">
        <v>603</v>
      </c>
      <c r="K58" s="319"/>
      <c r="L58" s="332"/>
      <c r="M58" s="333"/>
      <c r="N58" s="328"/>
    </row>
    <row r="59" spans="2:14">
      <c r="B59" s="172" t="s">
        <v>600</v>
      </c>
      <c r="C59" s="168" t="s">
        <v>35</v>
      </c>
      <c r="D59" s="167" t="s">
        <v>519</v>
      </c>
      <c r="E59" s="168">
        <v>32555</v>
      </c>
      <c r="F59" s="168" t="s">
        <v>64</v>
      </c>
      <c r="G59" s="170">
        <v>320.56</v>
      </c>
      <c r="H59" s="170">
        <v>31.1</v>
      </c>
      <c r="I59" s="171">
        <v>351.66</v>
      </c>
      <c r="J59" s="507" t="s">
        <v>604</v>
      </c>
      <c r="K59" s="319"/>
      <c r="L59" s="566"/>
      <c r="M59" s="333"/>
      <c r="N59" s="328"/>
    </row>
    <row r="60" spans="2:14">
      <c r="B60" s="172" t="s">
        <v>600</v>
      </c>
      <c r="C60" s="168" t="s">
        <v>35</v>
      </c>
      <c r="D60" s="167" t="s">
        <v>105</v>
      </c>
      <c r="E60" s="168">
        <v>29434003</v>
      </c>
      <c r="F60" s="168" t="s">
        <v>64</v>
      </c>
      <c r="G60" s="170">
        <v>162.94</v>
      </c>
      <c r="H60" s="170">
        <v>12.06</v>
      </c>
      <c r="I60" s="171">
        <v>175</v>
      </c>
      <c r="J60" s="507" t="s">
        <v>605</v>
      </c>
      <c r="K60" s="319"/>
      <c r="L60" s="332"/>
      <c r="M60" s="333"/>
      <c r="N60" s="328"/>
    </row>
    <row r="61" spans="2:14">
      <c r="B61" s="172" t="s">
        <v>600</v>
      </c>
      <c r="C61" s="168" t="s">
        <v>42</v>
      </c>
      <c r="D61" s="167" t="s">
        <v>606</v>
      </c>
      <c r="E61" s="168"/>
      <c r="F61" s="168" t="s">
        <v>64</v>
      </c>
      <c r="G61" s="170">
        <v>4840</v>
      </c>
      <c r="H61" s="170"/>
      <c r="I61" s="171">
        <v>4840</v>
      </c>
      <c r="J61" s="507" t="s">
        <v>607</v>
      </c>
      <c r="K61" s="319"/>
      <c r="L61" s="332"/>
      <c r="M61" s="333"/>
      <c r="N61" s="328"/>
    </row>
    <row r="62" spans="2:14">
      <c r="B62" s="172" t="s">
        <v>611</v>
      </c>
      <c r="C62" s="168" t="s">
        <v>35</v>
      </c>
      <c r="D62" s="167" t="s">
        <v>105</v>
      </c>
      <c r="E62" s="168">
        <v>29434024</v>
      </c>
      <c r="F62" s="168" t="s">
        <v>64</v>
      </c>
      <c r="G62" s="170">
        <f>I62/1.15</f>
        <v>172.17391304347828</v>
      </c>
      <c r="H62" s="170">
        <f>I62-G62</f>
        <v>25.826086956521721</v>
      </c>
      <c r="I62" s="171">
        <v>198</v>
      </c>
      <c r="J62" s="444" t="s">
        <v>618</v>
      </c>
      <c r="K62" s="319"/>
      <c r="L62" s="566"/>
      <c r="M62" s="333"/>
      <c r="N62" s="328"/>
    </row>
    <row r="63" spans="2:14">
      <c r="B63" s="172" t="s">
        <v>611</v>
      </c>
      <c r="C63" s="168" t="s">
        <v>35</v>
      </c>
      <c r="D63" s="167" t="s">
        <v>519</v>
      </c>
      <c r="E63" s="168">
        <v>34730</v>
      </c>
      <c r="F63" s="168" t="s">
        <v>64</v>
      </c>
      <c r="G63" s="170">
        <v>377.16</v>
      </c>
      <c r="H63" s="170">
        <v>31.1</v>
      </c>
      <c r="I63" s="171">
        <f>G63+H63</f>
        <v>408.26000000000005</v>
      </c>
      <c r="J63" s="150" t="s">
        <v>619</v>
      </c>
      <c r="K63" s="319"/>
      <c r="L63" s="332"/>
      <c r="M63" s="333"/>
      <c r="N63" s="328"/>
    </row>
    <row r="64" spans="2:14">
      <c r="B64" s="172" t="s">
        <v>620</v>
      </c>
      <c r="C64" s="168" t="s">
        <v>35</v>
      </c>
      <c r="D64" s="167" t="s">
        <v>370</v>
      </c>
      <c r="E64" s="168">
        <v>528455</v>
      </c>
      <c r="F64" s="168" t="s">
        <v>64</v>
      </c>
      <c r="G64" s="170">
        <v>96.7</v>
      </c>
      <c r="H64" s="170">
        <v>14.51</v>
      </c>
      <c r="I64" s="171">
        <v>111.21</v>
      </c>
      <c r="J64" s="150" t="s">
        <v>621</v>
      </c>
      <c r="K64" s="319"/>
      <c r="L64" s="332"/>
      <c r="M64" s="333"/>
      <c r="N64" s="328"/>
    </row>
    <row r="65" spans="2:14">
      <c r="B65" s="172" t="s">
        <v>610</v>
      </c>
      <c r="C65" s="168" t="s">
        <v>35</v>
      </c>
      <c r="D65" s="167" t="s">
        <v>407</v>
      </c>
      <c r="E65" s="168">
        <v>79254</v>
      </c>
      <c r="F65" s="168" t="s">
        <v>65</v>
      </c>
      <c r="G65" s="170">
        <v>540</v>
      </c>
      <c r="H65" s="170"/>
      <c r="I65" s="171">
        <f t="shared" ref="I65:I67" si="0">G65+H65</f>
        <v>540</v>
      </c>
      <c r="J65" s="150" t="s">
        <v>630</v>
      </c>
      <c r="K65" s="319"/>
      <c r="L65" s="332"/>
      <c r="M65" s="333"/>
      <c r="N65" s="328"/>
    </row>
    <row r="66" spans="2:14">
      <c r="B66" s="172" t="s">
        <v>610</v>
      </c>
      <c r="C66" s="168" t="s">
        <v>35</v>
      </c>
      <c r="D66" s="167" t="s">
        <v>78</v>
      </c>
      <c r="E66" s="168">
        <v>402108</v>
      </c>
      <c r="F66" s="168" t="s">
        <v>64</v>
      </c>
      <c r="G66" s="170">
        <v>315</v>
      </c>
      <c r="H66" s="170"/>
      <c r="I66" s="171">
        <f t="shared" si="0"/>
        <v>315</v>
      </c>
      <c r="J66" s="150" t="s">
        <v>629</v>
      </c>
      <c r="K66" s="319"/>
      <c r="L66" s="332"/>
      <c r="M66" s="333"/>
      <c r="N66" s="328"/>
    </row>
    <row r="67" spans="2:14">
      <c r="B67" s="172" t="s">
        <v>623</v>
      </c>
      <c r="C67" s="168" t="s">
        <v>35</v>
      </c>
      <c r="D67" s="167" t="s">
        <v>519</v>
      </c>
      <c r="E67" s="168">
        <v>38379</v>
      </c>
      <c r="F67" s="168" t="s">
        <v>64</v>
      </c>
      <c r="G67" s="170">
        <v>320.56</v>
      </c>
      <c r="H67" s="170">
        <v>31.1</v>
      </c>
      <c r="I67" s="171">
        <f t="shared" si="0"/>
        <v>351.66</v>
      </c>
      <c r="J67" s="150" t="s">
        <v>628</v>
      </c>
      <c r="K67" s="319"/>
      <c r="L67" s="332"/>
      <c r="M67" s="333"/>
      <c r="N67" s="328"/>
    </row>
    <row r="68" spans="2:14">
      <c r="B68" s="172" t="s">
        <v>623</v>
      </c>
      <c r="C68" s="168" t="s">
        <v>35</v>
      </c>
      <c r="D68" s="167" t="s">
        <v>105</v>
      </c>
      <c r="E68" s="168">
        <v>434074</v>
      </c>
      <c r="F68" s="168" t="s">
        <v>64</v>
      </c>
      <c r="G68" s="170">
        <v>154.44</v>
      </c>
      <c r="H68" s="170">
        <v>12.06</v>
      </c>
      <c r="I68" s="171">
        <f t="shared" ref="I68:I99" si="1">G68+H68</f>
        <v>166.5</v>
      </c>
      <c r="J68" s="150" t="s">
        <v>631</v>
      </c>
      <c r="K68" s="319"/>
      <c r="L68" s="138"/>
      <c r="M68" s="137"/>
    </row>
    <row r="69" spans="2:14">
      <c r="B69" s="172" t="s">
        <v>623</v>
      </c>
      <c r="C69" s="168" t="s">
        <v>35</v>
      </c>
      <c r="D69" s="167" t="s">
        <v>370</v>
      </c>
      <c r="E69" s="168">
        <v>58598</v>
      </c>
      <c r="F69" s="168" t="s">
        <v>64</v>
      </c>
      <c r="G69" s="170">
        <f>182.1-64</f>
        <v>118.1</v>
      </c>
      <c r="H69" s="170">
        <v>17.72</v>
      </c>
      <c r="I69" s="171">
        <f t="shared" si="1"/>
        <v>135.82</v>
      </c>
      <c r="J69" s="150" t="s">
        <v>633</v>
      </c>
      <c r="K69" s="319"/>
      <c r="L69" s="138"/>
      <c r="M69" s="137"/>
    </row>
    <row r="70" spans="2:14">
      <c r="B70" s="669" t="s">
        <v>632</v>
      </c>
      <c r="C70" s="670" t="s">
        <v>35</v>
      </c>
      <c r="D70" s="167" t="s">
        <v>387</v>
      </c>
      <c r="E70" s="168">
        <v>2835806</v>
      </c>
      <c r="F70" s="670" t="s">
        <v>65</v>
      </c>
      <c r="G70" s="170">
        <v>454.44</v>
      </c>
      <c r="H70" s="170">
        <v>68.17</v>
      </c>
      <c r="I70" s="171">
        <f t="shared" si="1"/>
        <v>522.61</v>
      </c>
      <c r="J70" s="150" t="s">
        <v>634</v>
      </c>
      <c r="K70" s="319"/>
      <c r="L70" s="138"/>
      <c r="M70" s="137"/>
    </row>
    <row r="71" spans="2:14">
      <c r="B71" s="435"/>
      <c r="C71" s="436"/>
      <c r="D71" s="216"/>
      <c r="E71" s="215"/>
      <c r="F71" s="436"/>
      <c r="G71" s="217"/>
      <c r="H71" s="217"/>
      <c r="I71" s="105">
        <f t="shared" si="1"/>
        <v>0</v>
      </c>
      <c r="J71" s="150" t="b">
        <v>0</v>
      </c>
      <c r="K71" s="332"/>
      <c r="L71" s="138"/>
      <c r="M71" s="137"/>
    </row>
    <row r="72" spans="2:14">
      <c r="B72" s="435"/>
      <c r="C72" s="436"/>
      <c r="D72" s="216"/>
      <c r="E72" s="215"/>
      <c r="F72" s="436"/>
      <c r="G72" s="217"/>
      <c r="H72" s="217"/>
      <c r="I72" s="105">
        <f t="shared" si="1"/>
        <v>0</v>
      </c>
      <c r="J72" s="150" t="b">
        <v>0</v>
      </c>
      <c r="K72" s="138"/>
      <c r="L72" s="138"/>
      <c r="M72" s="137"/>
    </row>
    <row r="73" spans="2:14">
      <c r="B73" s="132"/>
      <c r="C73" s="133"/>
      <c r="D73" s="134"/>
      <c r="E73" s="133"/>
      <c r="F73" s="133"/>
      <c r="G73" s="136"/>
      <c r="H73" s="136"/>
      <c r="I73" s="105">
        <f t="shared" si="1"/>
        <v>0</v>
      </c>
      <c r="J73" s="150" t="b">
        <v>0</v>
      </c>
      <c r="K73" s="138"/>
      <c r="L73" s="138"/>
      <c r="M73" s="137"/>
    </row>
    <row r="74" spans="2:14">
      <c r="B74" s="132"/>
      <c r="C74" s="133"/>
      <c r="D74" s="134"/>
      <c r="E74" s="133"/>
      <c r="F74" s="133"/>
      <c r="G74" s="136"/>
      <c r="H74" s="136"/>
      <c r="I74" s="105">
        <f t="shared" si="1"/>
        <v>0</v>
      </c>
      <c r="J74" s="150" t="b">
        <v>0</v>
      </c>
      <c r="K74" s="138"/>
      <c r="L74" s="138"/>
      <c r="M74" s="137"/>
    </row>
    <row r="75" spans="2:14">
      <c r="B75" s="132"/>
      <c r="C75" s="133"/>
      <c r="D75" s="134"/>
      <c r="E75" s="133"/>
      <c r="F75" s="133"/>
      <c r="G75" s="136"/>
      <c r="H75" s="136"/>
      <c r="I75" s="105">
        <f t="shared" si="1"/>
        <v>0</v>
      </c>
      <c r="J75" s="150" t="b">
        <v>0</v>
      </c>
      <c r="K75" s="138"/>
      <c r="L75" s="138"/>
      <c r="M75" s="137"/>
    </row>
    <row r="76" spans="2:14">
      <c r="B76" s="132"/>
      <c r="C76" s="133"/>
      <c r="D76" s="134"/>
      <c r="E76" s="133"/>
      <c r="F76" s="133"/>
      <c r="G76" s="136"/>
      <c r="H76" s="136"/>
      <c r="I76" s="105">
        <f t="shared" si="1"/>
        <v>0</v>
      </c>
      <c r="J76" s="150" t="b">
        <v>0</v>
      </c>
      <c r="K76" s="138"/>
      <c r="L76" s="138"/>
      <c r="M76" s="137"/>
    </row>
    <row r="77" spans="2:14">
      <c r="B77" s="132"/>
      <c r="C77" s="133"/>
      <c r="D77" s="134"/>
      <c r="E77" s="133"/>
      <c r="F77" s="133"/>
      <c r="G77" s="136"/>
      <c r="H77" s="136"/>
      <c r="I77" s="105">
        <f t="shared" si="1"/>
        <v>0</v>
      </c>
      <c r="J77" s="150" t="b">
        <v>0</v>
      </c>
      <c r="K77" s="138"/>
      <c r="L77" s="138"/>
      <c r="M77" s="137"/>
    </row>
    <row r="78" spans="2:14">
      <c r="B78" s="132"/>
      <c r="C78" s="133"/>
      <c r="D78" s="134"/>
      <c r="E78" s="133"/>
      <c r="F78" s="133"/>
      <c r="G78" s="136"/>
      <c r="H78" s="136"/>
      <c r="I78" s="105">
        <f t="shared" si="1"/>
        <v>0</v>
      </c>
      <c r="J78" s="150" t="b">
        <v>0</v>
      </c>
      <c r="K78" s="138"/>
      <c r="L78" s="138"/>
      <c r="M78" s="137"/>
    </row>
    <row r="79" spans="2:14">
      <c r="B79" s="132"/>
      <c r="C79" s="133"/>
      <c r="D79" s="134"/>
      <c r="E79" s="133"/>
      <c r="F79" s="133"/>
      <c r="G79" s="136"/>
      <c r="H79" s="136"/>
      <c r="I79" s="105">
        <f t="shared" si="1"/>
        <v>0</v>
      </c>
      <c r="J79" s="150" t="b">
        <v>0</v>
      </c>
      <c r="K79" s="138"/>
      <c r="L79" s="138"/>
      <c r="M79" s="137"/>
    </row>
    <row r="80" spans="2:14">
      <c r="B80" s="132"/>
      <c r="C80" s="133"/>
      <c r="D80" s="134"/>
      <c r="E80" s="133"/>
      <c r="F80" s="133"/>
      <c r="G80" s="136"/>
      <c r="H80" s="136"/>
      <c r="I80" s="105">
        <f t="shared" si="1"/>
        <v>0</v>
      </c>
      <c r="J80" s="150" t="b">
        <v>0</v>
      </c>
      <c r="K80" s="138"/>
      <c r="L80" s="138"/>
      <c r="M80" s="137"/>
    </row>
    <row r="81" spans="2:13">
      <c r="B81" s="132"/>
      <c r="C81" s="133"/>
      <c r="D81" s="134"/>
      <c r="E81" s="133"/>
      <c r="F81" s="133"/>
      <c r="G81" s="136"/>
      <c r="H81" s="136"/>
      <c r="I81" s="105">
        <f t="shared" si="1"/>
        <v>0</v>
      </c>
      <c r="J81" s="150" t="b">
        <v>0</v>
      </c>
      <c r="K81" s="138"/>
      <c r="L81" s="138"/>
      <c r="M81" s="137"/>
    </row>
    <row r="82" spans="2:13">
      <c r="B82" s="132"/>
      <c r="C82" s="133"/>
      <c r="D82" s="134"/>
      <c r="E82" s="133"/>
      <c r="F82" s="133"/>
      <c r="G82" s="136"/>
      <c r="H82" s="136"/>
      <c r="I82" s="105">
        <f t="shared" si="1"/>
        <v>0</v>
      </c>
      <c r="J82" s="150" t="b">
        <v>0</v>
      </c>
      <c r="K82" s="138"/>
      <c r="L82" s="138"/>
      <c r="M82" s="137"/>
    </row>
    <row r="83" spans="2:13">
      <c r="B83" s="132"/>
      <c r="C83" s="133"/>
      <c r="D83" s="134"/>
      <c r="E83" s="133"/>
      <c r="F83" s="133"/>
      <c r="G83" s="136"/>
      <c r="H83" s="136"/>
      <c r="I83" s="105">
        <f t="shared" si="1"/>
        <v>0</v>
      </c>
      <c r="J83" s="150" t="b">
        <v>0</v>
      </c>
      <c r="K83" s="138"/>
      <c r="L83" s="138"/>
      <c r="M83" s="137"/>
    </row>
    <row r="84" spans="2:13">
      <c r="B84" s="132"/>
      <c r="C84" s="133"/>
      <c r="D84" s="134"/>
      <c r="E84" s="133"/>
      <c r="F84" s="133"/>
      <c r="G84" s="136"/>
      <c r="H84" s="136"/>
      <c r="I84" s="105">
        <f t="shared" si="1"/>
        <v>0</v>
      </c>
      <c r="J84" s="150" t="b">
        <v>0</v>
      </c>
      <c r="K84" s="138"/>
      <c r="L84" s="138"/>
      <c r="M84" s="137"/>
    </row>
    <row r="85" spans="2:13">
      <c r="B85" s="132"/>
      <c r="C85" s="133"/>
      <c r="D85" s="134"/>
      <c r="E85" s="133"/>
      <c r="F85" s="133"/>
      <c r="G85" s="136"/>
      <c r="H85" s="136"/>
      <c r="I85" s="105">
        <f t="shared" si="1"/>
        <v>0</v>
      </c>
      <c r="J85" s="150" t="b">
        <v>0</v>
      </c>
      <c r="K85" s="138"/>
      <c r="L85" s="138"/>
      <c r="M85" s="137"/>
    </row>
    <row r="86" spans="2:13">
      <c r="B86" s="132"/>
      <c r="C86" s="133"/>
      <c r="D86" s="134"/>
      <c r="E86" s="133"/>
      <c r="F86" s="133"/>
      <c r="G86" s="136"/>
      <c r="H86" s="136"/>
      <c r="I86" s="105">
        <f t="shared" si="1"/>
        <v>0</v>
      </c>
      <c r="J86" s="150" t="b">
        <v>0</v>
      </c>
      <c r="K86" s="138"/>
      <c r="L86" s="138"/>
      <c r="M86" s="137"/>
    </row>
    <row r="87" spans="2:13">
      <c r="B87" s="132"/>
      <c r="C87" s="133"/>
      <c r="D87" s="134"/>
      <c r="E87" s="133"/>
      <c r="F87" s="133"/>
      <c r="G87" s="136"/>
      <c r="H87" s="136"/>
      <c r="I87" s="105">
        <f t="shared" si="1"/>
        <v>0</v>
      </c>
      <c r="J87" s="150" t="b">
        <v>0</v>
      </c>
      <c r="K87" s="138"/>
      <c r="L87" s="138"/>
      <c r="M87" s="137"/>
    </row>
    <row r="88" spans="2:13">
      <c r="B88" s="132"/>
      <c r="C88" s="133"/>
      <c r="D88" s="134"/>
      <c r="E88" s="133"/>
      <c r="F88" s="133"/>
      <c r="G88" s="136"/>
      <c r="H88" s="136"/>
      <c r="I88" s="105">
        <f t="shared" si="1"/>
        <v>0</v>
      </c>
      <c r="J88" s="150" t="b">
        <v>0</v>
      </c>
      <c r="K88" s="138"/>
      <c r="L88" s="138"/>
      <c r="M88" s="137"/>
    </row>
    <row r="89" spans="2:13">
      <c r="B89" s="132"/>
      <c r="C89" s="133"/>
      <c r="D89" s="134"/>
      <c r="E89" s="133"/>
      <c r="F89" s="133"/>
      <c r="G89" s="136"/>
      <c r="H89" s="136"/>
      <c r="I89" s="105">
        <f t="shared" si="1"/>
        <v>0</v>
      </c>
      <c r="J89" s="150" t="b">
        <v>0</v>
      </c>
      <c r="K89" s="138"/>
      <c r="L89" s="138"/>
      <c r="M89" s="137"/>
    </row>
    <row r="90" spans="2:13">
      <c r="B90" s="132"/>
      <c r="C90" s="133"/>
      <c r="D90" s="134"/>
      <c r="E90" s="133"/>
      <c r="F90" s="133"/>
      <c r="G90" s="136"/>
      <c r="H90" s="136"/>
      <c r="I90" s="105">
        <f t="shared" si="1"/>
        <v>0</v>
      </c>
      <c r="J90" s="150" t="b">
        <v>0</v>
      </c>
      <c r="K90" s="138"/>
      <c r="L90" s="138"/>
      <c r="M90" s="137"/>
    </row>
    <row r="91" spans="2:13">
      <c r="B91" s="132"/>
      <c r="C91" s="133"/>
      <c r="D91" s="134"/>
      <c r="E91" s="133"/>
      <c r="F91" s="133"/>
      <c r="G91" s="136"/>
      <c r="H91" s="136"/>
      <c r="I91" s="105">
        <f t="shared" si="1"/>
        <v>0</v>
      </c>
      <c r="J91" s="150" t="b">
        <v>0</v>
      </c>
      <c r="K91" s="138"/>
      <c r="L91" s="138"/>
      <c r="M91" s="137"/>
    </row>
    <row r="92" spans="2:13">
      <c r="B92" s="132"/>
      <c r="C92" s="133"/>
      <c r="D92" s="134"/>
      <c r="E92" s="133"/>
      <c r="F92" s="133"/>
      <c r="G92" s="136"/>
      <c r="H92" s="136"/>
      <c r="I92" s="105">
        <f t="shared" si="1"/>
        <v>0</v>
      </c>
      <c r="J92" s="150" t="b">
        <v>0</v>
      </c>
      <c r="K92" s="138"/>
      <c r="L92" s="138"/>
      <c r="M92" s="137"/>
    </row>
    <row r="93" spans="2:13">
      <c r="B93" s="132"/>
      <c r="C93" s="133"/>
      <c r="D93" s="134"/>
      <c r="E93" s="133"/>
      <c r="F93" s="133"/>
      <c r="G93" s="136"/>
      <c r="H93" s="136"/>
      <c r="I93" s="105">
        <f t="shared" si="1"/>
        <v>0</v>
      </c>
      <c r="J93" s="150" t="b">
        <v>0</v>
      </c>
      <c r="K93" s="138"/>
      <c r="L93" s="138"/>
      <c r="M93" s="137"/>
    </row>
    <row r="94" spans="2:13">
      <c r="B94" s="132"/>
      <c r="C94" s="133"/>
      <c r="D94" s="134"/>
      <c r="E94" s="133"/>
      <c r="F94" s="133"/>
      <c r="G94" s="136"/>
      <c r="H94" s="136"/>
      <c r="I94" s="105">
        <f t="shared" si="1"/>
        <v>0</v>
      </c>
      <c r="J94" s="150" t="b">
        <v>0</v>
      </c>
      <c r="K94" s="138"/>
      <c r="L94" s="138"/>
      <c r="M94" s="137"/>
    </row>
    <row r="95" spans="2:13">
      <c r="B95" s="132"/>
      <c r="C95" s="133"/>
      <c r="D95" s="134"/>
      <c r="E95" s="133"/>
      <c r="F95" s="133"/>
      <c r="G95" s="136"/>
      <c r="H95" s="136"/>
      <c r="I95" s="105">
        <f t="shared" si="1"/>
        <v>0</v>
      </c>
      <c r="J95" s="150" t="b">
        <v>0</v>
      </c>
      <c r="K95" s="138"/>
      <c r="L95" s="138"/>
      <c r="M95" s="137"/>
    </row>
    <row r="96" spans="2:13">
      <c r="B96" s="132"/>
      <c r="C96" s="133"/>
      <c r="D96" s="134"/>
      <c r="E96" s="133"/>
      <c r="F96" s="133"/>
      <c r="G96" s="136"/>
      <c r="H96" s="136"/>
      <c r="I96" s="105">
        <f t="shared" si="1"/>
        <v>0</v>
      </c>
      <c r="J96" s="150" t="b">
        <v>0</v>
      </c>
      <c r="K96" s="138"/>
      <c r="L96" s="138"/>
      <c r="M96" s="137"/>
    </row>
    <row r="97" spans="2:13">
      <c r="B97" s="132"/>
      <c r="C97" s="133"/>
      <c r="D97" s="134"/>
      <c r="E97" s="133"/>
      <c r="F97" s="133"/>
      <c r="G97" s="136"/>
      <c r="H97" s="136"/>
      <c r="I97" s="105">
        <f t="shared" si="1"/>
        <v>0</v>
      </c>
      <c r="J97" s="150" t="b">
        <v>0</v>
      </c>
      <c r="K97" s="138"/>
      <c r="L97" s="138"/>
      <c r="M97" s="137"/>
    </row>
    <row r="98" spans="2:13">
      <c r="B98" s="132"/>
      <c r="C98" s="133"/>
      <c r="D98" s="134"/>
      <c r="E98" s="133"/>
      <c r="F98" s="133"/>
      <c r="G98" s="136"/>
      <c r="H98" s="136"/>
      <c r="I98" s="105">
        <f t="shared" si="1"/>
        <v>0</v>
      </c>
      <c r="J98" s="150" t="b">
        <v>0</v>
      </c>
      <c r="K98" s="138"/>
      <c r="L98" s="138"/>
      <c r="M98" s="137"/>
    </row>
    <row r="99" spans="2:13">
      <c r="B99" s="132"/>
      <c r="C99" s="133"/>
      <c r="D99" s="134"/>
      <c r="E99" s="133"/>
      <c r="F99" s="133"/>
      <c r="G99" s="136"/>
      <c r="H99" s="136"/>
      <c r="I99" s="105">
        <f t="shared" si="1"/>
        <v>0</v>
      </c>
      <c r="J99" s="150" t="b">
        <v>0</v>
      </c>
      <c r="K99" s="138"/>
      <c r="L99" s="138"/>
      <c r="M99" s="137"/>
    </row>
    <row r="100" spans="2:13">
      <c r="B100" s="132"/>
      <c r="C100" s="133"/>
      <c r="D100" s="134"/>
      <c r="E100" s="133"/>
      <c r="F100" s="133"/>
      <c r="G100" s="136"/>
      <c r="H100" s="136"/>
      <c r="I100" s="105">
        <f t="shared" ref="I100:I120" si="2">G100+H100</f>
        <v>0</v>
      </c>
      <c r="J100" s="150" t="b">
        <v>0</v>
      </c>
      <c r="K100" s="138"/>
      <c r="L100" s="138"/>
      <c r="M100" s="137"/>
    </row>
    <row r="101" spans="2:13">
      <c r="B101" s="132"/>
      <c r="C101" s="133"/>
      <c r="D101" s="134"/>
      <c r="E101" s="133"/>
      <c r="F101" s="133"/>
      <c r="G101" s="136"/>
      <c r="H101" s="136"/>
      <c r="I101" s="105">
        <f t="shared" si="2"/>
        <v>0</v>
      </c>
      <c r="J101" s="150" t="b">
        <v>0</v>
      </c>
      <c r="K101" s="138"/>
      <c r="L101" s="138"/>
      <c r="M101" s="137"/>
    </row>
    <row r="102" spans="2:13">
      <c r="B102" s="132"/>
      <c r="C102" s="133"/>
      <c r="D102" s="134"/>
      <c r="E102" s="133"/>
      <c r="F102" s="133"/>
      <c r="G102" s="136"/>
      <c r="H102" s="136"/>
      <c r="I102" s="105">
        <f t="shared" si="2"/>
        <v>0</v>
      </c>
      <c r="J102" s="150" t="b">
        <v>0</v>
      </c>
      <c r="K102" s="138"/>
      <c r="L102" s="138"/>
      <c r="M102" s="137"/>
    </row>
    <row r="103" spans="2:13">
      <c r="B103" s="132"/>
      <c r="C103" s="133"/>
      <c r="D103" s="134"/>
      <c r="E103" s="133"/>
      <c r="F103" s="133"/>
      <c r="G103" s="136"/>
      <c r="H103" s="136"/>
      <c r="I103" s="105">
        <f t="shared" si="2"/>
        <v>0</v>
      </c>
      <c r="J103" s="150" t="b">
        <v>0</v>
      </c>
      <c r="K103" s="138"/>
      <c r="L103" s="138"/>
      <c r="M103" s="137"/>
    </row>
    <row r="104" spans="2:13">
      <c r="B104" s="132"/>
      <c r="C104" s="133"/>
      <c r="D104" s="134"/>
      <c r="E104" s="133"/>
      <c r="F104" s="133"/>
      <c r="G104" s="136"/>
      <c r="H104" s="136"/>
      <c r="I104" s="105">
        <f t="shared" si="2"/>
        <v>0</v>
      </c>
      <c r="J104" s="150" t="b">
        <v>0</v>
      </c>
      <c r="K104" s="138"/>
      <c r="L104" s="138"/>
      <c r="M104" s="137"/>
    </row>
    <row r="105" spans="2:13">
      <c r="B105" s="132"/>
      <c r="C105" s="133"/>
      <c r="D105" s="134"/>
      <c r="E105" s="133"/>
      <c r="F105" s="133"/>
      <c r="G105" s="136"/>
      <c r="H105" s="136"/>
      <c r="I105" s="105">
        <f t="shared" si="2"/>
        <v>0</v>
      </c>
      <c r="J105" s="150" t="b">
        <v>0</v>
      </c>
      <c r="K105" s="138"/>
      <c r="L105" s="138"/>
      <c r="M105" s="137"/>
    </row>
    <row r="106" spans="2:13">
      <c r="B106" s="132"/>
      <c r="C106" s="133"/>
      <c r="D106" s="134"/>
      <c r="E106" s="133"/>
      <c r="F106" s="133"/>
      <c r="G106" s="136"/>
      <c r="H106" s="136"/>
      <c r="I106" s="105">
        <f t="shared" si="2"/>
        <v>0</v>
      </c>
      <c r="J106" s="150" t="b">
        <v>0</v>
      </c>
      <c r="K106" s="138"/>
      <c r="L106" s="138"/>
      <c r="M106" s="137"/>
    </row>
    <row r="107" spans="2:13">
      <c r="B107" s="132"/>
      <c r="C107" s="133"/>
      <c r="D107" s="134"/>
      <c r="E107" s="133"/>
      <c r="F107" s="133"/>
      <c r="G107" s="136"/>
      <c r="H107" s="136"/>
      <c r="I107" s="105">
        <f t="shared" si="2"/>
        <v>0</v>
      </c>
      <c r="J107" s="150" t="b">
        <v>0</v>
      </c>
      <c r="K107" s="138"/>
      <c r="L107" s="138"/>
      <c r="M107" s="137"/>
    </row>
    <row r="108" spans="2:13">
      <c r="B108" s="132"/>
      <c r="C108" s="133"/>
      <c r="D108" s="134"/>
      <c r="E108" s="133"/>
      <c r="F108" s="133"/>
      <c r="G108" s="136"/>
      <c r="H108" s="136"/>
      <c r="I108" s="105">
        <f t="shared" si="2"/>
        <v>0</v>
      </c>
      <c r="J108" s="150" t="b">
        <v>0</v>
      </c>
      <c r="K108" s="138"/>
      <c r="L108" s="138"/>
      <c r="M108" s="137"/>
    </row>
    <row r="109" spans="2:13">
      <c r="B109" s="132"/>
      <c r="C109" s="133"/>
      <c r="D109" s="134"/>
      <c r="E109" s="133"/>
      <c r="F109" s="133"/>
      <c r="G109" s="136"/>
      <c r="H109" s="136"/>
      <c r="I109" s="105">
        <f t="shared" si="2"/>
        <v>0</v>
      </c>
      <c r="J109" s="150" t="b">
        <v>0</v>
      </c>
      <c r="K109" s="138"/>
      <c r="L109" s="138"/>
      <c r="M109" s="137"/>
    </row>
    <row r="110" spans="2:13">
      <c r="B110" s="132"/>
      <c r="C110" s="133"/>
      <c r="D110" s="134"/>
      <c r="E110" s="133"/>
      <c r="F110" s="133"/>
      <c r="G110" s="136"/>
      <c r="H110" s="136"/>
      <c r="I110" s="105">
        <f t="shared" si="2"/>
        <v>0</v>
      </c>
      <c r="J110" s="150" t="b">
        <v>0</v>
      </c>
      <c r="K110" s="138"/>
      <c r="L110" s="138"/>
      <c r="M110" s="137"/>
    </row>
    <row r="111" spans="2:13">
      <c r="B111" s="132"/>
      <c r="C111" s="133"/>
      <c r="D111" s="134"/>
      <c r="E111" s="133"/>
      <c r="F111" s="133"/>
      <c r="G111" s="136"/>
      <c r="H111" s="136"/>
      <c r="I111" s="105">
        <f t="shared" si="2"/>
        <v>0</v>
      </c>
      <c r="J111" s="150" t="b">
        <v>0</v>
      </c>
      <c r="K111" s="138"/>
      <c r="L111" s="138"/>
      <c r="M111" s="137"/>
    </row>
    <row r="112" spans="2:13">
      <c r="B112" s="132"/>
      <c r="C112" s="133"/>
      <c r="D112" s="134"/>
      <c r="E112" s="133"/>
      <c r="F112" s="133"/>
      <c r="G112" s="136"/>
      <c r="H112" s="136"/>
      <c r="I112" s="105">
        <f t="shared" si="2"/>
        <v>0</v>
      </c>
      <c r="J112" s="150" t="b">
        <v>0</v>
      </c>
      <c r="K112" s="138"/>
      <c r="L112" s="138"/>
      <c r="M112" s="137"/>
    </row>
    <row r="113" spans="2:13">
      <c r="B113" s="132"/>
      <c r="C113" s="133"/>
      <c r="D113" s="134"/>
      <c r="E113" s="133"/>
      <c r="F113" s="133"/>
      <c r="G113" s="136"/>
      <c r="H113" s="136"/>
      <c r="I113" s="105">
        <f t="shared" si="2"/>
        <v>0</v>
      </c>
      <c r="J113" s="150" t="b">
        <v>0</v>
      </c>
      <c r="K113" s="138"/>
      <c r="L113" s="138"/>
      <c r="M113" s="137"/>
    </row>
    <row r="114" spans="2:13">
      <c r="B114" s="132"/>
      <c r="C114" s="133"/>
      <c r="D114" s="134"/>
      <c r="E114" s="133"/>
      <c r="F114" s="133"/>
      <c r="G114" s="136"/>
      <c r="H114" s="136"/>
      <c r="I114" s="105">
        <f t="shared" si="2"/>
        <v>0</v>
      </c>
      <c r="J114" s="150" t="b">
        <v>0</v>
      </c>
      <c r="K114" s="138"/>
      <c r="L114" s="138"/>
      <c r="M114" s="137"/>
    </row>
    <row r="115" spans="2:13">
      <c r="B115" s="132"/>
      <c r="C115" s="133"/>
      <c r="D115" s="134"/>
      <c r="E115" s="133"/>
      <c r="F115" s="133"/>
      <c r="G115" s="136"/>
      <c r="H115" s="136"/>
      <c r="I115" s="105">
        <f t="shared" si="2"/>
        <v>0</v>
      </c>
      <c r="J115" s="150" t="b">
        <v>0</v>
      </c>
      <c r="K115" s="138"/>
      <c r="L115" s="138"/>
      <c r="M115" s="137"/>
    </row>
    <row r="116" spans="2:13">
      <c r="B116" s="132"/>
      <c r="C116" s="133"/>
      <c r="D116" s="134"/>
      <c r="E116" s="133"/>
      <c r="F116" s="133"/>
      <c r="G116" s="136"/>
      <c r="H116" s="136"/>
      <c r="I116" s="105">
        <f t="shared" si="2"/>
        <v>0</v>
      </c>
      <c r="J116" s="150" t="b">
        <v>0</v>
      </c>
      <c r="K116" s="138"/>
      <c r="L116" s="138"/>
      <c r="M116" s="137"/>
    </row>
    <row r="117" spans="2:13">
      <c r="B117" s="132"/>
      <c r="C117" s="133"/>
      <c r="D117" s="134"/>
      <c r="E117" s="133"/>
      <c r="F117" s="133"/>
      <c r="G117" s="136"/>
      <c r="H117" s="136"/>
      <c r="I117" s="105">
        <f t="shared" si="2"/>
        <v>0</v>
      </c>
      <c r="J117" s="150" t="b">
        <v>0</v>
      </c>
      <c r="K117" s="138"/>
      <c r="L117" s="138"/>
      <c r="M117" s="137"/>
    </row>
    <row r="118" spans="2:13">
      <c r="B118" s="132"/>
      <c r="C118" s="133"/>
      <c r="D118" s="134"/>
      <c r="E118" s="133"/>
      <c r="F118" s="133"/>
      <c r="G118" s="136"/>
      <c r="H118" s="136"/>
      <c r="I118" s="105">
        <f t="shared" si="2"/>
        <v>0</v>
      </c>
      <c r="J118" s="150" t="b">
        <v>0</v>
      </c>
      <c r="K118" s="138"/>
      <c r="L118" s="138"/>
      <c r="M118" s="137"/>
    </row>
    <row r="119" spans="2:13">
      <c r="B119" s="132"/>
      <c r="C119" s="133"/>
      <c r="D119" s="134"/>
      <c r="E119" s="133"/>
      <c r="F119" s="133"/>
      <c r="G119" s="136"/>
      <c r="H119" s="136"/>
      <c r="I119" s="105">
        <f t="shared" si="2"/>
        <v>0</v>
      </c>
      <c r="J119" s="150" t="b">
        <v>0</v>
      </c>
      <c r="K119" s="138"/>
      <c r="L119" s="138"/>
      <c r="M119" s="137"/>
    </row>
    <row r="120" spans="2:13" ht="15.75" thickBot="1">
      <c r="B120" s="143"/>
      <c r="C120" s="509"/>
      <c r="D120" s="510"/>
      <c r="E120" s="509"/>
      <c r="F120" s="509"/>
      <c r="G120" s="512"/>
      <c r="H120" s="512"/>
      <c r="I120" s="513">
        <f t="shared" si="2"/>
        <v>0</v>
      </c>
      <c r="J120" s="150" t="b">
        <v>0</v>
      </c>
      <c r="K120" s="138"/>
      <c r="L120" s="138"/>
      <c r="M120" s="137"/>
    </row>
    <row r="121" spans="2:13" ht="15.75" thickBot="1">
      <c r="B121" s="139"/>
      <c r="G121" s="508">
        <f>SUM(G11:G115)</f>
        <v>108132.99391304348</v>
      </c>
      <c r="H121" s="508">
        <f>SUM(H11:H115)</f>
        <v>9392.9060869565274</v>
      </c>
      <c r="I121" s="508">
        <f>SUM(I11:I113)</f>
        <v>117525.93000000007</v>
      </c>
      <c r="J121" s="142"/>
      <c r="K121" s="138"/>
      <c r="L121" s="138"/>
    </row>
    <row r="122" spans="2:13" ht="16.5" thickTop="1" thickBot="1">
      <c r="B122" s="143"/>
      <c r="C122" s="144"/>
      <c r="D122" s="145"/>
      <c r="E122" s="145"/>
      <c r="F122" s="145"/>
      <c r="G122" s="146"/>
      <c r="H122" s="146"/>
      <c r="I122" s="147"/>
      <c r="L122" s="138"/>
    </row>
    <row r="123" spans="2:13">
      <c r="L123" s="138"/>
    </row>
    <row r="124" spans="2:13">
      <c r="L124" s="138"/>
    </row>
  </sheetData>
  <mergeCells count="3">
    <mergeCell ref="B1:I1"/>
    <mergeCell ref="B3:I3"/>
    <mergeCell ref="C5:E5"/>
  </mergeCells>
  <phoneticPr fontId="140" type="noConversion"/>
  <conditionalFormatting sqref="J1:J1048576">
    <cfRule type="containsText" dxfId="7" priority="1" operator="containsText" text="FALSE">
      <formula>NOT(ISERROR(SEARCH("FALSE",J1)))</formula>
    </cfRule>
    <cfRule type="containsText" dxfId="6" priority="2" operator="containsText" text="TRUE">
      <formula>NOT(ISERROR(SEARCH("TRUE",J1)))</formula>
    </cfRule>
  </conditionalFormatting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46C6B-D78D-437E-B32D-EF607B795FFA}">
  <dimension ref="B1:N118"/>
  <sheetViews>
    <sheetView topLeftCell="A37" workbookViewId="0">
      <selection activeCell="L74" sqref="L74"/>
    </sheetView>
  </sheetViews>
  <sheetFormatPr defaultColWidth="8.5703125" defaultRowHeight="15"/>
  <cols>
    <col min="1" max="1" width="3.140625" style="107" customWidth="1"/>
    <col min="2" max="2" width="29.5703125" style="148" customWidth="1"/>
    <col min="3" max="3" width="14.42578125" style="107" customWidth="1"/>
    <col min="4" max="4" width="38.42578125" style="140" bestFit="1" customWidth="1"/>
    <col min="5" max="5" width="20.42578125" style="107" customWidth="1"/>
    <col min="6" max="6" width="17.140625" style="107" customWidth="1"/>
    <col min="7" max="8" width="15.42578125" style="149" customWidth="1"/>
    <col min="9" max="9" width="17" style="149" customWidth="1"/>
    <col min="10" max="10" width="15.42578125" style="620" customWidth="1"/>
    <col min="11" max="11" width="24.5703125" style="620" customWidth="1"/>
    <col min="12" max="12" width="12.85546875" style="620" bestFit="1" customWidth="1"/>
    <col min="13" max="13" width="28.140625" style="107" customWidth="1"/>
    <col min="14" max="14" width="48.42578125" style="107" customWidth="1"/>
    <col min="15" max="15" width="9.85546875" style="107" customWidth="1"/>
    <col min="16" max="16384" width="8.5703125" style="107"/>
  </cols>
  <sheetData>
    <row r="1" spans="2:13" ht="9" customHeight="1" thickBot="1">
      <c r="B1" s="772"/>
      <c r="C1" s="772"/>
      <c r="D1" s="772"/>
      <c r="E1" s="772"/>
      <c r="F1" s="772"/>
      <c r="G1" s="772"/>
      <c r="H1" s="772"/>
      <c r="I1" s="772"/>
      <c r="J1" s="620" t="s">
        <v>9</v>
      </c>
    </row>
    <row r="2" spans="2:13" ht="9" customHeight="1">
      <c r="B2" s="108"/>
      <c r="C2" s="109"/>
      <c r="D2" s="110"/>
      <c r="E2" s="109"/>
      <c r="F2" s="109"/>
      <c r="G2" s="111"/>
      <c r="H2" s="111"/>
      <c r="I2" s="111"/>
    </row>
    <row r="3" spans="2:13">
      <c r="B3" s="773" t="s">
        <v>70</v>
      </c>
      <c r="C3" s="774"/>
      <c r="D3" s="774"/>
      <c r="E3" s="774"/>
      <c r="F3" s="774"/>
      <c r="G3" s="774"/>
      <c r="H3" s="774"/>
      <c r="I3" s="775"/>
    </row>
    <row r="4" spans="2:13">
      <c r="B4" s="115"/>
      <c r="C4" s="106"/>
      <c r="D4" s="116"/>
      <c r="E4" s="106"/>
      <c r="F4" s="106"/>
      <c r="G4" s="117"/>
      <c r="H4" s="117"/>
      <c r="I4" s="117"/>
    </row>
    <row r="5" spans="2:13">
      <c r="B5" s="115" t="s">
        <v>0</v>
      </c>
      <c r="C5" s="776">
        <v>46143</v>
      </c>
      <c r="D5" s="777"/>
      <c r="E5" s="777"/>
      <c r="G5" s="119"/>
      <c r="H5" s="119"/>
      <c r="I5" s="119"/>
    </row>
    <row r="6" spans="2:13">
      <c r="B6" s="122" t="s">
        <v>1</v>
      </c>
      <c r="C6" s="123" t="s">
        <v>2</v>
      </c>
      <c r="D6" s="124" t="s">
        <v>3</v>
      </c>
      <c r="E6" s="125" t="s">
        <v>4</v>
      </c>
      <c r="F6" s="124" t="s">
        <v>5</v>
      </c>
      <c r="G6" s="126" t="s">
        <v>6</v>
      </c>
      <c r="H6" s="126" t="s">
        <v>7</v>
      </c>
      <c r="I6" s="693" t="s">
        <v>8</v>
      </c>
      <c r="J6" s="128" t="s">
        <v>9</v>
      </c>
      <c r="K6" s="128" t="s">
        <v>33</v>
      </c>
      <c r="L6" s="620" t="s">
        <v>641</v>
      </c>
      <c r="M6" s="129" t="s">
        <v>652</v>
      </c>
    </row>
    <row r="7" spans="2:13">
      <c r="B7" s="633" t="s">
        <v>563</v>
      </c>
      <c r="C7" s="634" t="s">
        <v>35</v>
      </c>
      <c r="D7" s="167" t="s">
        <v>72</v>
      </c>
      <c r="E7" s="168">
        <v>40834</v>
      </c>
      <c r="F7" s="635" t="s">
        <v>65</v>
      </c>
      <c r="G7" s="170">
        <v>349</v>
      </c>
      <c r="H7" s="170">
        <v>52.35</v>
      </c>
      <c r="I7" s="171">
        <v>401.35</v>
      </c>
      <c r="J7" s="573" t="s">
        <v>9</v>
      </c>
      <c r="K7" s="128"/>
      <c r="L7" s="620" t="s">
        <v>642</v>
      </c>
      <c r="M7" s="129" t="s">
        <v>653</v>
      </c>
    </row>
    <row r="8" spans="2:13">
      <c r="B8" s="172" t="s">
        <v>592</v>
      </c>
      <c r="C8" s="168" t="s">
        <v>35</v>
      </c>
      <c r="D8" s="167" t="s">
        <v>516</v>
      </c>
      <c r="E8" s="168">
        <v>235017</v>
      </c>
      <c r="F8" s="178" t="s">
        <v>65</v>
      </c>
      <c r="G8" s="170">
        <v>425.88</v>
      </c>
      <c r="H8" s="170"/>
      <c r="I8" s="171">
        <v>425.88</v>
      </c>
      <c r="J8" s="573" t="s">
        <v>9</v>
      </c>
      <c r="K8" s="128"/>
      <c r="L8" s="620" t="s">
        <v>642</v>
      </c>
      <c r="M8" s="703" t="s">
        <v>653</v>
      </c>
    </row>
    <row r="9" spans="2:13">
      <c r="B9" s="172" t="s">
        <v>632</v>
      </c>
      <c r="C9" s="168" t="s">
        <v>42</v>
      </c>
      <c r="D9" s="167" t="s">
        <v>215</v>
      </c>
      <c r="E9" s="168"/>
      <c r="F9" s="178" t="s">
        <v>567</v>
      </c>
      <c r="G9" s="170">
        <v>1700</v>
      </c>
      <c r="H9" s="170"/>
      <c r="I9" s="171">
        <v>1700</v>
      </c>
      <c r="J9" s="573" t="s">
        <v>9</v>
      </c>
      <c r="K9" s="128"/>
      <c r="L9" s="620" t="s">
        <v>642</v>
      </c>
      <c r="M9" s="703" t="s">
        <v>653</v>
      </c>
    </row>
    <row r="10" spans="2:13">
      <c r="B10" s="172" t="s">
        <v>632</v>
      </c>
      <c r="C10" s="168" t="s">
        <v>42</v>
      </c>
      <c r="D10" s="167" t="s">
        <v>637</v>
      </c>
      <c r="E10" s="168"/>
      <c r="F10" s="178" t="s">
        <v>638</v>
      </c>
      <c r="G10" s="170">
        <v>1092.5</v>
      </c>
      <c r="H10" s="170"/>
      <c r="I10" s="171">
        <v>1092.5</v>
      </c>
      <c r="J10" s="573" t="s">
        <v>9</v>
      </c>
      <c r="K10" s="128"/>
      <c r="L10" s="620" t="s">
        <v>642</v>
      </c>
      <c r="M10" s="703" t="s">
        <v>653</v>
      </c>
    </row>
    <row r="11" spans="2:13">
      <c r="B11" s="710" t="s">
        <v>632</v>
      </c>
      <c r="C11" s="715" t="s">
        <v>35</v>
      </c>
      <c r="D11" s="167" t="s">
        <v>163</v>
      </c>
      <c r="E11" s="168">
        <v>236660</v>
      </c>
      <c r="F11" s="716" t="s">
        <v>65</v>
      </c>
      <c r="G11" s="170">
        <v>750.96</v>
      </c>
      <c r="H11" s="170">
        <v>112.64</v>
      </c>
      <c r="I11" s="701">
        <v>641.82000000000005</v>
      </c>
      <c r="J11" s="702" t="s">
        <v>9</v>
      </c>
      <c r="L11" s="620" t="s">
        <v>642</v>
      </c>
      <c r="M11" s="138"/>
    </row>
    <row r="12" spans="2:13" s="137" customFormat="1">
      <c r="B12" s="174" t="s">
        <v>655</v>
      </c>
      <c r="C12" s="167" t="s">
        <v>35</v>
      </c>
      <c r="D12" s="167" t="s">
        <v>601</v>
      </c>
      <c r="E12" s="167">
        <v>857532</v>
      </c>
      <c r="F12" s="175" t="s">
        <v>65</v>
      </c>
      <c r="G12" s="176">
        <v>753.4</v>
      </c>
      <c r="H12" s="176">
        <v>0</v>
      </c>
      <c r="I12" s="701">
        <v>753.4</v>
      </c>
      <c r="J12" s="702" t="s">
        <v>9</v>
      </c>
      <c r="K12" s="620"/>
      <c r="L12" s="620" t="s">
        <v>642</v>
      </c>
      <c r="M12" s="138"/>
    </row>
    <row r="13" spans="2:13">
      <c r="B13" s="710" t="s">
        <v>639</v>
      </c>
      <c r="C13" s="715" t="s">
        <v>35</v>
      </c>
      <c r="D13" s="167" t="s">
        <v>643</v>
      </c>
      <c r="E13" s="168">
        <v>110011</v>
      </c>
      <c r="F13" s="716" t="s">
        <v>65</v>
      </c>
      <c r="G13" s="170">
        <v>8569.41</v>
      </c>
      <c r="H13" s="170">
        <v>1285.4000000000001</v>
      </c>
      <c r="I13" s="701">
        <v>9854.81</v>
      </c>
      <c r="J13" s="702" t="s">
        <v>9</v>
      </c>
      <c r="L13" s="620" t="s">
        <v>642</v>
      </c>
      <c r="M13" s="137"/>
    </row>
    <row r="14" spans="2:13">
      <c r="B14" s="714" t="s">
        <v>644</v>
      </c>
      <c r="C14" s="715" t="s">
        <v>35</v>
      </c>
      <c r="D14" s="167" t="s">
        <v>159</v>
      </c>
      <c r="E14" s="168">
        <v>2929426</v>
      </c>
      <c r="F14" s="716" t="s">
        <v>64</v>
      </c>
      <c r="G14" s="170">
        <v>1880.65</v>
      </c>
      <c r="H14" s="170">
        <v>282.11</v>
      </c>
      <c r="I14" s="701">
        <v>2162.7600000000002</v>
      </c>
      <c r="J14" s="702" t="s">
        <v>9</v>
      </c>
      <c r="L14" s="620" t="s">
        <v>642</v>
      </c>
      <c r="M14" s="137"/>
    </row>
    <row r="15" spans="2:13">
      <c r="B15" s="714" t="s">
        <v>644</v>
      </c>
      <c r="C15" s="715" t="s">
        <v>35</v>
      </c>
      <c r="D15" s="167" t="s">
        <v>159</v>
      </c>
      <c r="E15" s="168">
        <v>2929438</v>
      </c>
      <c r="F15" s="716" t="s">
        <v>64</v>
      </c>
      <c r="G15" s="170">
        <v>5312.53</v>
      </c>
      <c r="H15" s="170">
        <v>796.94</v>
      </c>
      <c r="I15" s="701">
        <v>6109.47</v>
      </c>
      <c r="J15" s="702" t="s">
        <v>9</v>
      </c>
      <c r="L15" s="620" t="s">
        <v>642</v>
      </c>
      <c r="M15" s="137"/>
    </row>
    <row r="16" spans="2:13">
      <c r="B16" s="263" t="s">
        <v>646</v>
      </c>
      <c r="C16" s="264" t="s">
        <v>35</v>
      </c>
      <c r="D16" s="167" t="s">
        <v>159</v>
      </c>
      <c r="E16" s="266">
        <v>2929437</v>
      </c>
      <c r="F16" s="265" t="s">
        <v>64</v>
      </c>
      <c r="G16" s="267">
        <v>6158.4</v>
      </c>
      <c r="H16" s="267">
        <v>923.76</v>
      </c>
      <c r="I16" s="725">
        <v>7082.16</v>
      </c>
      <c r="J16" s="702" t="s">
        <v>9</v>
      </c>
      <c r="L16" s="620" t="s">
        <v>642</v>
      </c>
      <c r="M16" s="137"/>
    </row>
    <row r="17" spans="2:13" s="138" customFormat="1">
      <c r="B17" s="174" t="s">
        <v>644</v>
      </c>
      <c r="C17" s="167" t="s">
        <v>35</v>
      </c>
      <c r="D17" s="167" t="s">
        <v>235</v>
      </c>
      <c r="E17" s="167">
        <v>1686</v>
      </c>
      <c r="F17" s="175" t="s">
        <v>65</v>
      </c>
      <c r="G17" s="176">
        <v>1113.5</v>
      </c>
      <c r="H17" s="176">
        <v>167.03</v>
      </c>
      <c r="I17" s="701">
        <v>1280.53</v>
      </c>
      <c r="J17" s="702" t="s">
        <v>9</v>
      </c>
      <c r="K17" s="620"/>
      <c r="L17" s="620" t="s">
        <v>642</v>
      </c>
    </row>
    <row r="18" spans="2:13" s="138" customFormat="1">
      <c r="B18" s="174" t="s">
        <v>640</v>
      </c>
      <c r="C18" s="167" t="s">
        <v>35</v>
      </c>
      <c r="D18" s="167" t="s">
        <v>235</v>
      </c>
      <c r="E18" s="167">
        <v>1687</v>
      </c>
      <c r="F18" s="175" t="s">
        <v>65</v>
      </c>
      <c r="G18" s="176">
        <v>2632</v>
      </c>
      <c r="H18" s="176">
        <v>131.6</v>
      </c>
      <c r="I18" s="701">
        <v>2875.46</v>
      </c>
      <c r="J18" s="702" t="s">
        <v>9</v>
      </c>
      <c r="K18" s="620"/>
      <c r="L18" s="620" t="s">
        <v>642</v>
      </c>
    </row>
    <row r="19" spans="2:13" s="138" customFormat="1">
      <c r="B19" s="710" t="s">
        <v>640</v>
      </c>
      <c r="C19" s="715" t="s">
        <v>35</v>
      </c>
      <c r="D19" s="715" t="s">
        <v>163</v>
      </c>
      <c r="E19" s="282">
        <v>237333</v>
      </c>
      <c r="F19" s="716" t="s">
        <v>65</v>
      </c>
      <c r="G19" s="284">
        <v>627.5</v>
      </c>
      <c r="H19" s="284">
        <v>94.13</v>
      </c>
      <c r="I19" s="717">
        <v>598.79</v>
      </c>
      <c r="J19" s="702" t="s">
        <v>9</v>
      </c>
      <c r="K19" s="620"/>
      <c r="L19" s="620" t="s">
        <v>642</v>
      </c>
    </row>
    <row r="20" spans="2:13">
      <c r="B20" s="714" t="s">
        <v>644</v>
      </c>
      <c r="C20" s="715" t="s">
        <v>35</v>
      </c>
      <c r="D20" s="167" t="s">
        <v>140</v>
      </c>
      <c r="E20" s="168">
        <v>133953371</v>
      </c>
      <c r="F20" s="716" t="s">
        <v>64</v>
      </c>
      <c r="G20" s="170">
        <v>1405.21</v>
      </c>
      <c r="H20" s="170">
        <v>173.93</v>
      </c>
      <c r="I20" s="701">
        <v>1579.14</v>
      </c>
      <c r="J20" s="702" t="s">
        <v>9</v>
      </c>
      <c r="L20" s="620" t="s">
        <v>642</v>
      </c>
      <c r="M20" s="137"/>
    </row>
    <row r="21" spans="2:13" s="138" customFormat="1">
      <c r="B21" s="472" t="s">
        <v>640</v>
      </c>
      <c r="C21" s="167" t="s">
        <v>35</v>
      </c>
      <c r="D21" s="167" t="s">
        <v>152</v>
      </c>
      <c r="E21" s="167">
        <v>272733</v>
      </c>
      <c r="F21" s="175" t="s">
        <v>64</v>
      </c>
      <c r="G21" s="176">
        <v>4815.3999999999996</v>
      </c>
      <c r="H21" s="176">
        <v>722.31</v>
      </c>
      <c r="I21" s="701">
        <v>5537.71</v>
      </c>
      <c r="J21" s="702" t="s">
        <v>9</v>
      </c>
      <c r="K21" s="620"/>
      <c r="L21" s="620" t="s">
        <v>642</v>
      </c>
    </row>
    <row r="22" spans="2:13" s="138" customFormat="1">
      <c r="B22" s="174" t="s">
        <v>644</v>
      </c>
      <c r="C22" s="167" t="s">
        <v>35</v>
      </c>
      <c r="D22" s="167" t="s">
        <v>645</v>
      </c>
      <c r="E22" s="167">
        <v>26088370</v>
      </c>
      <c r="F22" s="175" t="s">
        <v>64</v>
      </c>
      <c r="G22" s="176">
        <v>939.2</v>
      </c>
      <c r="H22" s="176">
        <v>140.88</v>
      </c>
      <c r="I22" s="701">
        <v>1080.08</v>
      </c>
      <c r="J22" s="702" t="s">
        <v>9</v>
      </c>
      <c r="K22" s="620"/>
      <c r="L22" s="620" t="s">
        <v>642</v>
      </c>
    </row>
    <row r="23" spans="2:13">
      <c r="B23" s="707" t="s">
        <v>648</v>
      </c>
      <c r="C23" s="708" t="s">
        <v>35</v>
      </c>
      <c r="D23" s="167" t="s">
        <v>163</v>
      </c>
      <c r="E23" s="168">
        <v>238021</v>
      </c>
      <c r="F23" s="709" t="s">
        <v>65</v>
      </c>
      <c r="G23" s="170">
        <v>591.78</v>
      </c>
      <c r="H23" s="170">
        <v>88.77</v>
      </c>
      <c r="I23" s="701">
        <v>479.92</v>
      </c>
      <c r="J23" s="702" t="s">
        <v>9</v>
      </c>
      <c r="L23" s="620" t="s">
        <v>642</v>
      </c>
      <c r="M23" s="137"/>
    </row>
    <row r="24" spans="2:13" s="138" customFormat="1">
      <c r="B24" s="174" t="s">
        <v>649</v>
      </c>
      <c r="C24" s="167" t="s">
        <v>35</v>
      </c>
      <c r="D24" s="167" t="s">
        <v>230</v>
      </c>
      <c r="E24" s="167">
        <v>79371</v>
      </c>
      <c r="F24" s="175" t="s">
        <v>65</v>
      </c>
      <c r="G24" s="176">
        <v>540</v>
      </c>
      <c r="H24" s="176">
        <v>0</v>
      </c>
      <c r="I24" s="701">
        <v>540</v>
      </c>
      <c r="J24" s="702" t="s">
        <v>9</v>
      </c>
      <c r="K24" s="620"/>
      <c r="L24" s="620" t="s">
        <v>642</v>
      </c>
    </row>
    <row r="25" spans="2:13" s="138" customFormat="1">
      <c r="B25" s="174" t="s">
        <v>650</v>
      </c>
      <c r="C25" s="167" t="s">
        <v>35</v>
      </c>
      <c r="D25" s="167" t="s">
        <v>159</v>
      </c>
      <c r="E25" s="167">
        <v>2932668</v>
      </c>
      <c r="F25" s="175" t="s">
        <v>65</v>
      </c>
      <c r="G25" s="176">
        <v>2749.8</v>
      </c>
      <c r="H25" s="176">
        <v>412.47</v>
      </c>
      <c r="I25" s="701">
        <v>3162.27</v>
      </c>
      <c r="J25" s="702" t="s">
        <v>9</v>
      </c>
      <c r="K25" s="620"/>
      <c r="L25" s="620" t="s">
        <v>642</v>
      </c>
    </row>
    <row r="26" spans="2:13">
      <c r="B26" s="707" t="s">
        <v>651</v>
      </c>
      <c r="C26" s="708" t="s">
        <v>35</v>
      </c>
      <c r="D26" s="167" t="s">
        <v>601</v>
      </c>
      <c r="E26" s="168">
        <v>862101</v>
      </c>
      <c r="F26" s="709" t="s">
        <v>65</v>
      </c>
      <c r="G26" s="170">
        <v>319.60000000000002</v>
      </c>
      <c r="H26" s="170">
        <v>0</v>
      </c>
      <c r="I26" s="701">
        <v>319.60000000000002</v>
      </c>
      <c r="J26" s="702" t="s">
        <v>9</v>
      </c>
      <c r="L26" s="620" t="s">
        <v>642</v>
      </c>
      <c r="M26" s="137"/>
    </row>
    <row r="27" spans="2:13" s="138" customFormat="1">
      <c r="B27" s="174" t="s">
        <v>656</v>
      </c>
      <c r="C27" s="167" t="s">
        <v>35</v>
      </c>
      <c r="D27" s="167" t="s">
        <v>657</v>
      </c>
      <c r="E27" s="167">
        <v>1810286</v>
      </c>
      <c r="F27" s="175" t="s">
        <v>65</v>
      </c>
      <c r="G27" s="176">
        <v>5068</v>
      </c>
      <c r="H27" s="176">
        <v>681.45</v>
      </c>
      <c r="I27" s="701">
        <v>5749.45</v>
      </c>
      <c r="J27" s="702" t="s">
        <v>9</v>
      </c>
      <c r="K27" s="620"/>
      <c r="L27" s="620" t="s">
        <v>642</v>
      </c>
    </row>
    <row r="28" spans="2:13">
      <c r="B28" s="710" t="s">
        <v>644</v>
      </c>
      <c r="C28" s="711" t="s">
        <v>35</v>
      </c>
      <c r="D28" s="167" t="s">
        <v>658</v>
      </c>
      <c r="E28" s="168">
        <v>90303</v>
      </c>
      <c r="F28" s="713" t="s">
        <v>64</v>
      </c>
      <c r="G28" s="170">
        <v>207.68</v>
      </c>
      <c r="H28" s="170">
        <v>31.16</v>
      </c>
      <c r="I28" s="701">
        <v>238.84</v>
      </c>
      <c r="J28" s="702" t="s">
        <v>9</v>
      </c>
      <c r="L28" s="620" t="s">
        <v>642</v>
      </c>
      <c r="M28" s="137"/>
    </row>
    <row r="29" spans="2:13">
      <c r="B29" s="710" t="s">
        <v>640</v>
      </c>
      <c r="C29" s="711" t="s">
        <v>35</v>
      </c>
      <c r="D29" s="712" t="s">
        <v>659</v>
      </c>
      <c r="E29" s="168">
        <v>605089</v>
      </c>
      <c r="F29" s="713" t="s">
        <v>64</v>
      </c>
      <c r="G29" s="170">
        <v>7730.09</v>
      </c>
      <c r="H29" s="170">
        <v>1159.53</v>
      </c>
      <c r="I29" s="701">
        <v>5480.24</v>
      </c>
      <c r="J29" s="702" t="s">
        <v>9</v>
      </c>
      <c r="L29" s="620" t="s">
        <v>642</v>
      </c>
      <c r="M29" s="137"/>
    </row>
    <row r="30" spans="2:13" s="189" customFormat="1">
      <c r="B30" s="710" t="s">
        <v>660</v>
      </c>
      <c r="C30" s="711" t="s">
        <v>35</v>
      </c>
      <c r="D30" s="711" t="s">
        <v>130</v>
      </c>
      <c r="E30" s="211">
        <v>96430443</v>
      </c>
      <c r="F30" s="713" t="s">
        <v>77</v>
      </c>
      <c r="G30" s="726">
        <v>453186.9</v>
      </c>
      <c r="H30" s="213">
        <v>0</v>
      </c>
      <c r="I30" s="701">
        <v>453186.9</v>
      </c>
      <c r="J30" s="702" t="s">
        <v>9</v>
      </c>
      <c r="K30" s="620"/>
      <c r="L30" s="620" t="s">
        <v>642</v>
      </c>
    </row>
    <row r="31" spans="2:13" s="137" customFormat="1">
      <c r="B31" s="174" t="s">
        <v>640</v>
      </c>
      <c r="C31" s="167" t="s">
        <v>35</v>
      </c>
      <c r="D31" s="167" t="s">
        <v>152</v>
      </c>
      <c r="E31" s="167">
        <v>272647</v>
      </c>
      <c r="F31" s="175" t="s">
        <v>64</v>
      </c>
      <c r="G31" s="176">
        <v>4505.84</v>
      </c>
      <c r="H31" s="176">
        <v>675.88</v>
      </c>
      <c r="I31" s="701">
        <v>5181.72</v>
      </c>
      <c r="J31" s="702" t="s">
        <v>9</v>
      </c>
      <c r="K31" s="620"/>
      <c r="L31" s="620" t="s">
        <v>642</v>
      </c>
    </row>
    <row r="32" spans="2:13">
      <c r="B32" s="710" t="s">
        <v>649</v>
      </c>
      <c r="C32" s="711" t="s">
        <v>35</v>
      </c>
      <c r="D32" s="167" t="s">
        <v>643</v>
      </c>
      <c r="E32" s="168">
        <v>110716</v>
      </c>
      <c r="F32" s="713" t="s">
        <v>65</v>
      </c>
      <c r="G32" s="170">
        <v>5919.42</v>
      </c>
      <c r="H32" s="170">
        <v>887.92</v>
      </c>
      <c r="I32" s="701">
        <v>6807.34</v>
      </c>
      <c r="J32" s="702" t="s">
        <v>9</v>
      </c>
      <c r="L32" s="620" t="s">
        <v>642</v>
      </c>
      <c r="M32" s="137"/>
    </row>
    <row r="33" spans="2:13">
      <c r="B33" s="710" t="s">
        <v>660</v>
      </c>
      <c r="C33" s="711" t="s">
        <v>35</v>
      </c>
      <c r="D33" s="167" t="s">
        <v>72</v>
      </c>
      <c r="E33" s="168">
        <v>40911</v>
      </c>
      <c r="F33" s="713" t="s">
        <v>65</v>
      </c>
      <c r="G33" s="170">
        <v>1793</v>
      </c>
      <c r="H33" s="170">
        <v>268.95</v>
      </c>
      <c r="I33" s="701">
        <v>2061.9499999999998</v>
      </c>
      <c r="J33" s="702" t="s">
        <v>9</v>
      </c>
      <c r="L33" s="620" t="s">
        <v>642</v>
      </c>
      <c r="M33" s="137"/>
    </row>
    <row r="34" spans="2:13">
      <c r="B34" s="174" t="s">
        <v>660</v>
      </c>
      <c r="C34" s="167" t="s">
        <v>35</v>
      </c>
      <c r="D34" s="167" t="s">
        <v>72</v>
      </c>
      <c r="E34" s="167">
        <v>40912</v>
      </c>
      <c r="F34" s="175" t="s">
        <v>64</v>
      </c>
      <c r="G34" s="176">
        <v>1600</v>
      </c>
      <c r="H34" s="176">
        <v>240</v>
      </c>
      <c r="I34" s="701">
        <v>1840</v>
      </c>
      <c r="J34" s="702" t="s">
        <v>9</v>
      </c>
      <c r="L34" s="620" t="s">
        <v>642</v>
      </c>
      <c r="M34" s="137"/>
    </row>
    <row r="35" spans="2:13" s="137" customFormat="1">
      <c r="B35" s="174" t="s">
        <v>649</v>
      </c>
      <c r="C35" s="167" t="s">
        <v>35</v>
      </c>
      <c r="D35" s="167" t="s">
        <v>159</v>
      </c>
      <c r="E35" s="167">
        <v>2933004</v>
      </c>
      <c r="F35" s="175" t="s">
        <v>64</v>
      </c>
      <c r="G35" s="176">
        <v>5094.5600000000004</v>
      </c>
      <c r="H35" s="176">
        <v>764.21</v>
      </c>
      <c r="I35" s="701">
        <v>5858.77</v>
      </c>
      <c r="J35" s="702" t="s">
        <v>9</v>
      </c>
      <c r="K35" s="620"/>
      <c r="L35" s="620" t="s">
        <v>642</v>
      </c>
    </row>
    <row r="36" spans="2:13">
      <c r="B36" s="710" t="s">
        <v>649</v>
      </c>
      <c r="C36" s="711" t="s">
        <v>35</v>
      </c>
      <c r="D36" s="167" t="s">
        <v>159</v>
      </c>
      <c r="E36" s="168">
        <v>2933189</v>
      </c>
      <c r="F36" s="713" t="s">
        <v>64</v>
      </c>
      <c r="G36" s="170">
        <v>1356</v>
      </c>
      <c r="H36" s="170">
        <v>203.4</v>
      </c>
      <c r="I36" s="701">
        <v>1559.4</v>
      </c>
      <c r="J36" s="702" t="s">
        <v>9</v>
      </c>
      <c r="L36" s="620" t="s">
        <v>642</v>
      </c>
      <c r="M36" s="137"/>
    </row>
    <row r="37" spans="2:13">
      <c r="B37" s="172" t="s">
        <v>649</v>
      </c>
      <c r="C37" s="168" t="s">
        <v>35</v>
      </c>
      <c r="D37" s="167" t="s">
        <v>140</v>
      </c>
      <c r="E37" s="168">
        <v>134118602</v>
      </c>
      <c r="F37" s="178" t="s">
        <v>64</v>
      </c>
      <c r="G37" s="170">
        <v>6342.49</v>
      </c>
      <c r="H37" s="170">
        <v>884.63</v>
      </c>
      <c r="I37" s="701">
        <v>7192.62</v>
      </c>
      <c r="J37" s="702" t="s">
        <v>9</v>
      </c>
      <c r="L37" s="620" t="s">
        <v>642</v>
      </c>
      <c r="M37" s="137"/>
    </row>
    <row r="38" spans="2:13">
      <c r="B38" s="172" t="s">
        <v>649</v>
      </c>
      <c r="C38" s="168" t="s">
        <v>35</v>
      </c>
      <c r="D38" s="167" t="s">
        <v>159</v>
      </c>
      <c r="E38" s="168">
        <v>2933086</v>
      </c>
      <c r="F38" s="178" t="s">
        <v>64</v>
      </c>
      <c r="G38" s="170">
        <v>9936.7000000000007</v>
      </c>
      <c r="H38" s="170">
        <v>1490.48</v>
      </c>
      <c r="I38" s="701">
        <v>11427.18</v>
      </c>
      <c r="J38" s="702" t="s">
        <v>9</v>
      </c>
      <c r="L38" s="620" t="s">
        <v>642</v>
      </c>
      <c r="M38" s="137"/>
    </row>
    <row r="39" spans="2:13">
      <c r="B39" s="172" t="s">
        <v>661</v>
      </c>
      <c r="C39" s="168" t="s">
        <v>35</v>
      </c>
      <c r="D39" s="167" t="s">
        <v>659</v>
      </c>
      <c r="E39" s="168">
        <v>607316</v>
      </c>
      <c r="F39" s="178" t="s">
        <v>64</v>
      </c>
      <c r="G39" s="170">
        <v>7685.64</v>
      </c>
      <c r="H39" s="170">
        <v>1121.69</v>
      </c>
      <c r="I39" s="701">
        <v>8807.33</v>
      </c>
      <c r="J39" s="767" t="s">
        <v>9</v>
      </c>
      <c r="K39" s="748"/>
      <c r="L39" s="620" t="s">
        <v>642</v>
      </c>
      <c r="M39" s="137"/>
    </row>
    <row r="40" spans="2:13">
      <c r="B40" s="718" t="s">
        <v>661</v>
      </c>
      <c r="C40" s="719" t="s">
        <v>42</v>
      </c>
      <c r="D40" s="167" t="s">
        <v>663</v>
      </c>
      <c r="E40" s="168">
        <v>13526</v>
      </c>
      <c r="F40" s="720" t="s">
        <v>222</v>
      </c>
      <c r="G40" s="170"/>
      <c r="H40" s="170"/>
      <c r="I40" s="721">
        <v>450</v>
      </c>
      <c r="J40" s="760" t="s">
        <v>9</v>
      </c>
      <c r="K40" s="749"/>
      <c r="M40" s="137"/>
    </row>
    <row r="41" spans="2:13">
      <c r="B41" s="174" t="s">
        <v>664</v>
      </c>
      <c r="C41" s="167" t="s">
        <v>35</v>
      </c>
      <c r="D41" s="167" t="s">
        <v>665</v>
      </c>
      <c r="E41" s="167"/>
      <c r="F41" s="175" t="s">
        <v>65</v>
      </c>
      <c r="G41" s="176"/>
      <c r="H41" s="176"/>
      <c r="I41" s="753">
        <v>375</v>
      </c>
      <c r="J41" s="760" t="s">
        <v>9</v>
      </c>
      <c r="K41" s="750"/>
      <c r="M41" s="137"/>
    </row>
    <row r="42" spans="2:13">
      <c r="B42" s="735" t="s">
        <v>664</v>
      </c>
      <c r="C42" s="736" t="s">
        <v>42</v>
      </c>
      <c r="D42" s="167" t="s">
        <v>260</v>
      </c>
      <c r="E42" s="168"/>
      <c r="F42" s="737" t="s">
        <v>64</v>
      </c>
      <c r="G42" s="170">
        <v>10676.6</v>
      </c>
      <c r="H42" s="170">
        <v>1601.49</v>
      </c>
      <c r="I42" s="701">
        <v>12278.09</v>
      </c>
      <c r="J42" s="771" t="s">
        <v>9</v>
      </c>
      <c r="K42" s="771"/>
      <c r="L42" s="620" t="s">
        <v>642</v>
      </c>
      <c r="M42" s="137"/>
    </row>
    <row r="43" spans="2:13">
      <c r="B43" s="704" t="s">
        <v>143</v>
      </c>
      <c r="C43" s="705" t="s">
        <v>42</v>
      </c>
      <c r="D43" s="705" t="s">
        <v>667</v>
      </c>
      <c r="E43" s="690">
        <v>256385</v>
      </c>
      <c r="F43" s="706" t="s">
        <v>65</v>
      </c>
      <c r="G43" s="691">
        <v>2047</v>
      </c>
      <c r="H43" s="691">
        <v>307.05</v>
      </c>
      <c r="I43" s="695">
        <v>2354.0500000000002</v>
      </c>
      <c r="J43" s="771"/>
      <c r="K43" s="771"/>
      <c r="L43" s="620" t="s">
        <v>642</v>
      </c>
      <c r="M43" s="137"/>
    </row>
    <row r="44" spans="2:13">
      <c r="B44" s="722" t="s">
        <v>649</v>
      </c>
      <c r="C44" s="723" t="s">
        <v>42</v>
      </c>
      <c r="D44" s="167" t="s">
        <v>668</v>
      </c>
      <c r="E44" s="168"/>
      <c r="F44" s="724" t="s">
        <v>64</v>
      </c>
      <c r="G44" s="170">
        <v>1800</v>
      </c>
      <c r="H44" s="170"/>
      <c r="I44" s="701">
        <v>1800</v>
      </c>
      <c r="J44" s="760" t="s">
        <v>9</v>
      </c>
      <c r="K44" s="749"/>
      <c r="M44" s="137"/>
    </row>
    <row r="45" spans="2:13">
      <c r="B45" s="172" t="s">
        <v>664</v>
      </c>
      <c r="C45" s="168" t="s">
        <v>42</v>
      </c>
      <c r="D45" s="167" t="s">
        <v>543</v>
      </c>
      <c r="E45" s="168"/>
      <c r="F45" s="178" t="s">
        <v>222</v>
      </c>
      <c r="G45" s="170">
        <v>2029.75</v>
      </c>
      <c r="H45" s="170"/>
      <c r="I45" s="701">
        <v>2029.75</v>
      </c>
      <c r="J45" s="760" t="s">
        <v>9</v>
      </c>
      <c r="K45" s="750"/>
      <c r="M45" s="137"/>
    </row>
    <row r="46" spans="2:13">
      <c r="B46" s="172" t="s">
        <v>661</v>
      </c>
      <c r="C46" s="168" t="s">
        <v>42</v>
      </c>
      <c r="D46" s="167" t="s">
        <v>669</v>
      </c>
      <c r="E46" s="168"/>
      <c r="F46" s="178" t="s">
        <v>222</v>
      </c>
      <c r="G46" s="170">
        <v>350</v>
      </c>
      <c r="H46" s="170"/>
      <c r="I46" s="701">
        <v>350</v>
      </c>
      <c r="J46" s="760" t="s">
        <v>9</v>
      </c>
      <c r="K46" s="751"/>
      <c r="M46" s="137"/>
    </row>
    <row r="47" spans="2:13">
      <c r="B47" s="729" t="s">
        <v>670</v>
      </c>
      <c r="C47" s="730" t="s">
        <v>35</v>
      </c>
      <c r="D47" s="730" t="s">
        <v>230</v>
      </c>
      <c r="E47" s="377">
        <v>79416</v>
      </c>
      <c r="F47" s="740" t="s">
        <v>65</v>
      </c>
      <c r="G47" s="379">
        <v>360</v>
      </c>
      <c r="H47" s="379">
        <v>0</v>
      </c>
      <c r="I47" s="741">
        <v>360</v>
      </c>
      <c r="J47" s="702" t="s">
        <v>9</v>
      </c>
      <c r="K47" s="752"/>
      <c r="L47" s="620" t="s">
        <v>642</v>
      </c>
      <c r="M47" s="137"/>
    </row>
    <row r="48" spans="2:13">
      <c r="B48" s="738" t="s">
        <v>677</v>
      </c>
      <c r="C48" s="739" t="s">
        <v>35</v>
      </c>
      <c r="D48" s="167" t="s">
        <v>246</v>
      </c>
      <c r="E48" s="168">
        <v>173081</v>
      </c>
      <c r="F48" s="742" t="s">
        <v>65</v>
      </c>
      <c r="G48" s="170">
        <v>1267.9100000000001</v>
      </c>
      <c r="H48" s="170">
        <v>187.43</v>
      </c>
      <c r="I48" s="701">
        <v>1455.34</v>
      </c>
      <c r="J48" s="702" t="s">
        <v>9</v>
      </c>
      <c r="K48" s="752"/>
      <c r="L48" s="620" t="s">
        <v>642</v>
      </c>
      <c r="M48" s="137"/>
    </row>
    <row r="49" spans="2:14">
      <c r="B49" s="754" t="s">
        <v>684</v>
      </c>
      <c r="C49" s="755" t="s">
        <v>35</v>
      </c>
      <c r="D49" s="216" t="s">
        <v>685</v>
      </c>
      <c r="E49" s="215">
        <v>27456</v>
      </c>
      <c r="F49" s="756" t="s">
        <v>64</v>
      </c>
      <c r="G49" s="217">
        <v>1022.61</v>
      </c>
      <c r="H49" s="217">
        <v>153.38999999999999</v>
      </c>
      <c r="I49" s="694">
        <v>1176</v>
      </c>
      <c r="L49" s="620" t="s">
        <v>642</v>
      </c>
      <c r="M49" s="321"/>
      <c r="N49" s="321"/>
    </row>
    <row r="50" spans="2:14">
      <c r="B50" s="754" t="s">
        <v>684</v>
      </c>
      <c r="C50" s="755" t="s">
        <v>35</v>
      </c>
      <c r="D50" s="216" t="s">
        <v>686</v>
      </c>
      <c r="E50" s="755" t="s">
        <v>687</v>
      </c>
      <c r="F50" s="756" t="s">
        <v>65</v>
      </c>
      <c r="G50" s="217">
        <v>540</v>
      </c>
      <c r="H50" s="217">
        <v>0</v>
      </c>
      <c r="I50" s="694">
        <v>540</v>
      </c>
      <c r="L50" s="620" t="s">
        <v>642</v>
      </c>
      <c r="M50" s="137"/>
    </row>
    <row r="51" spans="2:14">
      <c r="B51" s="754" t="s">
        <v>688</v>
      </c>
      <c r="C51" s="755" t="s">
        <v>35</v>
      </c>
      <c r="D51" s="216" t="s">
        <v>159</v>
      </c>
      <c r="E51" s="215">
        <v>2936317</v>
      </c>
      <c r="F51" s="756" t="s">
        <v>64</v>
      </c>
      <c r="G51" s="217">
        <v>1148.8900000000001</v>
      </c>
      <c r="H51" s="217">
        <v>172.34</v>
      </c>
      <c r="I51" s="694">
        <v>1321.23</v>
      </c>
      <c r="L51" s="620" t="s">
        <v>642</v>
      </c>
      <c r="M51" s="137"/>
    </row>
    <row r="52" spans="2:14">
      <c r="B52" s="754" t="s">
        <v>684</v>
      </c>
      <c r="C52" s="755" t="s">
        <v>35</v>
      </c>
      <c r="D52" s="216" t="s">
        <v>159</v>
      </c>
      <c r="E52" s="215">
        <v>2936325</v>
      </c>
      <c r="F52" s="756" t="s">
        <v>64</v>
      </c>
      <c r="G52" s="217">
        <v>174.54</v>
      </c>
      <c r="H52" s="217">
        <v>26.18</v>
      </c>
      <c r="I52" s="694">
        <v>200.72</v>
      </c>
      <c r="L52" s="620" t="s">
        <v>642</v>
      </c>
      <c r="M52" s="137"/>
    </row>
    <row r="53" spans="2:14">
      <c r="B53" s="754" t="s">
        <v>684</v>
      </c>
      <c r="C53" s="755" t="s">
        <v>35</v>
      </c>
      <c r="D53" s="216" t="s">
        <v>159</v>
      </c>
      <c r="E53" s="215">
        <v>2936352</v>
      </c>
      <c r="F53" s="756" t="s">
        <v>65</v>
      </c>
      <c r="G53" s="217">
        <v>1796.16</v>
      </c>
      <c r="H53" s="217">
        <v>269.42</v>
      </c>
      <c r="I53" s="694">
        <v>2065.58</v>
      </c>
      <c r="L53" s="620" t="s">
        <v>642</v>
      </c>
      <c r="M53" s="137"/>
    </row>
    <row r="54" spans="2:14">
      <c r="B54" s="761" t="s">
        <v>684</v>
      </c>
      <c r="C54" s="762" t="s">
        <v>42</v>
      </c>
      <c r="D54" s="216" t="s">
        <v>614</v>
      </c>
      <c r="E54" s="215" t="s">
        <v>689</v>
      </c>
      <c r="F54" s="763" t="s">
        <v>354</v>
      </c>
      <c r="G54" s="217">
        <v>450</v>
      </c>
      <c r="H54" s="217">
        <v>67.5</v>
      </c>
      <c r="I54" s="694">
        <v>517.5</v>
      </c>
      <c r="M54" s="137"/>
    </row>
    <row r="55" spans="2:14">
      <c r="B55" s="430" t="s">
        <v>690</v>
      </c>
      <c r="C55" s="215" t="s">
        <v>42</v>
      </c>
      <c r="D55" s="216" t="s">
        <v>691</v>
      </c>
      <c r="E55" s="215">
        <v>2846497</v>
      </c>
      <c r="F55" s="431" t="s">
        <v>65</v>
      </c>
      <c r="G55" s="217">
        <v>379.52</v>
      </c>
      <c r="H55" s="217">
        <v>56.94</v>
      </c>
      <c r="I55" s="694">
        <v>419.55</v>
      </c>
      <c r="L55" s="620" t="s">
        <v>642</v>
      </c>
      <c r="M55" s="137"/>
    </row>
    <row r="56" spans="2:14">
      <c r="B56" s="764" t="s">
        <v>690</v>
      </c>
      <c r="C56" s="765" t="s">
        <v>35</v>
      </c>
      <c r="D56" s="216" t="s">
        <v>130</v>
      </c>
      <c r="E56" s="215">
        <v>96462007</v>
      </c>
      <c r="F56" s="766" t="s">
        <v>77</v>
      </c>
      <c r="G56" s="217" t="s">
        <v>692</v>
      </c>
      <c r="H56" s="217">
        <v>0</v>
      </c>
      <c r="I56" s="694" t="s">
        <v>692</v>
      </c>
      <c r="M56" s="137"/>
    </row>
    <row r="57" spans="2:14">
      <c r="B57" s="768" t="s">
        <v>693</v>
      </c>
      <c r="C57" s="769" t="s">
        <v>42</v>
      </c>
      <c r="D57" s="216" t="s">
        <v>521</v>
      </c>
      <c r="E57" s="769" t="s">
        <v>696</v>
      </c>
      <c r="F57" s="770" t="s">
        <v>222</v>
      </c>
      <c r="G57" s="217">
        <v>7844.62</v>
      </c>
      <c r="H57" s="217">
        <v>1176.69</v>
      </c>
      <c r="I57" s="694">
        <v>9021.31</v>
      </c>
      <c r="M57" s="137"/>
    </row>
    <row r="58" spans="2:14">
      <c r="B58" s="768" t="s">
        <v>632</v>
      </c>
      <c r="C58" s="769" t="s">
        <v>42</v>
      </c>
      <c r="D58" s="216" t="s">
        <v>521</v>
      </c>
      <c r="E58" s="769" t="s">
        <v>695</v>
      </c>
      <c r="F58" s="770" t="s">
        <v>222</v>
      </c>
      <c r="G58" s="217">
        <v>7844.62</v>
      </c>
      <c r="H58" s="217">
        <v>1176.69</v>
      </c>
      <c r="I58" s="694">
        <v>9021.31</v>
      </c>
      <c r="M58" s="137"/>
    </row>
    <row r="59" spans="2:14">
      <c r="B59" s="768" t="s">
        <v>694</v>
      </c>
      <c r="C59" s="769" t="s">
        <v>35</v>
      </c>
      <c r="D59" s="216" t="s">
        <v>163</v>
      </c>
      <c r="E59" s="215">
        <v>239065</v>
      </c>
      <c r="F59" s="770" t="s">
        <v>65</v>
      </c>
      <c r="G59" s="217">
        <v>313.82</v>
      </c>
      <c r="H59" s="217">
        <v>47.08</v>
      </c>
      <c r="I59" s="694">
        <v>139.61000000000001</v>
      </c>
      <c r="L59" s="620" t="s">
        <v>642</v>
      </c>
      <c r="M59" s="137"/>
    </row>
    <row r="60" spans="2:14">
      <c r="B60" s="768" t="s">
        <v>693</v>
      </c>
      <c r="C60" s="769" t="s">
        <v>35</v>
      </c>
      <c r="D60" s="216" t="s">
        <v>235</v>
      </c>
      <c r="E60" s="215">
        <v>2003</v>
      </c>
      <c r="F60" s="770" t="s">
        <v>65</v>
      </c>
      <c r="G60" s="217">
        <v>1509.2</v>
      </c>
      <c r="H60" s="217">
        <v>226.38</v>
      </c>
      <c r="I60" s="694">
        <v>1735.58</v>
      </c>
      <c r="L60" s="620" t="s">
        <v>642</v>
      </c>
      <c r="M60" s="137"/>
    </row>
    <row r="61" spans="2:14">
      <c r="B61" s="768" t="s">
        <v>693</v>
      </c>
      <c r="C61" s="769" t="s">
        <v>35</v>
      </c>
      <c r="D61" s="216" t="s">
        <v>235</v>
      </c>
      <c r="E61" s="215">
        <v>2004</v>
      </c>
      <c r="F61" s="770" t="s">
        <v>65</v>
      </c>
      <c r="G61" s="217">
        <v>2453.5</v>
      </c>
      <c r="H61" s="217">
        <v>349.63</v>
      </c>
      <c r="I61" s="694">
        <v>2680.45</v>
      </c>
      <c r="L61" s="620" t="s">
        <v>642</v>
      </c>
      <c r="M61" s="137"/>
    </row>
    <row r="62" spans="2:14">
      <c r="B62" s="768" t="s">
        <v>684</v>
      </c>
      <c r="C62" s="769" t="s">
        <v>35</v>
      </c>
      <c r="D62" s="216" t="s">
        <v>159</v>
      </c>
      <c r="E62" s="215">
        <v>2936535</v>
      </c>
      <c r="F62" s="770" t="s">
        <v>65</v>
      </c>
      <c r="G62" s="217">
        <v>880</v>
      </c>
      <c r="H62" s="217">
        <v>132</v>
      </c>
      <c r="I62" s="694">
        <v>1012</v>
      </c>
      <c r="L62" s="620" t="s">
        <v>642</v>
      </c>
      <c r="M62" s="137"/>
    </row>
    <row r="63" spans="2:14">
      <c r="B63" s="172" t="s">
        <v>646</v>
      </c>
      <c r="C63" s="168" t="s">
        <v>654</v>
      </c>
      <c r="D63" s="167" t="s">
        <v>159</v>
      </c>
      <c r="E63" s="168">
        <v>2928966</v>
      </c>
      <c r="F63" s="178" t="s">
        <v>65</v>
      </c>
      <c r="G63" s="170">
        <v>942.72</v>
      </c>
      <c r="H63" s="170">
        <v>141.41</v>
      </c>
      <c r="I63" s="701">
        <v>1084.1300000000001</v>
      </c>
      <c r="J63" s="702" t="s">
        <v>9</v>
      </c>
      <c r="L63" s="620" t="s">
        <v>642</v>
      </c>
      <c r="M63" s="137"/>
    </row>
    <row r="64" spans="2:14">
      <c r="B64" s="430" t="s">
        <v>684</v>
      </c>
      <c r="C64" s="215" t="s">
        <v>35</v>
      </c>
      <c r="D64" s="216" t="s">
        <v>159</v>
      </c>
      <c r="E64" s="215">
        <v>2936777</v>
      </c>
      <c r="F64" s="431" t="s">
        <v>64</v>
      </c>
      <c r="G64" s="217">
        <v>522.6</v>
      </c>
      <c r="H64" s="217">
        <v>78.400000000000006</v>
      </c>
      <c r="I64" s="694">
        <v>601</v>
      </c>
      <c r="L64" s="620" t="s">
        <v>642</v>
      </c>
      <c r="M64" s="137"/>
    </row>
    <row r="65" spans="2:13">
      <c r="B65" s="172" t="s">
        <v>644</v>
      </c>
      <c r="C65" s="168" t="s">
        <v>35</v>
      </c>
      <c r="D65" s="167" t="s">
        <v>163</v>
      </c>
      <c r="E65" s="168">
        <v>237663</v>
      </c>
      <c r="F65" s="178" t="s">
        <v>65</v>
      </c>
      <c r="G65" s="170">
        <v>527.26</v>
      </c>
      <c r="H65" s="170">
        <v>79.09</v>
      </c>
      <c r="I65" s="701">
        <v>405.72</v>
      </c>
      <c r="J65" s="702" t="s">
        <v>9</v>
      </c>
      <c r="L65" s="620" t="s">
        <v>642</v>
      </c>
      <c r="M65" s="137"/>
    </row>
    <row r="66" spans="2:13">
      <c r="B66" s="172" t="s">
        <v>650</v>
      </c>
      <c r="C66" s="168" t="s">
        <v>35</v>
      </c>
      <c r="D66" s="167" t="s">
        <v>72</v>
      </c>
      <c r="E66" s="168">
        <v>40896</v>
      </c>
      <c r="F66" s="178" t="s">
        <v>65</v>
      </c>
      <c r="G66" s="170">
        <v>667</v>
      </c>
      <c r="H66" s="170">
        <v>100</v>
      </c>
      <c r="I66" s="701">
        <v>767.05</v>
      </c>
      <c r="J66" s="702" t="s">
        <v>9</v>
      </c>
      <c r="L66" s="620" t="s">
        <v>642</v>
      </c>
      <c r="M66" s="137"/>
    </row>
    <row r="67" spans="2:13">
      <c r="B67" s="172" t="s">
        <v>650</v>
      </c>
      <c r="C67" s="168" t="s">
        <v>35</v>
      </c>
      <c r="D67" s="167" t="s">
        <v>72</v>
      </c>
      <c r="E67" s="168">
        <v>40895</v>
      </c>
      <c r="F67" s="178" t="s">
        <v>64</v>
      </c>
      <c r="G67" s="170">
        <v>1393</v>
      </c>
      <c r="H67" s="170">
        <v>208.95</v>
      </c>
      <c r="I67" s="701">
        <v>1601.95</v>
      </c>
      <c r="J67" s="702" t="s">
        <v>9</v>
      </c>
      <c r="L67" s="620" t="s">
        <v>642</v>
      </c>
      <c r="M67" s="137"/>
    </row>
    <row r="68" spans="2:13">
      <c r="B68" s="430" t="s">
        <v>664</v>
      </c>
      <c r="C68" s="215" t="s">
        <v>35</v>
      </c>
      <c r="D68" s="216" t="s">
        <v>163</v>
      </c>
      <c r="E68" s="215">
        <v>238680</v>
      </c>
      <c r="F68" s="431" t="s">
        <v>65</v>
      </c>
      <c r="G68" s="217">
        <v>602.6</v>
      </c>
      <c r="H68" s="217">
        <v>90.39</v>
      </c>
      <c r="I68" s="694">
        <v>567.79</v>
      </c>
      <c r="L68" s="620" t="s">
        <v>642</v>
      </c>
      <c r="M68" s="137"/>
    </row>
    <row r="69" spans="2:13">
      <c r="B69" s="430" t="s">
        <v>684</v>
      </c>
      <c r="C69" s="215" t="s">
        <v>35</v>
      </c>
      <c r="D69" s="216" t="s">
        <v>159</v>
      </c>
      <c r="E69" s="215">
        <v>2936793</v>
      </c>
      <c r="F69" s="431" t="s">
        <v>64</v>
      </c>
      <c r="G69" s="217">
        <v>9384.39</v>
      </c>
      <c r="H69" s="217">
        <v>1407.68</v>
      </c>
      <c r="I69" s="694">
        <v>10792.07</v>
      </c>
      <c r="L69" s="620" t="s">
        <v>642</v>
      </c>
      <c r="M69" s="137"/>
    </row>
    <row r="70" spans="2:13">
      <c r="B70" s="430" t="s">
        <v>684</v>
      </c>
      <c r="C70" s="215" t="s">
        <v>35</v>
      </c>
      <c r="D70" s="216" t="s">
        <v>72</v>
      </c>
      <c r="E70" s="215">
        <v>40921</v>
      </c>
      <c r="F70" s="431" t="s">
        <v>65</v>
      </c>
      <c r="G70" s="217">
        <v>1116</v>
      </c>
      <c r="H70" s="217">
        <v>167.4</v>
      </c>
      <c r="I70" s="694">
        <v>1283.4000000000001</v>
      </c>
      <c r="L70" s="620" t="s">
        <v>642</v>
      </c>
      <c r="M70" s="137"/>
    </row>
    <row r="71" spans="2:13">
      <c r="B71" s="172" t="s">
        <v>693</v>
      </c>
      <c r="C71" s="168" t="s">
        <v>35</v>
      </c>
      <c r="D71" s="167" t="s">
        <v>152</v>
      </c>
      <c r="E71" s="168">
        <v>274590</v>
      </c>
      <c r="F71" s="178" t="s">
        <v>64</v>
      </c>
      <c r="G71" s="170">
        <v>3753.65</v>
      </c>
      <c r="H71" s="170">
        <v>563.07000000000005</v>
      </c>
      <c r="I71" s="701">
        <v>4316.72</v>
      </c>
      <c r="J71" s="702" t="s">
        <v>9</v>
      </c>
      <c r="L71" s="620" t="s">
        <v>642</v>
      </c>
      <c r="M71" s="137"/>
    </row>
    <row r="72" spans="2:13">
      <c r="B72" s="172" t="s">
        <v>693</v>
      </c>
      <c r="C72" s="168" t="s">
        <v>35</v>
      </c>
      <c r="D72" s="167" t="s">
        <v>152</v>
      </c>
      <c r="E72" s="168">
        <v>274654</v>
      </c>
      <c r="F72" s="178" t="s">
        <v>64</v>
      </c>
      <c r="G72" s="170">
        <v>2957.84</v>
      </c>
      <c r="H72" s="170">
        <v>443.68</v>
      </c>
      <c r="I72" s="701">
        <v>3401.52</v>
      </c>
      <c r="J72" s="702" t="s">
        <v>9</v>
      </c>
      <c r="L72" s="620" t="s">
        <v>642</v>
      </c>
      <c r="M72" s="137"/>
    </row>
    <row r="73" spans="2:13">
      <c r="B73" s="430" t="s">
        <v>690</v>
      </c>
      <c r="C73" s="215" t="s">
        <v>35</v>
      </c>
      <c r="D73" s="216" t="s">
        <v>657</v>
      </c>
      <c r="E73" s="215">
        <v>1821858</v>
      </c>
      <c r="F73" s="431" t="s">
        <v>65</v>
      </c>
      <c r="G73" s="217">
        <v>3320</v>
      </c>
      <c r="H73" s="217">
        <v>498</v>
      </c>
      <c r="I73" s="694">
        <v>3818</v>
      </c>
      <c r="L73" s="620" t="s">
        <v>642</v>
      </c>
      <c r="M73" s="137"/>
    </row>
    <row r="74" spans="2:13">
      <c r="B74" s="794" t="s">
        <v>690</v>
      </c>
      <c r="C74" s="795" t="s">
        <v>35</v>
      </c>
      <c r="D74" s="216" t="s">
        <v>697</v>
      </c>
      <c r="E74" s="215">
        <v>1821856</v>
      </c>
      <c r="F74" s="796" t="s">
        <v>65</v>
      </c>
      <c r="G74" s="217">
        <v>1697.84</v>
      </c>
      <c r="H74" s="217">
        <v>254.68</v>
      </c>
      <c r="I74" s="694">
        <v>1952.52</v>
      </c>
      <c r="L74" s="620" t="s">
        <v>642</v>
      </c>
      <c r="M74" s="137"/>
    </row>
    <row r="75" spans="2:13">
      <c r="B75" s="657"/>
      <c r="C75" s="658"/>
      <c r="D75" s="216"/>
      <c r="E75" s="215"/>
      <c r="F75" s="659"/>
      <c r="G75" s="217"/>
      <c r="H75" s="217"/>
      <c r="I75" s="694"/>
      <c r="M75" s="137"/>
    </row>
    <row r="76" spans="2:13">
      <c r="B76" s="657"/>
      <c r="C76" s="658"/>
      <c r="D76" s="216"/>
      <c r="E76" s="215"/>
      <c r="F76" s="659"/>
      <c r="G76" s="217"/>
      <c r="H76" s="217"/>
      <c r="I76" s="694"/>
      <c r="M76" s="333"/>
    </row>
    <row r="77" spans="2:13">
      <c r="B77" s="657"/>
      <c r="C77" s="658"/>
      <c r="D77" s="216"/>
      <c r="E77" s="215"/>
      <c r="F77" s="659"/>
      <c r="G77" s="217"/>
      <c r="H77" s="217"/>
      <c r="I77" s="694"/>
      <c r="M77" s="333"/>
    </row>
    <row r="78" spans="2:13">
      <c r="B78" s="657"/>
      <c r="C78" s="658"/>
      <c r="D78" s="216"/>
      <c r="E78" s="215"/>
      <c r="F78" s="659"/>
      <c r="G78" s="217"/>
      <c r="H78" s="217"/>
      <c r="I78" s="694"/>
      <c r="M78" s="333"/>
    </row>
    <row r="79" spans="2:13">
      <c r="B79" s="663"/>
      <c r="C79" s="664"/>
      <c r="D79" s="216"/>
      <c r="E79" s="215"/>
      <c r="F79" s="665"/>
      <c r="G79" s="217"/>
      <c r="H79" s="217"/>
      <c r="I79" s="694"/>
      <c r="M79" s="333"/>
    </row>
    <row r="80" spans="2:13">
      <c r="B80" s="663"/>
      <c r="C80" s="664"/>
      <c r="D80" s="216"/>
      <c r="E80" s="215"/>
      <c r="F80" s="665"/>
      <c r="G80" s="217"/>
      <c r="H80" s="217"/>
      <c r="I80" s="694"/>
      <c r="M80" s="333"/>
    </row>
    <row r="81" spans="2:13">
      <c r="B81" s="663"/>
      <c r="C81" s="664"/>
      <c r="D81" s="216"/>
      <c r="E81" s="658"/>
      <c r="F81" s="665"/>
      <c r="G81" s="217"/>
      <c r="H81" s="217"/>
      <c r="I81" s="694"/>
      <c r="M81" s="333"/>
    </row>
    <row r="82" spans="2:13">
      <c r="B82" s="657"/>
      <c r="C82" s="658"/>
      <c r="D82" s="216"/>
      <c r="E82" s="215"/>
      <c r="F82" s="659"/>
      <c r="G82" s="217"/>
      <c r="H82" s="217"/>
      <c r="I82" s="694"/>
      <c r="M82" s="333"/>
    </row>
    <row r="83" spans="2:13">
      <c r="B83" s="657"/>
      <c r="C83" s="658"/>
      <c r="D83" s="216"/>
      <c r="E83" s="215"/>
      <c r="F83" s="659"/>
      <c r="G83" s="217"/>
      <c r="H83" s="217"/>
      <c r="I83" s="694"/>
      <c r="M83" s="333"/>
    </row>
    <row r="84" spans="2:13">
      <c r="B84" s="657"/>
      <c r="C84" s="658"/>
      <c r="D84" s="216"/>
      <c r="E84" s="658"/>
      <c r="F84" s="659"/>
      <c r="G84" s="217"/>
      <c r="H84" s="217"/>
      <c r="I84" s="694"/>
      <c r="M84" s="333"/>
    </row>
    <row r="85" spans="2:13">
      <c r="B85" s="430"/>
      <c r="C85" s="215"/>
      <c r="D85" s="216"/>
      <c r="E85" s="215"/>
      <c r="F85" s="431"/>
      <c r="G85" s="217"/>
      <c r="H85" s="217"/>
      <c r="I85" s="694"/>
      <c r="M85" s="333"/>
    </row>
    <row r="86" spans="2:13">
      <c r="B86" s="663"/>
      <c r="C86" s="664"/>
      <c r="D86" s="216"/>
      <c r="E86" s="215"/>
      <c r="F86" s="665"/>
      <c r="G86" s="217"/>
      <c r="H86" s="217"/>
      <c r="I86" s="694"/>
      <c r="M86" s="333"/>
    </row>
    <row r="87" spans="2:13">
      <c r="B87" s="663"/>
      <c r="C87" s="664"/>
      <c r="D87" s="216"/>
      <c r="E87" s="215"/>
      <c r="F87" s="665"/>
      <c r="G87" s="217"/>
      <c r="H87" s="217"/>
      <c r="I87" s="694"/>
      <c r="M87" s="333"/>
    </row>
    <row r="88" spans="2:13">
      <c r="B88" s="663"/>
      <c r="C88" s="664"/>
      <c r="D88" s="216"/>
      <c r="E88" s="215"/>
      <c r="F88" s="665"/>
      <c r="G88" s="217"/>
      <c r="H88" s="217"/>
      <c r="I88" s="694"/>
      <c r="M88" s="333"/>
    </row>
    <row r="89" spans="2:13">
      <c r="B89" s="663"/>
      <c r="C89" s="664"/>
      <c r="D89" s="216"/>
      <c r="E89" s="215"/>
      <c r="F89" s="665"/>
      <c r="G89" s="217"/>
      <c r="H89" s="217"/>
      <c r="I89" s="694"/>
      <c r="M89" s="333"/>
    </row>
    <row r="90" spans="2:13">
      <c r="B90" s="430"/>
      <c r="C90" s="215"/>
      <c r="D90" s="216"/>
      <c r="E90" s="215"/>
      <c r="F90" s="431"/>
      <c r="G90" s="217"/>
      <c r="H90" s="217"/>
      <c r="I90" s="694"/>
      <c r="M90" s="333"/>
    </row>
    <row r="91" spans="2:13">
      <c r="B91" s="430"/>
      <c r="C91" s="215"/>
      <c r="D91" s="216"/>
      <c r="E91" s="215"/>
      <c r="F91" s="431"/>
      <c r="G91" s="217"/>
      <c r="H91" s="217"/>
      <c r="I91" s="694"/>
      <c r="M91" s="333"/>
    </row>
    <row r="92" spans="2:13">
      <c r="B92" s="430"/>
      <c r="C92" s="215"/>
      <c r="D92" s="216"/>
      <c r="E92" s="215"/>
      <c r="F92" s="431"/>
      <c r="G92" s="217"/>
      <c r="H92" s="217"/>
      <c r="I92" s="694"/>
      <c r="M92" s="333"/>
    </row>
    <row r="93" spans="2:13">
      <c r="B93" s="430"/>
      <c r="C93" s="215"/>
      <c r="D93" s="216"/>
      <c r="E93" s="215"/>
      <c r="F93" s="431"/>
      <c r="G93" s="217"/>
      <c r="H93" s="217"/>
      <c r="I93" s="694"/>
      <c r="M93" s="333"/>
    </row>
    <row r="94" spans="2:13">
      <c r="B94" s="430"/>
      <c r="C94" s="215"/>
      <c r="D94" s="216"/>
      <c r="E94" s="215"/>
      <c r="F94" s="431"/>
      <c r="G94" s="217"/>
      <c r="H94" s="217"/>
      <c r="I94" s="694"/>
      <c r="M94" s="333"/>
    </row>
    <row r="95" spans="2:13">
      <c r="B95" s="430"/>
      <c r="C95" s="215"/>
      <c r="D95" s="216"/>
      <c r="E95" s="215"/>
      <c r="F95" s="431"/>
      <c r="G95" s="217"/>
      <c r="H95" s="217"/>
      <c r="I95" s="694"/>
      <c r="M95" s="333"/>
    </row>
    <row r="96" spans="2:13">
      <c r="B96" s="430"/>
      <c r="C96" s="215"/>
      <c r="D96" s="216"/>
      <c r="E96" s="215"/>
      <c r="F96" s="431"/>
      <c r="G96" s="217"/>
      <c r="H96" s="217"/>
      <c r="I96" s="694"/>
      <c r="M96" s="333"/>
    </row>
    <row r="97" spans="2:13">
      <c r="B97" s="430"/>
      <c r="C97" s="215"/>
      <c r="D97" s="216"/>
      <c r="E97" s="215"/>
      <c r="F97" s="431"/>
      <c r="G97" s="217"/>
      <c r="H97" s="217"/>
      <c r="I97" s="694"/>
      <c r="M97" s="333"/>
    </row>
    <row r="98" spans="2:13">
      <c r="B98" s="430"/>
      <c r="C98" s="215"/>
      <c r="D98" s="216"/>
      <c r="E98" s="215"/>
      <c r="F98" s="431"/>
      <c r="G98" s="217"/>
      <c r="H98" s="217"/>
      <c r="I98" s="694"/>
      <c r="M98" s="333"/>
    </row>
    <row r="99" spans="2:13">
      <c r="B99" s="430"/>
      <c r="C99" s="215"/>
      <c r="D99" s="216"/>
      <c r="E99" s="215"/>
      <c r="F99" s="431"/>
      <c r="G99" s="217"/>
      <c r="H99" s="217"/>
      <c r="I99" s="694"/>
      <c r="M99" s="333"/>
    </row>
    <row r="100" spans="2:13">
      <c r="B100" s="430"/>
      <c r="C100" s="215"/>
      <c r="D100" s="216"/>
      <c r="E100" s="215"/>
      <c r="F100" s="431"/>
      <c r="G100" s="217"/>
      <c r="H100" s="217"/>
      <c r="I100" s="694"/>
      <c r="M100" s="333"/>
    </row>
    <row r="101" spans="2:13">
      <c r="B101" s="132"/>
      <c r="C101" s="133"/>
      <c r="D101" s="134"/>
      <c r="E101" s="133"/>
      <c r="F101" s="135"/>
      <c r="G101" s="136"/>
      <c r="H101" s="136"/>
      <c r="I101" s="696"/>
      <c r="M101" s="137"/>
    </row>
    <row r="102" spans="2:13">
      <c r="B102" s="132"/>
      <c r="C102" s="133"/>
      <c r="D102" s="134"/>
      <c r="E102" s="133"/>
      <c r="F102" s="135"/>
      <c r="G102" s="136"/>
      <c r="H102" s="136"/>
      <c r="I102" s="696"/>
      <c r="M102" s="137"/>
    </row>
    <row r="103" spans="2:13">
      <c r="B103" s="132"/>
      <c r="C103" s="133"/>
      <c r="D103" s="134"/>
      <c r="E103" s="133"/>
      <c r="F103" s="135"/>
      <c r="G103" s="136"/>
      <c r="H103" s="136"/>
      <c r="I103" s="696"/>
      <c r="M103" s="137"/>
    </row>
    <row r="104" spans="2:13">
      <c r="B104" s="132"/>
      <c r="C104" s="133"/>
      <c r="D104" s="134"/>
      <c r="E104" s="133"/>
      <c r="F104" s="135"/>
      <c r="G104" s="136"/>
      <c r="H104" s="136"/>
      <c r="I104" s="696"/>
      <c r="M104" s="137"/>
    </row>
    <row r="105" spans="2:13">
      <c r="B105" s="132"/>
      <c r="C105" s="133"/>
      <c r="D105" s="134"/>
      <c r="E105" s="133"/>
      <c r="F105" s="135"/>
      <c r="G105" s="136"/>
      <c r="H105" s="136"/>
      <c r="I105" s="696"/>
      <c r="M105" s="137"/>
    </row>
    <row r="106" spans="2:13">
      <c r="B106" s="132"/>
      <c r="C106" s="133"/>
      <c r="D106" s="134"/>
      <c r="E106" s="133"/>
      <c r="F106" s="135"/>
      <c r="G106" s="136"/>
      <c r="H106" s="136"/>
      <c r="I106" s="696"/>
      <c r="M106" s="137"/>
    </row>
    <row r="107" spans="2:13">
      <c r="B107" s="132"/>
      <c r="C107" s="133"/>
      <c r="D107" s="134"/>
      <c r="E107" s="133"/>
      <c r="F107" s="135"/>
      <c r="G107" s="136"/>
      <c r="H107" s="136"/>
      <c r="I107" s="696"/>
      <c r="M107" s="137"/>
    </row>
    <row r="108" spans="2:13">
      <c r="B108" s="132"/>
      <c r="C108" s="133"/>
      <c r="D108" s="134"/>
      <c r="E108" s="133"/>
      <c r="F108" s="135"/>
      <c r="G108" s="136"/>
      <c r="H108" s="136"/>
      <c r="I108" s="696"/>
      <c r="M108" s="137"/>
    </row>
    <row r="109" spans="2:13">
      <c r="B109" s="132"/>
      <c r="C109" s="133"/>
      <c r="D109" s="134"/>
      <c r="E109" s="133"/>
      <c r="F109" s="135"/>
      <c r="G109" s="136"/>
      <c r="H109" s="136"/>
      <c r="I109" s="696"/>
      <c r="M109" s="137"/>
    </row>
    <row r="110" spans="2:13">
      <c r="B110" s="132"/>
      <c r="C110" s="133"/>
      <c r="D110" s="134"/>
      <c r="E110" s="133"/>
      <c r="F110" s="135"/>
      <c r="G110" s="136"/>
      <c r="H110" s="136"/>
      <c r="I110" s="696"/>
      <c r="M110" s="137"/>
    </row>
    <row r="111" spans="2:13">
      <c r="B111" s="132"/>
      <c r="C111" s="133"/>
      <c r="D111" s="134"/>
      <c r="E111" s="133"/>
      <c r="F111" s="135"/>
      <c r="G111" s="136"/>
      <c r="H111" s="136"/>
      <c r="I111" s="696"/>
      <c r="M111" s="137"/>
    </row>
    <row r="112" spans="2:13">
      <c r="B112" s="132"/>
      <c r="C112" s="133"/>
      <c r="D112" s="134"/>
      <c r="E112" s="133"/>
      <c r="F112" s="135"/>
      <c r="G112" s="136"/>
      <c r="H112" s="136"/>
      <c r="I112" s="696"/>
      <c r="M112" s="137"/>
    </row>
    <row r="113" spans="2:13">
      <c r="B113" s="132"/>
      <c r="C113" s="133"/>
      <c r="D113" s="134"/>
      <c r="E113" s="133"/>
      <c r="F113" s="135"/>
      <c r="G113" s="136"/>
      <c r="H113" s="136"/>
      <c r="I113" s="696"/>
      <c r="M113" s="137"/>
    </row>
    <row r="114" spans="2:13">
      <c r="B114" s="132"/>
      <c r="C114" s="133"/>
      <c r="D114" s="134"/>
      <c r="E114" s="133"/>
      <c r="F114" s="135"/>
      <c r="G114" s="136"/>
      <c r="H114" s="136"/>
      <c r="I114" s="696"/>
      <c r="M114" s="137"/>
    </row>
    <row r="115" spans="2:13">
      <c r="B115" s="132"/>
      <c r="C115" s="133"/>
      <c r="D115" s="134"/>
      <c r="E115" s="133"/>
      <c r="F115" s="135"/>
      <c r="G115" s="136"/>
      <c r="H115" s="136"/>
      <c r="I115" s="696"/>
      <c r="M115" s="137"/>
    </row>
    <row r="116" spans="2:13" ht="15.75" thickBot="1">
      <c r="B116" s="139"/>
      <c r="G116" s="141">
        <f>SUM(G11:G110)</f>
        <v>621359.29999999993</v>
      </c>
      <c r="H116" s="141">
        <f>SUM(H11:H110)</f>
        <v>23724.23</v>
      </c>
      <c r="I116" s="141">
        <f>SUM(I11:I108)</f>
        <v>641344.6</v>
      </c>
    </row>
    <row r="117" spans="2:13" ht="16.5" thickTop="1" thickBot="1">
      <c r="B117" s="143"/>
      <c r="C117" s="144"/>
      <c r="D117" s="145"/>
      <c r="E117" s="144"/>
      <c r="F117" s="144"/>
      <c r="G117" s="146"/>
      <c r="H117" s="146"/>
      <c r="I117" s="146"/>
      <c r="M117" s="137"/>
    </row>
    <row r="118" spans="2:13">
      <c r="M118" s="137" t="s">
        <v>391</v>
      </c>
    </row>
  </sheetData>
  <autoFilter ref="A6:O72" xr:uid="{35208B75-4B8D-486B-BB9F-5126F6BA1A9D}"/>
  <mergeCells count="4">
    <mergeCell ref="J42:K43"/>
    <mergeCell ref="B1:I1"/>
    <mergeCell ref="B3:I3"/>
    <mergeCell ref="C5:E5"/>
  </mergeCells>
  <conditionalFormatting sqref="J1">
    <cfRule type="containsText" dxfId="5" priority="5" operator="containsText" text="FALSE">
      <formula>NOT(ISERROR(SEARCH("FALSE",J1)))</formula>
    </cfRule>
    <cfRule type="containsText" dxfId="4" priority="6" operator="containsText" text="TRUE">
      <formula>NOT(ISERROR(SEARCH("TRUE",J1)))</formula>
    </cfRule>
  </conditionalFormatting>
  <conditionalFormatting sqref="J6:J10">
    <cfRule type="containsText" dxfId="3" priority="1" operator="containsText" text="FALSE">
      <formula>NOT(ISERROR(SEARCH("FALSE",J6)))</formula>
    </cfRule>
    <cfRule type="containsText" dxfId="2" priority="2" operator="containsText" text="TRUE">
      <formula>NOT(ISERROR(SEARCH("TRUE",J6)))</formula>
    </cfRule>
  </conditionalFormatting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4652E-6160-43CE-8E5E-4E8CE85C5D44}">
  <dimension ref="B1:N124"/>
  <sheetViews>
    <sheetView tabSelected="1" topLeftCell="A14" workbookViewId="0">
      <selection activeCell="B31" sqref="B31:J31"/>
    </sheetView>
  </sheetViews>
  <sheetFormatPr defaultColWidth="8.5703125" defaultRowHeight="15"/>
  <cols>
    <col min="1" max="1" width="3.140625" style="107" customWidth="1"/>
    <col min="2" max="2" width="29.5703125" style="148" customWidth="1"/>
    <col min="3" max="3" width="14.42578125" style="107" customWidth="1"/>
    <col min="4" max="4" width="38.42578125" style="140" bestFit="1" customWidth="1"/>
    <col min="5" max="5" width="20.42578125" style="140" customWidth="1"/>
    <col min="6" max="6" width="17.140625" style="140" customWidth="1"/>
    <col min="7" max="8" width="15.42578125" style="149" customWidth="1"/>
    <col min="9" max="9" width="17" style="149" customWidth="1"/>
    <col min="10" max="10" width="15.42578125" style="121" customWidth="1"/>
    <col min="11" max="11" width="9.42578125" style="107" customWidth="1"/>
    <col min="12" max="12" width="12.85546875" style="107" bestFit="1" customWidth="1"/>
    <col min="13" max="13" width="28.140625" style="107" customWidth="1"/>
    <col min="14" max="14" width="48.42578125" style="107" customWidth="1"/>
    <col min="15" max="15" width="9.85546875" style="107" customWidth="1"/>
    <col min="16" max="16384" width="8.5703125" style="107"/>
  </cols>
  <sheetData>
    <row r="1" spans="2:14" ht="9" customHeight="1" thickBot="1">
      <c r="B1" s="772"/>
      <c r="C1" s="772"/>
      <c r="D1" s="772"/>
      <c r="E1" s="772"/>
      <c r="F1" s="772"/>
      <c r="G1" s="772"/>
      <c r="H1" s="772"/>
      <c r="I1" s="772"/>
      <c r="J1" s="106"/>
    </row>
    <row r="2" spans="2:14" ht="9" customHeight="1" thickBot="1">
      <c r="B2" s="108"/>
      <c r="C2" s="109"/>
      <c r="D2" s="110"/>
      <c r="E2" s="110"/>
      <c r="F2" s="110"/>
      <c r="G2" s="111"/>
      <c r="H2" s="111"/>
      <c r="I2" s="112"/>
      <c r="J2" s="113"/>
    </row>
    <row r="3" spans="2:14">
      <c r="B3" s="778" t="s">
        <v>70</v>
      </c>
      <c r="C3" s="779"/>
      <c r="D3" s="779"/>
      <c r="E3" s="779"/>
      <c r="F3" s="779"/>
      <c r="G3" s="779"/>
      <c r="H3" s="779"/>
      <c r="I3" s="780"/>
      <c r="J3" s="114"/>
    </row>
    <row r="4" spans="2:14">
      <c r="B4" s="115"/>
      <c r="C4" s="106"/>
      <c r="D4" s="116"/>
      <c r="E4" s="116"/>
      <c r="F4" s="116"/>
      <c r="G4" s="117"/>
      <c r="H4" s="117"/>
      <c r="I4" s="118"/>
      <c r="J4" s="113"/>
    </row>
    <row r="5" spans="2:14">
      <c r="B5" s="115" t="s">
        <v>0</v>
      </c>
      <c r="C5" s="776">
        <v>46168</v>
      </c>
      <c r="D5" s="777"/>
      <c r="E5" s="777"/>
      <c r="G5" s="119"/>
      <c r="H5" s="119"/>
      <c r="I5" s="120"/>
    </row>
    <row r="6" spans="2:14" ht="45">
      <c r="B6" s="122" t="s">
        <v>1</v>
      </c>
      <c r="C6" s="123" t="s">
        <v>2</v>
      </c>
      <c r="D6" s="124" t="s">
        <v>3</v>
      </c>
      <c r="E6" s="125" t="s">
        <v>4</v>
      </c>
      <c r="F6" s="124" t="s">
        <v>5</v>
      </c>
      <c r="G6" s="126" t="s">
        <v>6</v>
      </c>
      <c r="H6" s="126" t="s">
        <v>7</v>
      </c>
      <c r="I6" s="127" t="s">
        <v>8</v>
      </c>
      <c r="J6" s="128" t="s">
        <v>9</v>
      </c>
      <c r="K6" s="128" t="s">
        <v>33</v>
      </c>
      <c r="L6" s="129"/>
      <c r="M6" s="129"/>
    </row>
    <row r="7" spans="2:14">
      <c r="B7" s="263" t="s">
        <v>639</v>
      </c>
      <c r="C7" s="264" t="s">
        <v>35</v>
      </c>
      <c r="D7" s="265" t="s">
        <v>105</v>
      </c>
      <c r="E7" s="266">
        <v>34093</v>
      </c>
      <c r="F7" s="265" t="s">
        <v>65</v>
      </c>
      <c r="G7" s="267">
        <v>131.16999999999999</v>
      </c>
      <c r="H7" s="268">
        <v>4.83</v>
      </c>
      <c r="I7" s="438">
        <v>136</v>
      </c>
      <c r="J7" s="573" t="s">
        <v>343</v>
      </c>
      <c r="K7" s="555"/>
      <c r="L7" s="555"/>
      <c r="M7" s="555"/>
      <c r="N7" s="328"/>
    </row>
    <row r="8" spans="2:14">
      <c r="B8" s="263" t="s">
        <v>640</v>
      </c>
      <c r="C8" s="264" t="s">
        <v>35</v>
      </c>
      <c r="D8" s="265" t="s">
        <v>105</v>
      </c>
      <c r="E8" s="266">
        <v>34121</v>
      </c>
      <c r="F8" s="265" t="s">
        <v>65</v>
      </c>
      <c r="G8" s="267">
        <v>113.43</v>
      </c>
      <c r="H8" s="268">
        <v>14.07</v>
      </c>
      <c r="I8" s="171">
        <v>125.5</v>
      </c>
      <c r="J8" s="727" t="s">
        <v>343</v>
      </c>
      <c r="K8" s="556"/>
      <c r="L8" s="555"/>
      <c r="M8" s="555"/>
      <c r="N8" s="328"/>
    </row>
    <row r="9" spans="2:14">
      <c r="B9" s="714" t="s">
        <v>646</v>
      </c>
      <c r="C9" s="715" t="s">
        <v>35</v>
      </c>
      <c r="D9" s="167" t="s">
        <v>105</v>
      </c>
      <c r="E9" s="168">
        <v>34107</v>
      </c>
      <c r="F9" s="715" t="s">
        <v>65</v>
      </c>
      <c r="G9" s="170">
        <v>212.43</v>
      </c>
      <c r="H9" s="170">
        <v>12.07</v>
      </c>
      <c r="I9" s="171">
        <v>224.5</v>
      </c>
      <c r="J9" s="727" t="s">
        <v>343</v>
      </c>
      <c r="K9" s="332"/>
      <c r="L9" s="332"/>
      <c r="M9" s="333"/>
      <c r="N9" s="328"/>
    </row>
    <row r="10" spans="2:14">
      <c r="B10" s="714" t="s">
        <v>640</v>
      </c>
      <c r="C10" s="715" t="s">
        <v>35</v>
      </c>
      <c r="D10" s="167" t="s">
        <v>407</v>
      </c>
      <c r="E10" s="168">
        <v>79306</v>
      </c>
      <c r="F10" s="715" t="s">
        <v>65</v>
      </c>
      <c r="G10" s="170">
        <v>540</v>
      </c>
      <c r="H10" s="170">
        <v>0</v>
      </c>
      <c r="I10" s="171">
        <v>540</v>
      </c>
      <c r="J10" s="727" t="s">
        <v>343</v>
      </c>
      <c r="K10" s="332"/>
      <c r="L10" s="332"/>
      <c r="M10" s="333"/>
      <c r="N10" s="328"/>
    </row>
    <row r="11" spans="2:14">
      <c r="B11" s="728" t="s">
        <v>640</v>
      </c>
      <c r="C11" s="168" t="s">
        <v>35</v>
      </c>
      <c r="D11" s="167" t="s">
        <v>519</v>
      </c>
      <c r="E11" s="168">
        <v>44190</v>
      </c>
      <c r="F11" s="715" t="s">
        <v>65</v>
      </c>
      <c r="G11" s="170">
        <v>447.36</v>
      </c>
      <c r="H11" s="170">
        <v>38.380000000000003</v>
      </c>
      <c r="I11" s="171">
        <v>485.74</v>
      </c>
      <c r="J11" s="444" t="s">
        <v>343</v>
      </c>
      <c r="K11" s="443"/>
      <c r="L11" s="332"/>
      <c r="M11" s="333"/>
      <c r="N11" s="328"/>
    </row>
    <row r="12" spans="2:14">
      <c r="B12" s="714" t="s">
        <v>640</v>
      </c>
      <c r="C12" s="715" t="s">
        <v>35</v>
      </c>
      <c r="D12" s="167" t="s">
        <v>370</v>
      </c>
      <c r="E12" s="168">
        <v>65727</v>
      </c>
      <c r="F12" s="715" t="s">
        <v>65</v>
      </c>
      <c r="G12" s="170">
        <v>160.69999999999999</v>
      </c>
      <c r="H12" s="170">
        <v>14.51</v>
      </c>
      <c r="I12" s="601">
        <v>175.21</v>
      </c>
      <c r="J12" s="525" t="s">
        <v>343</v>
      </c>
      <c r="K12" s="332"/>
      <c r="L12" s="332"/>
      <c r="M12" s="333"/>
      <c r="N12" s="328"/>
    </row>
    <row r="13" spans="2:14">
      <c r="B13" s="174" t="s">
        <v>640</v>
      </c>
      <c r="C13" s="167" t="s">
        <v>35</v>
      </c>
      <c r="D13" s="167" t="s">
        <v>370</v>
      </c>
      <c r="E13" s="167">
        <v>72616</v>
      </c>
      <c r="F13" s="167" t="s">
        <v>65</v>
      </c>
      <c r="G13" s="176">
        <v>98.78</v>
      </c>
      <c r="H13" s="176">
        <v>5.22</v>
      </c>
      <c r="I13" s="177">
        <v>104</v>
      </c>
      <c r="J13" s="475" t="s">
        <v>343</v>
      </c>
      <c r="K13" s="332"/>
      <c r="L13" s="332"/>
      <c r="M13" s="333"/>
      <c r="N13" s="328"/>
    </row>
    <row r="14" spans="2:14">
      <c r="B14" s="707" t="s">
        <v>649</v>
      </c>
      <c r="C14" s="708" t="s">
        <v>35</v>
      </c>
      <c r="D14" s="167" t="s">
        <v>370</v>
      </c>
      <c r="E14" s="168">
        <v>16595</v>
      </c>
      <c r="F14" s="708" t="s">
        <v>65</v>
      </c>
      <c r="G14" s="279">
        <v>160.69999999999999</v>
      </c>
      <c r="H14" s="170">
        <v>14.51</v>
      </c>
      <c r="I14" s="171">
        <v>175.21</v>
      </c>
      <c r="J14" s="489" t="s">
        <v>343</v>
      </c>
      <c r="K14" s="332"/>
      <c r="L14" s="332"/>
      <c r="M14" s="333"/>
      <c r="N14" s="328"/>
    </row>
    <row r="15" spans="2:14">
      <c r="B15" s="710" t="s">
        <v>660</v>
      </c>
      <c r="C15" s="711" t="s">
        <v>35</v>
      </c>
      <c r="D15" s="167" t="s">
        <v>387</v>
      </c>
      <c r="E15" s="168">
        <v>2842040</v>
      </c>
      <c r="F15" s="711" t="s">
        <v>65</v>
      </c>
      <c r="G15" s="170">
        <v>539.20000000000005</v>
      </c>
      <c r="H15" s="170">
        <v>80.88</v>
      </c>
      <c r="I15" s="171">
        <v>620.08000000000004</v>
      </c>
      <c r="J15" s="507" t="s">
        <v>343</v>
      </c>
      <c r="K15" s="332"/>
      <c r="L15" s="332"/>
      <c r="M15" s="333"/>
      <c r="N15" s="328"/>
    </row>
    <row r="16" spans="2:14">
      <c r="B16" s="729" t="s">
        <v>660</v>
      </c>
      <c r="C16" s="730" t="s">
        <v>35</v>
      </c>
      <c r="D16" s="167" t="s">
        <v>105</v>
      </c>
      <c r="E16" s="168">
        <v>34174</v>
      </c>
      <c r="F16" s="730" t="s">
        <v>65</v>
      </c>
      <c r="G16" s="170">
        <v>456.23</v>
      </c>
      <c r="H16" s="170">
        <v>33.770000000000003</v>
      </c>
      <c r="I16" s="171">
        <v>490</v>
      </c>
      <c r="J16" s="731" t="s">
        <v>343</v>
      </c>
      <c r="K16" s="332"/>
      <c r="L16" s="332"/>
      <c r="M16" s="333"/>
      <c r="N16" s="328"/>
    </row>
    <row r="17" spans="2:14">
      <c r="B17" s="729" t="s">
        <v>661</v>
      </c>
      <c r="C17" s="730" t="s">
        <v>35</v>
      </c>
      <c r="D17" s="167" t="s">
        <v>370</v>
      </c>
      <c r="E17" s="168">
        <v>30345</v>
      </c>
      <c r="F17" s="730" t="s">
        <v>65</v>
      </c>
      <c r="G17" s="170">
        <v>160.69999999999999</v>
      </c>
      <c r="H17" s="170">
        <v>14.51</v>
      </c>
      <c r="I17" s="171">
        <v>175.21</v>
      </c>
      <c r="J17" s="732" t="s">
        <v>343</v>
      </c>
      <c r="K17" s="332"/>
      <c r="L17" s="332"/>
      <c r="M17" s="333"/>
      <c r="N17" s="328"/>
    </row>
    <row r="18" spans="2:14">
      <c r="B18" s="729" t="s">
        <v>661</v>
      </c>
      <c r="C18" s="730" t="s">
        <v>35</v>
      </c>
      <c r="D18" s="167" t="s">
        <v>105</v>
      </c>
      <c r="E18" s="168">
        <v>34180</v>
      </c>
      <c r="F18" s="730" t="s">
        <v>65</v>
      </c>
      <c r="G18" s="170">
        <v>456.22</v>
      </c>
      <c r="H18" s="170">
        <v>33.78</v>
      </c>
      <c r="I18" s="171">
        <v>490</v>
      </c>
      <c r="J18" s="732" t="s">
        <v>343</v>
      </c>
      <c r="K18" s="332"/>
      <c r="L18" s="332"/>
      <c r="M18" s="333"/>
      <c r="N18" s="328"/>
    </row>
    <row r="19" spans="2:14">
      <c r="B19" s="174" t="s">
        <v>670</v>
      </c>
      <c r="C19" s="167" t="s">
        <v>35</v>
      </c>
      <c r="D19" s="167" t="s">
        <v>370</v>
      </c>
      <c r="E19" s="167">
        <v>47785</v>
      </c>
      <c r="F19" s="167" t="s">
        <v>65</v>
      </c>
      <c r="G19" s="176">
        <v>125.92</v>
      </c>
      <c r="H19" s="176">
        <v>9.2899999999999991</v>
      </c>
      <c r="I19" s="177">
        <v>135.21</v>
      </c>
      <c r="J19" s="525" t="s">
        <v>343</v>
      </c>
      <c r="K19" s="332"/>
      <c r="L19" s="332"/>
      <c r="M19" s="333"/>
      <c r="N19" s="328"/>
    </row>
    <row r="20" spans="2:14">
      <c r="B20" s="729" t="s">
        <v>670</v>
      </c>
      <c r="C20" s="730" t="s">
        <v>35</v>
      </c>
      <c r="D20" s="167" t="s">
        <v>105</v>
      </c>
      <c r="E20" s="168">
        <v>34189</v>
      </c>
      <c r="F20" s="730" t="s">
        <v>65</v>
      </c>
      <c r="G20" s="170">
        <v>456.22</v>
      </c>
      <c r="H20" s="170">
        <v>33.78</v>
      </c>
      <c r="I20" s="171">
        <v>490</v>
      </c>
      <c r="J20" s="732" t="s">
        <v>343</v>
      </c>
      <c r="K20" s="332"/>
      <c r="L20" s="557"/>
      <c r="M20" s="333"/>
      <c r="N20" s="328"/>
    </row>
    <row r="21" spans="2:14">
      <c r="B21" s="729" t="s">
        <v>664</v>
      </c>
      <c r="C21" s="730" t="s">
        <v>35</v>
      </c>
      <c r="D21" s="167" t="s">
        <v>671</v>
      </c>
      <c r="E21" s="168">
        <v>1035724</v>
      </c>
      <c r="F21" s="730" t="s">
        <v>423</v>
      </c>
      <c r="G21" s="170">
        <v>279.83</v>
      </c>
      <c r="H21" s="170">
        <v>41.97</v>
      </c>
      <c r="I21" s="171">
        <v>321.8</v>
      </c>
      <c r="J21" s="733" t="s">
        <v>672</v>
      </c>
      <c r="K21" s="332"/>
      <c r="L21" s="332"/>
      <c r="M21" s="333"/>
      <c r="N21" s="328"/>
    </row>
    <row r="22" spans="2:14">
      <c r="B22" s="172" t="s">
        <v>649</v>
      </c>
      <c r="C22" s="168" t="s">
        <v>35</v>
      </c>
      <c r="D22" s="167" t="s">
        <v>673</v>
      </c>
      <c r="E22" s="168">
        <v>787862</v>
      </c>
      <c r="F22" s="730" t="s">
        <v>423</v>
      </c>
      <c r="G22" s="170">
        <v>1726.68</v>
      </c>
      <c r="H22" s="170">
        <v>259.01</v>
      </c>
      <c r="I22" s="171">
        <v>1985.7</v>
      </c>
      <c r="J22" s="444" t="s">
        <v>672</v>
      </c>
      <c r="K22" s="332"/>
      <c r="L22" s="332"/>
      <c r="M22" s="333"/>
      <c r="N22" s="328"/>
    </row>
    <row r="23" spans="2:14">
      <c r="B23" s="172" t="s">
        <v>649</v>
      </c>
      <c r="C23" s="168" t="s">
        <v>42</v>
      </c>
      <c r="D23" s="167" t="s">
        <v>114</v>
      </c>
      <c r="E23" s="168" t="s">
        <v>674</v>
      </c>
      <c r="F23" s="730" t="s">
        <v>675</v>
      </c>
      <c r="G23" s="170">
        <v>1127.47</v>
      </c>
      <c r="H23" s="170">
        <v>169.13</v>
      </c>
      <c r="I23" s="171">
        <v>1296.5999999999999</v>
      </c>
      <c r="J23" s="734" t="s">
        <v>672</v>
      </c>
      <c r="K23" s="332"/>
      <c r="L23" s="332"/>
      <c r="M23" s="333"/>
      <c r="N23" s="328"/>
    </row>
    <row r="24" spans="2:14">
      <c r="B24" s="172" t="s">
        <v>664</v>
      </c>
      <c r="C24" s="168" t="s">
        <v>35</v>
      </c>
      <c r="D24" s="167" t="s">
        <v>114</v>
      </c>
      <c r="E24" s="168" t="s">
        <v>676</v>
      </c>
      <c r="F24" s="730" t="s">
        <v>426</v>
      </c>
      <c r="G24" s="170">
        <v>1522.69</v>
      </c>
      <c r="H24" s="170">
        <v>209.71</v>
      </c>
      <c r="I24" s="171">
        <v>1732.4</v>
      </c>
      <c r="J24" s="150" t="s">
        <v>672</v>
      </c>
      <c r="K24" s="332"/>
      <c r="L24" s="558"/>
      <c r="M24" s="333"/>
      <c r="N24" s="328"/>
    </row>
    <row r="25" spans="2:14">
      <c r="B25" s="738" t="s">
        <v>660</v>
      </c>
      <c r="C25" s="739" t="s">
        <v>42</v>
      </c>
      <c r="D25" s="167" t="s">
        <v>678</v>
      </c>
      <c r="E25" s="168" t="s">
        <v>679</v>
      </c>
      <c r="F25" s="739" t="s">
        <v>60</v>
      </c>
      <c r="G25" s="170">
        <v>1785</v>
      </c>
      <c r="H25" s="170">
        <v>267.75</v>
      </c>
      <c r="I25" s="171">
        <v>2052.75</v>
      </c>
      <c r="J25" s="743" t="s">
        <v>681</v>
      </c>
      <c r="K25" s="332"/>
      <c r="L25" s="558"/>
      <c r="M25" s="333"/>
      <c r="N25" s="328"/>
    </row>
    <row r="26" spans="2:14">
      <c r="B26" s="738" t="s">
        <v>664</v>
      </c>
      <c r="C26" s="739" t="s">
        <v>42</v>
      </c>
      <c r="D26" s="167" t="s">
        <v>680</v>
      </c>
      <c r="E26" s="168">
        <v>2386</v>
      </c>
      <c r="F26" s="739" t="s">
        <v>60</v>
      </c>
      <c r="G26" s="170">
        <v>1635</v>
      </c>
      <c r="H26" s="170">
        <v>245.25</v>
      </c>
      <c r="I26" s="171">
        <v>1880.25</v>
      </c>
      <c r="J26" s="507" t="s">
        <v>681</v>
      </c>
      <c r="K26" s="332"/>
      <c r="L26" s="558"/>
      <c r="M26" s="560"/>
      <c r="N26" s="328"/>
    </row>
    <row r="27" spans="2:14" s="137" customFormat="1">
      <c r="B27" s="174" t="s">
        <v>662</v>
      </c>
      <c r="C27" s="167" t="s">
        <v>35</v>
      </c>
      <c r="D27" s="167" t="s">
        <v>301</v>
      </c>
      <c r="E27" s="167">
        <v>197</v>
      </c>
      <c r="F27" s="175" t="s">
        <v>65</v>
      </c>
      <c r="G27" s="176">
        <f>736.27-36.69</f>
        <v>699.57999999999993</v>
      </c>
      <c r="H27" s="176">
        <v>36.69</v>
      </c>
      <c r="I27" s="753">
        <v>736.27</v>
      </c>
      <c r="J27" s="444"/>
      <c r="K27" s="332"/>
      <c r="L27" s="561"/>
      <c r="M27" s="333"/>
      <c r="N27" s="333"/>
    </row>
    <row r="28" spans="2:14">
      <c r="B28" s="757" t="s">
        <v>684</v>
      </c>
      <c r="C28" s="758" t="s">
        <v>35</v>
      </c>
      <c r="D28" s="167" t="s">
        <v>370</v>
      </c>
      <c r="E28" s="168">
        <v>40999</v>
      </c>
      <c r="F28" s="758" t="s">
        <v>64</v>
      </c>
      <c r="G28" s="170">
        <v>160.69999999999999</v>
      </c>
      <c r="H28" s="170">
        <v>14.51</v>
      </c>
      <c r="I28" s="171">
        <v>175.21</v>
      </c>
      <c r="J28" s="759" t="s">
        <v>343</v>
      </c>
      <c r="K28" s="332"/>
      <c r="L28" s="558"/>
      <c r="M28" s="333"/>
      <c r="N28" s="328"/>
    </row>
    <row r="29" spans="2:14">
      <c r="B29" s="757" t="s">
        <v>688</v>
      </c>
      <c r="C29" s="758" t="s">
        <v>35</v>
      </c>
      <c r="D29" s="167" t="s">
        <v>105</v>
      </c>
      <c r="E29" s="168">
        <v>434195</v>
      </c>
      <c r="F29" s="758" t="s">
        <v>64</v>
      </c>
      <c r="G29" s="170">
        <f>490/1.15</f>
        <v>426.08695652173918</v>
      </c>
      <c r="H29" s="170">
        <f>I29-G29</f>
        <v>63.913043478260818</v>
      </c>
      <c r="I29" s="171">
        <v>490</v>
      </c>
      <c r="J29" s="759" t="s">
        <v>343</v>
      </c>
      <c r="K29" s="332"/>
      <c r="L29" s="562"/>
      <c r="M29" s="333"/>
      <c r="N29" s="328"/>
    </row>
    <row r="30" spans="2:14">
      <c r="B30" s="172" t="s">
        <v>690</v>
      </c>
      <c r="C30" s="168" t="s">
        <v>35</v>
      </c>
      <c r="D30" s="167" t="s">
        <v>370</v>
      </c>
      <c r="E30" s="168">
        <v>69011</v>
      </c>
      <c r="F30" s="797" t="s">
        <v>65</v>
      </c>
      <c r="G30" s="170">
        <v>160</v>
      </c>
      <c r="H30" s="170">
        <v>14.51</v>
      </c>
      <c r="I30" s="171">
        <v>175.21</v>
      </c>
      <c r="J30" s="489" t="s">
        <v>343</v>
      </c>
      <c r="K30" s="332"/>
      <c r="L30" s="562"/>
      <c r="M30" s="560"/>
      <c r="N30" s="328"/>
    </row>
    <row r="31" spans="2:14">
      <c r="B31" s="172" t="s">
        <v>690</v>
      </c>
      <c r="C31" s="168" t="s">
        <v>35</v>
      </c>
      <c r="D31" s="167" t="s">
        <v>105</v>
      </c>
      <c r="E31" s="168">
        <v>434201</v>
      </c>
      <c r="F31" s="797" t="s">
        <v>65</v>
      </c>
      <c r="G31" s="170">
        <v>390.22</v>
      </c>
      <c r="H31" s="170">
        <v>33.78</v>
      </c>
      <c r="I31" s="171">
        <v>424</v>
      </c>
      <c r="J31" s="489" t="s">
        <v>343</v>
      </c>
      <c r="K31" s="332"/>
      <c r="L31" s="562"/>
      <c r="M31" s="333"/>
      <c r="N31" s="328"/>
    </row>
    <row r="32" spans="2:14">
      <c r="B32" s="675"/>
      <c r="C32" s="674"/>
      <c r="D32" s="216"/>
      <c r="E32" s="215"/>
      <c r="F32" s="674"/>
      <c r="G32" s="217"/>
      <c r="H32" s="217"/>
      <c r="I32" s="329"/>
      <c r="J32" s="429"/>
      <c r="K32" s="332"/>
      <c r="L32" s="560"/>
      <c r="M32" s="333"/>
      <c r="N32" s="328"/>
    </row>
    <row r="33" spans="2:14">
      <c r="B33" s="675"/>
      <c r="C33" s="674"/>
      <c r="D33" s="216"/>
      <c r="E33" s="215"/>
      <c r="F33" s="674"/>
      <c r="G33" s="217"/>
      <c r="H33" s="217"/>
      <c r="I33" s="329"/>
      <c r="J33" s="429"/>
      <c r="K33" s="332"/>
      <c r="L33" s="332"/>
      <c r="M33" s="333"/>
      <c r="N33" s="328"/>
    </row>
    <row r="34" spans="2:14">
      <c r="B34" s="675"/>
      <c r="C34" s="674"/>
      <c r="D34" s="216"/>
      <c r="E34" s="215"/>
      <c r="F34" s="674"/>
      <c r="G34" s="217"/>
      <c r="H34" s="217"/>
      <c r="I34" s="329"/>
      <c r="J34" s="554"/>
      <c r="K34" s="332"/>
      <c r="L34" s="560"/>
      <c r="M34" s="333"/>
      <c r="N34" s="328"/>
    </row>
    <row r="35" spans="2:14">
      <c r="B35" s="676"/>
      <c r="C35" s="674"/>
      <c r="D35" s="216"/>
      <c r="E35" s="215"/>
      <c r="F35" s="674"/>
      <c r="G35" s="217"/>
      <c r="H35" s="217"/>
      <c r="I35" s="329"/>
      <c r="J35" s="554"/>
      <c r="K35" s="332"/>
      <c r="L35" s="332"/>
      <c r="M35" s="333"/>
      <c r="N35" s="328"/>
    </row>
    <row r="36" spans="2:14">
      <c r="B36" s="230"/>
      <c r="C36" s="216"/>
      <c r="D36" s="216"/>
      <c r="E36" s="216"/>
      <c r="F36" s="216"/>
      <c r="G36" s="232"/>
      <c r="H36" s="232"/>
      <c r="I36" s="329"/>
      <c r="J36" s="554"/>
      <c r="K36" s="332"/>
      <c r="L36" s="563"/>
      <c r="M36" s="333"/>
      <c r="N36" s="328"/>
    </row>
    <row r="37" spans="2:14">
      <c r="B37" s="675"/>
      <c r="C37" s="674"/>
      <c r="D37" s="216"/>
      <c r="E37" s="215"/>
      <c r="F37" s="674"/>
      <c r="G37" s="217"/>
      <c r="H37" s="217"/>
      <c r="I37" s="329"/>
      <c r="J37" s="554"/>
      <c r="K37" s="332"/>
      <c r="L37" s="563"/>
      <c r="M37" s="333"/>
      <c r="N37" s="328"/>
    </row>
    <row r="38" spans="2:14">
      <c r="B38" s="677"/>
      <c r="C38" s="678"/>
      <c r="D38" s="216"/>
      <c r="E38" s="215"/>
      <c r="F38" s="678"/>
      <c r="G38" s="217"/>
      <c r="H38" s="217"/>
      <c r="I38" s="329"/>
      <c r="J38" s="554"/>
      <c r="K38" s="332"/>
      <c r="L38" s="563"/>
      <c r="M38" s="333"/>
      <c r="N38" s="328"/>
    </row>
    <row r="39" spans="2:14">
      <c r="B39" s="679"/>
      <c r="C39" s="680"/>
      <c r="D39" s="216"/>
      <c r="E39" s="215"/>
      <c r="F39" s="680"/>
      <c r="G39" s="217"/>
      <c r="H39" s="217"/>
      <c r="I39" s="329"/>
      <c r="J39" s="473"/>
      <c r="K39" s="332"/>
      <c r="L39" s="564"/>
      <c r="M39" s="333"/>
      <c r="N39" s="328"/>
    </row>
    <row r="40" spans="2:14">
      <c r="B40" s="681"/>
      <c r="C40" s="682"/>
      <c r="D40" s="216"/>
      <c r="E40" s="215"/>
      <c r="F40" s="682"/>
      <c r="G40" s="217"/>
      <c r="H40" s="217"/>
      <c r="I40" s="329"/>
      <c r="J40" s="672"/>
      <c r="K40" s="332"/>
      <c r="L40" s="564"/>
      <c r="M40" s="333"/>
      <c r="N40" s="328"/>
    </row>
    <row r="41" spans="2:14">
      <c r="B41" s="681"/>
      <c r="C41" s="682"/>
      <c r="D41" s="216"/>
      <c r="E41" s="215"/>
      <c r="F41" s="682"/>
      <c r="G41" s="217"/>
      <c r="H41" s="217"/>
      <c r="I41" s="329"/>
      <c r="J41" s="673"/>
      <c r="K41" s="332"/>
      <c r="L41" s="332"/>
      <c r="M41" s="333"/>
      <c r="N41" s="328"/>
    </row>
    <row r="42" spans="2:14">
      <c r="B42" s="681"/>
      <c r="C42" s="682"/>
      <c r="D42" s="216"/>
      <c r="E42" s="215"/>
      <c r="F42" s="682"/>
      <c r="G42" s="217"/>
      <c r="H42" s="217"/>
      <c r="I42" s="329"/>
      <c r="J42" s="473"/>
      <c r="K42" s="332"/>
      <c r="L42" s="564"/>
      <c r="M42" s="333"/>
      <c r="N42" s="328"/>
    </row>
    <row r="43" spans="2:14">
      <c r="B43" s="683"/>
      <c r="C43" s="684"/>
      <c r="D43" s="216"/>
      <c r="E43" s="215"/>
      <c r="F43" s="684"/>
      <c r="G43" s="217"/>
      <c r="H43" s="217"/>
      <c r="I43" s="329"/>
      <c r="J43" s="554"/>
      <c r="K43" s="332"/>
      <c r="L43" s="332"/>
      <c r="M43" s="333"/>
      <c r="N43" s="328"/>
    </row>
    <row r="44" spans="2:14">
      <c r="B44" s="430"/>
      <c r="C44" s="215"/>
      <c r="D44" s="216"/>
      <c r="E44" s="215"/>
      <c r="F44" s="215"/>
      <c r="G44" s="217"/>
      <c r="H44" s="217"/>
      <c r="I44" s="329"/>
      <c r="J44" s="471"/>
      <c r="K44" s="332"/>
      <c r="L44" s="565"/>
      <c r="M44" s="333"/>
      <c r="N44" s="328"/>
    </row>
    <row r="45" spans="2:14">
      <c r="B45" s="430"/>
      <c r="C45" s="215"/>
      <c r="D45" s="216"/>
      <c r="E45" s="215"/>
      <c r="F45" s="215"/>
      <c r="G45" s="217"/>
      <c r="H45" s="217"/>
      <c r="I45" s="329"/>
      <c r="J45" s="554"/>
      <c r="K45" s="332"/>
      <c r="L45" s="332"/>
      <c r="M45" s="333"/>
      <c r="N45" s="328"/>
    </row>
    <row r="46" spans="2:14">
      <c r="B46" s="640"/>
      <c r="C46" s="641"/>
      <c r="D46" s="216"/>
      <c r="E46" s="215"/>
      <c r="F46" s="641"/>
      <c r="G46" s="217"/>
      <c r="H46" s="217"/>
      <c r="I46" s="329"/>
      <c r="J46" s="331"/>
      <c r="K46" s="332"/>
      <c r="L46" s="332"/>
      <c r="M46" s="333"/>
      <c r="N46" s="328"/>
    </row>
    <row r="47" spans="2:14">
      <c r="B47" s="230"/>
      <c r="C47" s="216"/>
      <c r="D47" s="216"/>
      <c r="E47" s="216"/>
      <c r="F47" s="216"/>
      <c r="G47" s="232"/>
      <c r="H47" s="232"/>
      <c r="I47" s="329"/>
      <c r="J47" s="554"/>
      <c r="K47" s="332"/>
      <c r="L47" s="332"/>
      <c r="M47" s="333"/>
      <c r="N47" s="328"/>
    </row>
    <row r="48" spans="2:14">
      <c r="B48" s="640"/>
      <c r="C48" s="641"/>
      <c r="D48" s="216"/>
      <c r="E48" s="215"/>
      <c r="F48" s="641"/>
      <c r="G48" s="217"/>
      <c r="H48" s="217"/>
      <c r="I48" s="329"/>
      <c r="J48" s="473"/>
      <c r="K48" s="332"/>
      <c r="L48" s="564"/>
      <c r="M48" s="333"/>
      <c r="N48" s="328"/>
    </row>
    <row r="49" spans="2:14">
      <c r="B49" s="685"/>
      <c r="C49" s="686"/>
      <c r="D49" s="216"/>
      <c r="E49" s="215"/>
      <c r="F49" s="686"/>
      <c r="G49" s="217"/>
      <c r="H49" s="217"/>
      <c r="I49" s="329"/>
      <c r="J49" s="473"/>
      <c r="K49" s="332"/>
      <c r="L49" s="564"/>
      <c r="M49" s="333"/>
      <c r="N49" s="328"/>
    </row>
    <row r="50" spans="2:14">
      <c r="B50" s="685"/>
      <c r="C50" s="686"/>
      <c r="D50" s="216"/>
      <c r="E50" s="215"/>
      <c r="F50" s="686"/>
      <c r="G50" s="217"/>
      <c r="H50" s="217"/>
      <c r="I50" s="329"/>
      <c r="J50" s="473"/>
      <c r="K50" s="332"/>
      <c r="L50" s="564"/>
      <c r="M50" s="333"/>
      <c r="N50" s="328"/>
    </row>
    <row r="51" spans="2:14">
      <c r="B51" s="685"/>
      <c r="C51" s="686"/>
      <c r="D51" s="216"/>
      <c r="E51" s="215"/>
      <c r="F51" s="686"/>
      <c r="G51" s="217"/>
      <c r="H51" s="217"/>
      <c r="I51" s="329"/>
      <c r="J51" s="473"/>
      <c r="K51" s="332"/>
      <c r="L51" s="564"/>
      <c r="M51" s="333"/>
      <c r="N51" s="328"/>
    </row>
    <row r="52" spans="2:14">
      <c r="B52" s="685"/>
      <c r="C52" s="686"/>
      <c r="D52" s="216"/>
      <c r="E52" s="215"/>
      <c r="F52" s="686"/>
      <c r="G52" s="217"/>
      <c r="H52" s="217"/>
      <c r="I52" s="329"/>
      <c r="J52" s="671"/>
      <c r="K52" s="332"/>
      <c r="L52" s="332"/>
      <c r="M52" s="333"/>
      <c r="N52" s="328"/>
    </row>
    <row r="53" spans="2:14">
      <c r="B53" s="430"/>
      <c r="C53" s="215"/>
      <c r="D53" s="216"/>
      <c r="E53" s="215"/>
      <c r="F53" s="215"/>
      <c r="G53" s="217"/>
      <c r="H53" s="217"/>
      <c r="I53" s="329"/>
      <c r="J53" s="554"/>
      <c r="K53" s="332"/>
      <c r="L53" s="332"/>
      <c r="M53" s="333"/>
      <c r="N53" s="328"/>
    </row>
    <row r="54" spans="2:14">
      <c r="B54" s="430"/>
      <c r="C54" s="215"/>
      <c r="D54" s="216"/>
      <c r="E54" s="215"/>
      <c r="F54" s="215"/>
      <c r="G54" s="217"/>
      <c r="H54" s="217"/>
      <c r="I54" s="329"/>
      <c r="J54" s="554"/>
      <c r="K54" s="332"/>
      <c r="L54" s="332"/>
      <c r="M54" s="333"/>
      <c r="N54" s="328"/>
    </row>
    <row r="55" spans="2:14">
      <c r="B55" s="430"/>
      <c r="C55" s="215"/>
      <c r="D55" s="216"/>
      <c r="E55" s="215"/>
      <c r="F55" s="215"/>
      <c r="G55" s="217"/>
      <c r="H55" s="217"/>
      <c r="I55" s="329"/>
      <c r="J55" s="471"/>
      <c r="K55" s="332"/>
      <c r="L55" s="332"/>
      <c r="M55" s="333"/>
      <c r="N55" s="328"/>
    </row>
    <row r="56" spans="2:14">
      <c r="B56" s="430"/>
      <c r="C56" s="215"/>
      <c r="D56" s="216"/>
      <c r="E56" s="215"/>
      <c r="F56" s="215"/>
      <c r="G56" s="217"/>
      <c r="H56" s="217"/>
      <c r="I56" s="329"/>
      <c r="J56" s="554"/>
      <c r="K56" s="332"/>
      <c r="L56" s="332"/>
      <c r="M56" s="333"/>
      <c r="N56" s="328"/>
    </row>
    <row r="57" spans="2:14">
      <c r="B57" s="430"/>
      <c r="C57" s="215"/>
      <c r="D57" s="216"/>
      <c r="E57" s="215"/>
      <c r="F57" s="215"/>
      <c r="G57" s="217"/>
      <c r="H57" s="217"/>
      <c r="I57" s="329"/>
      <c r="J57" s="554"/>
      <c r="K57" s="332"/>
      <c r="L57" s="332"/>
      <c r="M57" s="333"/>
      <c r="N57" s="328"/>
    </row>
    <row r="58" spans="2:14">
      <c r="B58" s="430"/>
      <c r="C58" s="215"/>
      <c r="D58" s="216"/>
      <c r="E58" s="215"/>
      <c r="F58" s="215"/>
      <c r="G58" s="217"/>
      <c r="H58" s="217"/>
      <c r="I58" s="329"/>
      <c r="J58" s="554"/>
      <c r="K58" s="332"/>
      <c r="L58" s="332"/>
      <c r="M58" s="333"/>
      <c r="N58" s="328"/>
    </row>
    <row r="59" spans="2:14">
      <c r="B59" s="430"/>
      <c r="C59" s="215"/>
      <c r="D59" s="216"/>
      <c r="E59" s="215"/>
      <c r="F59" s="215"/>
      <c r="G59" s="217"/>
      <c r="H59" s="217"/>
      <c r="I59" s="329"/>
      <c r="J59" s="554"/>
      <c r="K59" s="332"/>
      <c r="L59" s="566"/>
      <c r="M59" s="333"/>
      <c r="N59" s="328"/>
    </row>
    <row r="60" spans="2:14">
      <c r="B60" s="430"/>
      <c r="C60" s="215"/>
      <c r="D60" s="216"/>
      <c r="E60" s="215"/>
      <c r="F60" s="215"/>
      <c r="G60" s="217"/>
      <c r="H60" s="217"/>
      <c r="I60" s="329"/>
      <c r="J60" s="554"/>
      <c r="K60" s="332"/>
      <c r="L60" s="332"/>
      <c r="M60" s="333"/>
      <c r="N60" s="328"/>
    </row>
    <row r="61" spans="2:14">
      <c r="B61" s="430"/>
      <c r="C61" s="215"/>
      <c r="D61" s="216"/>
      <c r="E61" s="215"/>
      <c r="F61" s="215"/>
      <c r="G61" s="217"/>
      <c r="H61" s="217"/>
      <c r="I61" s="329"/>
      <c r="J61" s="554"/>
      <c r="K61" s="332"/>
      <c r="L61" s="332"/>
      <c r="M61" s="333"/>
      <c r="N61" s="328"/>
    </row>
    <row r="62" spans="2:14">
      <c r="B62" s="430"/>
      <c r="C62" s="215"/>
      <c r="D62" s="216"/>
      <c r="E62" s="215"/>
      <c r="F62" s="215"/>
      <c r="G62" s="217"/>
      <c r="H62" s="217"/>
      <c r="I62" s="329"/>
      <c r="J62" s="471"/>
      <c r="K62" s="332"/>
      <c r="L62" s="566"/>
      <c r="M62" s="333"/>
      <c r="N62" s="328"/>
    </row>
    <row r="63" spans="2:14">
      <c r="B63" s="430"/>
      <c r="C63" s="215"/>
      <c r="D63" s="216"/>
      <c r="E63" s="215"/>
      <c r="F63" s="215"/>
      <c r="G63" s="217"/>
      <c r="H63" s="217"/>
      <c r="I63" s="329"/>
      <c r="J63" s="331"/>
      <c r="K63" s="332"/>
      <c r="L63" s="332"/>
      <c r="M63" s="333"/>
      <c r="N63" s="328"/>
    </row>
    <row r="64" spans="2:14">
      <c r="B64" s="430"/>
      <c r="C64" s="215"/>
      <c r="D64" s="216"/>
      <c r="E64" s="215"/>
      <c r="F64" s="215"/>
      <c r="G64" s="217"/>
      <c r="H64" s="217"/>
      <c r="I64" s="329"/>
      <c r="J64" s="331"/>
      <c r="K64" s="332"/>
      <c r="L64" s="332"/>
      <c r="M64" s="333"/>
      <c r="N64" s="328"/>
    </row>
    <row r="65" spans="2:14">
      <c r="B65" s="430"/>
      <c r="C65" s="215"/>
      <c r="D65" s="216"/>
      <c r="E65" s="215"/>
      <c r="F65" s="215"/>
      <c r="G65" s="217"/>
      <c r="H65" s="217"/>
      <c r="I65" s="329"/>
      <c r="J65" s="331"/>
      <c r="K65" s="332"/>
      <c r="L65" s="332"/>
      <c r="M65" s="333"/>
      <c r="N65" s="328"/>
    </row>
    <row r="66" spans="2:14">
      <c r="B66" s="430"/>
      <c r="C66" s="215"/>
      <c r="D66" s="216"/>
      <c r="E66" s="215"/>
      <c r="F66" s="215"/>
      <c r="G66" s="217"/>
      <c r="H66" s="217"/>
      <c r="I66" s="329"/>
      <c r="J66" s="331"/>
      <c r="K66" s="332"/>
      <c r="L66" s="332"/>
      <c r="M66" s="333"/>
      <c r="N66" s="328"/>
    </row>
    <row r="67" spans="2:14">
      <c r="B67" s="430"/>
      <c r="C67" s="215"/>
      <c r="D67" s="216"/>
      <c r="E67" s="215"/>
      <c r="F67" s="215"/>
      <c r="G67" s="217"/>
      <c r="H67" s="217"/>
      <c r="I67" s="329"/>
      <c r="J67" s="331"/>
      <c r="K67" s="332"/>
      <c r="L67" s="332"/>
      <c r="M67" s="333"/>
      <c r="N67" s="328"/>
    </row>
    <row r="68" spans="2:14">
      <c r="B68" s="430"/>
      <c r="C68" s="215"/>
      <c r="D68" s="216"/>
      <c r="E68" s="215"/>
      <c r="F68" s="215"/>
      <c r="G68" s="217"/>
      <c r="H68" s="217"/>
      <c r="I68" s="329"/>
      <c r="J68" s="331"/>
      <c r="K68" s="332"/>
      <c r="L68" s="332"/>
      <c r="M68" s="333"/>
    </row>
    <row r="69" spans="2:14">
      <c r="B69" s="430"/>
      <c r="C69" s="215"/>
      <c r="D69" s="216"/>
      <c r="E69" s="215"/>
      <c r="F69" s="215"/>
      <c r="G69" s="217"/>
      <c r="H69" s="217"/>
      <c r="I69" s="329"/>
      <c r="J69" s="331"/>
      <c r="K69" s="332"/>
      <c r="L69" s="332"/>
      <c r="M69" s="333"/>
    </row>
    <row r="70" spans="2:14">
      <c r="B70" s="687"/>
      <c r="C70" s="688"/>
      <c r="D70" s="216"/>
      <c r="E70" s="215"/>
      <c r="F70" s="688"/>
      <c r="G70" s="217"/>
      <c r="H70" s="217"/>
      <c r="I70" s="329"/>
      <c r="J70" s="331"/>
      <c r="K70" s="332"/>
      <c r="L70" s="332"/>
      <c r="M70" s="333"/>
    </row>
    <row r="71" spans="2:14">
      <c r="B71" s="435"/>
      <c r="C71" s="436"/>
      <c r="D71" s="216"/>
      <c r="E71" s="215"/>
      <c r="F71" s="436"/>
      <c r="G71" s="217"/>
      <c r="H71" s="217"/>
      <c r="I71" s="329"/>
      <c r="J71" s="331"/>
      <c r="K71" s="332"/>
      <c r="L71" s="332"/>
      <c r="M71" s="333"/>
    </row>
    <row r="72" spans="2:14">
      <c r="B72" s="435"/>
      <c r="C72" s="436"/>
      <c r="D72" s="216"/>
      <c r="E72" s="215"/>
      <c r="F72" s="436"/>
      <c r="G72" s="217"/>
      <c r="H72" s="217"/>
      <c r="I72" s="105"/>
      <c r="J72" s="331"/>
      <c r="K72" s="332"/>
      <c r="L72" s="332"/>
      <c r="M72" s="333"/>
    </row>
    <row r="73" spans="2:14">
      <c r="B73" s="132"/>
      <c r="C73" s="133"/>
      <c r="D73" s="134"/>
      <c r="E73" s="133"/>
      <c r="F73" s="133"/>
      <c r="G73" s="136"/>
      <c r="H73" s="136"/>
      <c r="I73" s="105"/>
      <c r="J73" s="331"/>
      <c r="K73" s="332"/>
      <c r="L73" s="332"/>
      <c r="M73" s="333"/>
    </row>
    <row r="74" spans="2:14">
      <c r="B74" s="132"/>
      <c r="C74" s="133"/>
      <c r="D74" s="134"/>
      <c r="E74" s="133"/>
      <c r="F74" s="133"/>
      <c r="G74" s="136"/>
      <c r="H74" s="136"/>
      <c r="I74" s="105"/>
      <c r="J74" s="331"/>
      <c r="K74" s="332"/>
      <c r="L74" s="332"/>
      <c r="M74" s="333"/>
    </row>
    <row r="75" spans="2:14">
      <c r="B75" s="132"/>
      <c r="C75" s="133"/>
      <c r="D75" s="134"/>
      <c r="E75" s="133"/>
      <c r="F75" s="133"/>
      <c r="G75" s="136"/>
      <c r="H75" s="136"/>
      <c r="I75" s="105"/>
      <c r="J75" s="331"/>
      <c r="K75" s="332"/>
      <c r="L75" s="332"/>
      <c r="M75" s="333"/>
    </row>
    <row r="76" spans="2:14">
      <c r="B76" s="132"/>
      <c r="C76" s="133"/>
      <c r="D76" s="134"/>
      <c r="E76" s="133"/>
      <c r="F76" s="133"/>
      <c r="G76" s="136"/>
      <c r="H76" s="136"/>
      <c r="I76" s="105"/>
      <c r="J76" s="331"/>
      <c r="K76" s="332"/>
      <c r="L76" s="332"/>
      <c r="M76" s="333"/>
    </row>
    <row r="77" spans="2:14">
      <c r="B77" s="132"/>
      <c r="C77" s="133"/>
      <c r="D77" s="134"/>
      <c r="E77" s="133"/>
      <c r="F77" s="133"/>
      <c r="G77" s="136"/>
      <c r="H77" s="136"/>
      <c r="I77" s="105"/>
      <c r="J77" s="331"/>
      <c r="K77" s="332"/>
      <c r="L77" s="332"/>
      <c r="M77" s="333"/>
    </row>
    <row r="78" spans="2:14">
      <c r="B78" s="132"/>
      <c r="C78" s="133"/>
      <c r="D78" s="134"/>
      <c r="E78" s="133"/>
      <c r="F78" s="133"/>
      <c r="G78" s="136"/>
      <c r="H78" s="136"/>
      <c r="I78" s="105"/>
      <c r="J78" s="331"/>
      <c r="K78" s="332"/>
      <c r="L78" s="332"/>
      <c r="M78" s="333"/>
    </row>
    <row r="79" spans="2:14">
      <c r="B79" s="132"/>
      <c r="C79" s="133"/>
      <c r="D79" s="134"/>
      <c r="E79" s="133"/>
      <c r="F79" s="133"/>
      <c r="G79" s="136"/>
      <c r="H79" s="136"/>
      <c r="I79" s="105"/>
      <c r="J79" s="331"/>
      <c r="K79" s="332"/>
      <c r="L79" s="332"/>
      <c r="M79" s="333"/>
    </row>
    <row r="80" spans="2:14">
      <c r="B80" s="132"/>
      <c r="C80" s="133"/>
      <c r="D80" s="134"/>
      <c r="E80" s="133"/>
      <c r="F80" s="133"/>
      <c r="G80" s="136"/>
      <c r="H80" s="136"/>
      <c r="I80" s="105"/>
      <c r="J80" s="331"/>
      <c r="K80" s="332"/>
      <c r="L80" s="332"/>
      <c r="M80" s="333"/>
    </row>
    <row r="81" spans="2:13">
      <c r="B81" s="132"/>
      <c r="C81" s="133"/>
      <c r="D81" s="134"/>
      <c r="E81" s="133"/>
      <c r="F81" s="133"/>
      <c r="G81" s="136"/>
      <c r="H81" s="136"/>
      <c r="I81" s="105"/>
      <c r="J81" s="331"/>
      <c r="K81" s="332"/>
      <c r="L81" s="332"/>
      <c r="M81" s="333"/>
    </row>
    <row r="82" spans="2:13">
      <c r="B82" s="132"/>
      <c r="C82" s="133"/>
      <c r="D82" s="134"/>
      <c r="E82" s="133"/>
      <c r="F82" s="133"/>
      <c r="G82" s="136"/>
      <c r="H82" s="136"/>
      <c r="I82" s="105"/>
      <c r="J82" s="331"/>
      <c r="K82" s="332"/>
      <c r="L82" s="332"/>
      <c r="M82" s="333"/>
    </row>
    <row r="83" spans="2:13">
      <c r="B83" s="132"/>
      <c r="C83" s="133"/>
      <c r="D83" s="134"/>
      <c r="E83" s="133"/>
      <c r="F83" s="133"/>
      <c r="G83" s="136"/>
      <c r="H83" s="136"/>
      <c r="I83" s="105"/>
      <c r="J83" s="331"/>
      <c r="K83" s="332"/>
      <c r="L83" s="332"/>
      <c r="M83" s="333"/>
    </row>
    <row r="84" spans="2:13">
      <c r="B84" s="132"/>
      <c r="C84" s="133"/>
      <c r="D84" s="134"/>
      <c r="E84" s="133"/>
      <c r="F84" s="133"/>
      <c r="G84" s="136"/>
      <c r="H84" s="136"/>
      <c r="I84" s="105"/>
      <c r="J84" s="331"/>
      <c r="K84" s="332"/>
      <c r="L84" s="332"/>
      <c r="M84" s="333"/>
    </row>
    <row r="85" spans="2:13">
      <c r="B85" s="132"/>
      <c r="C85" s="133"/>
      <c r="D85" s="134"/>
      <c r="E85" s="133"/>
      <c r="F85" s="133"/>
      <c r="G85" s="136"/>
      <c r="H85" s="136"/>
      <c r="I85" s="105"/>
      <c r="J85" s="331"/>
      <c r="K85" s="332"/>
      <c r="L85" s="332"/>
      <c r="M85" s="333"/>
    </row>
    <row r="86" spans="2:13">
      <c r="B86" s="132"/>
      <c r="C86" s="133"/>
      <c r="D86" s="134"/>
      <c r="E86" s="133"/>
      <c r="F86" s="133"/>
      <c r="G86" s="136"/>
      <c r="H86" s="136"/>
      <c r="I86" s="105"/>
      <c r="J86" s="331"/>
      <c r="K86" s="332"/>
      <c r="L86" s="332"/>
      <c r="M86" s="333"/>
    </row>
    <row r="87" spans="2:13">
      <c r="B87" s="132"/>
      <c r="C87" s="133"/>
      <c r="D87" s="134"/>
      <c r="E87" s="133"/>
      <c r="F87" s="133"/>
      <c r="G87" s="136"/>
      <c r="H87" s="136"/>
      <c r="I87" s="105"/>
      <c r="J87" s="331"/>
      <c r="K87" s="332"/>
      <c r="L87" s="332"/>
      <c r="M87" s="333"/>
    </row>
    <row r="88" spans="2:13">
      <c r="B88" s="132"/>
      <c r="C88" s="133"/>
      <c r="D88" s="134"/>
      <c r="E88" s="133"/>
      <c r="F88" s="133"/>
      <c r="G88" s="136"/>
      <c r="H88" s="136"/>
      <c r="I88" s="105"/>
      <c r="J88" s="331"/>
      <c r="K88" s="332"/>
      <c r="L88" s="332"/>
      <c r="M88" s="333"/>
    </row>
    <row r="89" spans="2:13">
      <c r="B89" s="132"/>
      <c r="C89" s="133"/>
      <c r="D89" s="134"/>
      <c r="E89" s="133"/>
      <c r="F89" s="133"/>
      <c r="G89" s="136"/>
      <c r="H89" s="136"/>
      <c r="I89" s="105"/>
      <c r="J89" s="331"/>
      <c r="K89" s="332"/>
      <c r="L89" s="332"/>
      <c r="M89" s="333"/>
    </row>
    <row r="90" spans="2:13">
      <c r="B90" s="132"/>
      <c r="C90" s="133"/>
      <c r="D90" s="134"/>
      <c r="E90" s="133"/>
      <c r="F90" s="133"/>
      <c r="G90" s="136"/>
      <c r="H90" s="136"/>
      <c r="I90" s="105"/>
      <c r="J90" s="331"/>
      <c r="K90" s="332"/>
      <c r="L90" s="332"/>
      <c r="M90" s="333"/>
    </row>
    <row r="91" spans="2:13">
      <c r="B91" s="132"/>
      <c r="C91" s="133"/>
      <c r="D91" s="134"/>
      <c r="E91" s="133"/>
      <c r="F91" s="133"/>
      <c r="G91" s="136"/>
      <c r="H91" s="136"/>
      <c r="I91" s="105"/>
      <c r="J91" s="331"/>
      <c r="K91" s="332"/>
      <c r="L91" s="332"/>
      <c r="M91" s="333"/>
    </row>
    <row r="92" spans="2:13">
      <c r="B92" s="132"/>
      <c r="C92" s="133"/>
      <c r="D92" s="134"/>
      <c r="E92" s="133"/>
      <c r="F92" s="133"/>
      <c r="G92" s="136"/>
      <c r="H92" s="136"/>
      <c r="I92" s="105"/>
      <c r="J92" s="331"/>
      <c r="K92" s="332"/>
      <c r="L92" s="332"/>
      <c r="M92" s="333"/>
    </row>
    <row r="93" spans="2:13">
      <c r="B93" s="132"/>
      <c r="C93" s="133"/>
      <c r="D93" s="134"/>
      <c r="E93" s="133"/>
      <c r="F93" s="133"/>
      <c r="G93" s="136"/>
      <c r="H93" s="136"/>
      <c r="I93" s="105"/>
      <c r="J93" s="331"/>
      <c r="K93" s="332"/>
      <c r="L93" s="332"/>
      <c r="M93" s="333"/>
    </row>
    <row r="94" spans="2:13">
      <c r="B94" s="132"/>
      <c r="C94" s="133"/>
      <c r="D94" s="134"/>
      <c r="E94" s="133"/>
      <c r="F94" s="133"/>
      <c r="G94" s="136"/>
      <c r="H94" s="136"/>
      <c r="I94" s="105"/>
      <c r="J94" s="331"/>
      <c r="K94" s="332"/>
      <c r="L94" s="332"/>
      <c r="M94" s="333"/>
    </row>
    <row r="95" spans="2:13">
      <c r="B95" s="132"/>
      <c r="C95" s="133"/>
      <c r="D95" s="134"/>
      <c r="E95" s="133"/>
      <c r="F95" s="133"/>
      <c r="G95" s="136"/>
      <c r="H95" s="136"/>
      <c r="I95" s="105"/>
      <c r="J95" s="331"/>
      <c r="K95" s="332"/>
      <c r="L95" s="332"/>
      <c r="M95" s="333"/>
    </row>
    <row r="96" spans="2:13">
      <c r="B96" s="132"/>
      <c r="C96" s="133"/>
      <c r="D96" s="134"/>
      <c r="E96" s="133"/>
      <c r="F96" s="133"/>
      <c r="G96" s="136"/>
      <c r="H96" s="136"/>
      <c r="I96" s="105"/>
      <c r="J96" s="331"/>
      <c r="K96" s="332"/>
      <c r="L96" s="332"/>
      <c r="M96" s="333"/>
    </row>
    <row r="97" spans="2:13">
      <c r="B97" s="132"/>
      <c r="C97" s="133"/>
      <c r="D97" s="134"/>
      <c r="E97" s="133"/>
      <c r="F97" s="133"/>
      <c r="G97" s="136"/>
      <c r="H97" s="136"/>
      <c r="I97" s="105"/>
      <c r="J97" s="331"/>
      <c r="K97" s="332"/>
      <c r="L97" s="332"/>
      <c r="M97" s="333"/>
    </row>
    <row r="98" spans="2:13">
      <c r="B98" s="132"/>
      <c r="C98" s="133"/>
      <c r="D98" s="134"/>
      <c r="E98" s="133"/>
      <c r="F98" s="133"/>
      <c r="G98" s="136"/>
      <c r="H98" s="136"/>
      <c r="I98" s="105"/>
      <c r="J98" s="331"/>
      <c r="K98" s="332"/>
      <c r="L98" s="332"/>
      <c r="M98" s="333"/>
    </row>
    <row r="99" spans="2:13">
      <c r="B99" s="132"/>
      <c r="C99" s="133"/>
      <c r="D99" s="134"/>
      <c r="E99" s="133"/>
      <c r="F99" s="133"/>
      <c r="G99" s="136"/>
      <c r="H99" s="136"/>
      <c r="I99" s="105"/>
      <c r="J99" s="331"/>
      <c r="K99" s="332"/>
      <c r="L99" s="332"/>
      <c r="M99" s="333"/>
    </row>
    <row r="100" spans="2:13">
      <c r="B100" s="132"/>
      <c r="C100" s="133"/>
      <c r="D100" s="134"/>
      <c r="E100" s="133"/>
      <c r="F100" s="133"/>
      <c r="G100" s="136"/>
      <c r="H100" s="136"/>
      <c r="I100" s="105"/>
      <c r="J100" s="331"/>
      <c r="K100" s="332"/>
      <c r="L100" s="332"/>
      <c r="M100" s="333"/>
    </row>
    <row r="101" spans="2:13">
      <c r="B101" s="132"/>
      <c r="C101" s="133"/>
      <c r="D101" s="134"/>
      <c r="E101" s="133"/>
      <c r="F101" s="133"/>
      <c r="G101" s="136"/>
      <c r="H101" s="136"/>
      <c r="I101" s="105"/>
      <c r="J101" s="331"/>
      <c r="K101" s="332"/>
      <c r="L101" s="332"/>
      <c r="M101" s="333"/>
    </row>
    <row r="102" spans="2:13">
      <c r="B102" s="132"/>
      <c r="C102" s="133"/>
      <c r="D102" s="134"/>
      <c r="E102" s="133"/>
      <c r="F102" s="133"/>
      <c r="G102" s="136"/>
      <c r="H102" s="136"/>
      <c r="I102" s="105"/>
      <c r="J102" s="331"/>
      <c r="K102" s="332"/>
      <c r="L102" s="332"/>
      <c r="M102" s="333"/>
    </row>
    <row r="103" spans="2:13">
      <c r="B103" s="132"/>
      <c r="C103" s="133"/>
      <c r="D103" s="134"/>
      <c r="E103" s="133"/>
      <c r="F103" s="133"/>
      <c r="G103" s="136"/>
      <c r="H103" s="136"/>
      <c r="I103" s="105"/>
      <c r="J103" s="331"/>
      <c r="K103" s="332"/>
      <c r="L103" s="332"/>
      <c r="M103" s="333"/>
    </row>
    <row r="104" spans="2:13">
      <c r="B104" s="132"/>
      <c r="C104" s="133"/>
      <c r="D104" s="134"/>
      <c r="E104" s="133"/>
      <c r="F104" s="133"/>
      <c r="G104" s="136"/>
      <c r="H104" s="136"/>
      <c r="I104" s="105"/>
      <c r="J104" s="331"/>
      <c r="K104" s="332"/>
      <c r="L104" s="332"/>
      <c r="M104" s="333"/>
    </row>
    <row r="105" spans="2:13">
      <c r="B105" s="132"/>
      <c r="C105" s="133"/>
      <c r="D105" s="134"/>
      <c r="E105" s="133"/>
      <c r="F105" s="133"/>
      <c r="G105" s="136"/>
      <c r="H105" s="136"/>
      <c r="I105" s="105"/>
      <c r="J105" s="331"/>
      <c r="K105" s="332"/>
      <c r="L105" s="332"/>
      <c r="M105" s="333"/>
    </row>
    <row r="106" spans="2:13">
      <c r="B106" s="132"/>
      <c r="C106" s="133"/>
      <c r="D106" s="134"/>
      <c r="E106" s="133"/>
      <c r="F106" s="133"/>
      <c r="G106" s="136"/>
      <c r="H106" s="136"/>
      <c r="I106" s="105"/>
      <c r="J106" s="331"/>
      <c r="K106" s="332"/>
      <c r="L106" s="332"/>
      <c r="M106" s="333"/>
    </row>
    <row r="107" spans="2:13">
      <c r="B107" s="132"/>
      <c r="C107" s="133"/>
      <c r="D107" s="134"/>
      <c r="E107" s="133"/>
      <c r="F107" s="133"/>
      <c r="G107" s="136"/>
      <c r="H107" s="136"/>
      <c r="I107" s="105"/>
      <c r="J107" s="331"/>
      <c r="K107" s="332"/>
      <c r="L107" s="332"/>
      <c r="M107" s="333"/>
    </row>
    <row r="108" spans="2:13">
      <c r="B108" s="132"/>
      <c r="C108" s="133"/>
      <c r="D108" s="134"/>
      <c r="E108" s="133"/>
      <c r="F108" s="133"/>
      <c r="G108" s="136"/>
      <c r="H108" s="136"/>
      <c r="I108" s="105"/>
      <c r="J108" s="331"/>
      <c r="K108" s="332"/>
      <c r="L108" s="332"/>
      <c r="M108" s="333"/>
    </row>
    <row r="109" spans="2:13">
      <c r="B109" s="132"/>
      <c r="C109" s="133"/>
      <c r="D109" s="134"/>
      <c r="E109" s="133"/>
      <c r="F109" s="133"/>
      <c r="G109" s="136"/>
      <c r="H109" s="136"/>
      <c r="I109" s="105"/>
      <c r="J109" s="331"/>
      <c r="K109" s="332"/>
      <c r="L109" s="332"/>
      <c r="M109" s="333"/>
    </row>
    <row r="110" spans="2:13">
      <c r="B110" s="132"/>
      <c r="C110" s="133"/>
      <c r="D110" s="134"/>
      <c r="E110" s="133"/>
      <c r="F110" s="133"/>
      <c r="G110" s="136"/>
      <c r="H110" s="136"/>
      <c r="I110" s="105"/>
      <c r="J110" s="331"/>
      <c r="K110" s="332"/>
      <c r="L110" s="332"/>
      <c r="M110" s="333"/>
    </row>
    <row r="111" spans="2:13">
      <c r="B111" s="132"/>
      <c r="C111" s="133"/>
      <c r="D111" s="134"/>
      <c r="E111" s="133"/>
      <c r="F111" s="133"/>
      <c r="G111" s="136"/>
      <c r="H111" s="136"/>
      <c r="I111" s="105"/>
      <c r="J111" s="331"/>
      <c r="K111" s="332"/>
      <c r="L111" s="332"/>
      <c r="M111" s="333"/>
    </row>
    <row r="112" spans="2:13">
      <c r="B112" s="132"/>
      <c r="C112" s="133"/>
      <c r="D112" s="134"/>
      <c r="E112" s="133"/>
      <c r="F112" s="133"/>
      <c r="G112" s="136"/>
      <c r="H112" s="136"/>
      <c r="I112" s="105"/>
      <c r="J112" s="331"/>
      <c r="K112" s="332"/>
      <c r="L112" s="332"/>
      <c r="M112" s="333"/>
    </row>
    <row r="113" spans="2:13">
      <c r="B113" s="132"/>
      <c r="C113" s="133"/>
      <c r="D113" s="134"/>
      <c r="E113" s="133"/>
      <c r="F113" s="133"/>
      <c r="G113" s="136"/>
      <c r="H113" s="136"/>
      <c r="I113" s="105"/>
      <c r="J113" s="331"/>
      <c r="K113" s="332"/>
      <c r="L113" s="332"/>
      <c r="M113" s="333"/>
    </row>
    <row r="114" spans="2:13">
      <c r="B114" s="132"/>
      <c r="C114" s="133"/>
      <c r="D114" s="134"/>
      <c r="E114" s="133"/>
      <c r="F114" s="133"/>
      <c r="G114" s="136"/>
      <c r="H114" s="136"/>
      <c r="I114" s="105"/>
      <c r="J114" s="331"/>
      <c r="K114" s="332"/>
      <c r="L114" s="332"/>
      <c r="M114" s="333"/>
    </row>
    <row r="115" spans="2:13">
      <c r="B115" s="132"/>
      <c r="C115" s="133"/>
      <c r="D115" s="134"/>
      <c r="E115" s="133"/>
      <c r="F115" s="133"/>
      <c r="G115" s="136"/>
      <c r="H115" s="136"/>
      <c r="I115" s="105"/>
      <c r="J115" s="331"/>
      <c r="K115" s="332"/>
      <c r="L115" s="332"/>
      <c r="M115" s="333"/>
    </row>
    <row r="116" spans="2:13">
      <c r="B116" s="132"/>
      <c r="C116" s="133"/>
      <c r="D116" s="134"/>
      <c r="E116" s="133"/>
      <c r="F116" s="133"/>
      <c r="G116" s="136"/>
      <c r="H116" s="136"/>
      <c r="I116" s="105"/>
      <c r="J116" s="331"/>
      <c r="K116" s="332"/>
      <c r="L116" s="332"/>
      <c r="M116" s="333"/>
    </row>
    <row r="117" spans="2:13">
      <c r="B117" s="132"/>
      <c r="C117" s="133"/>
      <c r="D117" s="134"/>
      <c r="E117" s="133"/>
      <c r="F117" s="133"/>
      <c r="G117" s="136"/>
      <c r="H117" s="136"/>
      <c r="I117" s="105"/>
      <c r="J117" s="331"/>
      <c r="K117" s="332"/>
      <c r="L117" s="332"/>
      <c r="M117" s="333"/>
    </row>
    <row r="118" spans="2:13">
      <c r="B118" s="132"/>
      <c r="C118" s="133"/>
      <c r="D118" s="134"/>
      <c r="E118" s="133"/>
      <c r="F118" s="133"/>
      <c r="G118" s="136"/>
      <c r="H118" s="136"/>
      <c r="I118" s="105"/>
      <c r="J118" s="331"/>
      <c r="K118" s="332"/>
      <c r="L118" s="332"/>
      <c r="M118" s="333"/>
    </row>
    <row r="119" spans="2:13">
      <c r="B119" s="132"/>
      <c r="C119" s="133"/>
      <c r="D119" s="134"/>
      <c r="E119" s="133"/>
      <c r="F119" s="133"/>
      <c r="G119" s="136"/>
      <c r="H119" s="136"/>
      <c r="I119" s="105"/>
      <c r="J119" s="331"/>
      <c r="K119" s="332"/>
      <c r="L119" s="332"/>
      <c r="M119" s="333"/>
    </row>
    <row r="120" spans="2:13" ht="15.75" thickBot="1">
      <c r="B120" s="143"/>
      <c r="C120" s="509"/>
      <c r="D120" s="510"/>
      <c r="E120" s="509"/>
      <c r="F120" s="509"/>
      <c r="G120" s="512"/>
      <c r="H120" s="512"/>
      <c r="I120" s="513"/>
      <c r="J120" s="331"/>
      <c r="K120" s="332"/>
      <c r="L120" s="332"/>
      <c r="M120" s="333"/>
    </row>
    <row r="121" spans="2:13" ht="15.75" thickBot="1">
      <c r="B121" s="139"/>
      <c r="G121" s="508">
        <f>SUM(G11:G115)</f>
        <v>12975.286956521741</v>
      </c>
      <c r="H121" s="508">
        <f>SUM(H11:H115)</f>
        <v>1634.8530434782608</v>
      </c>
      <c r="I121" s="508">
        <f>SUM(I11:I113)</f>
        <v>14610.849999999999</v>
      </c>
      <c r="J121" s="142"/>
      <c r="K121" s="138"/>
      <c r="L121" s="138"/>
    </row>
    <row r="122" spans="2:13" ht="16.5" thickTop="1" thickBot="1">
      <c r="B122" s="143"/>
      <c r="C122" s="144"/>
      <c r="D122" s="145"/>
      <c r="E122" s="145"/>
      <c r="F122" s="145"/>
      <c r="G122" s="146"/>
      <c r="H122" s="146"/>
      <c r="I122" s="147"/>
      <c r="L122" s="138"/>
    </row>
    <row r="123" spans="2:13">
      <c r="L123" s="138"/>
    </row>
    <row r="124" spans="2:13">
      <c r="L124" s="138"/>
    </row>
  </sheetData>
  <mergeCells count="3">
    <mergeCell ref="B1:I1"/>
    <mergeCell ref="B3:I3"/>
    <mergeCell ref="C5:E5"/>
  </mergeCells>
  <conditionalFormatting sqref="J1:J1048576">
    <cfRule type="containsText" dxfId="1" priority="1" operator="containsText" text="FALSE">
      <formula>NOT(ISERROR(SEARCH("FALSE",J1)))</formula>
    </cfRule>
    <cfRule type="containsText" dxfId="0" priority="2" operator="containsText" text="TRUE">
      <formula>NOT(ISERROR(SEARCH("TRUE",J1)))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09EB-9300-4591-9C96-AD216577458D}">
  <dimension ref="A1:E49"/>
  <sheetViews>
    <sheetView topLeftCell="A19" workbookViewId="0">
      <selection activeCell="A41" sqref="A41"/>
    </sheetView>
  </sheetViews>
  <sheetFormatPr defaultColWidth="20.42578125" defaultRowHeight="15"/>
  <cols>
    <col min="1" max="1" width="38.85546875" customWidth="1"/>
    <col min="5" max="5" width="22.7109375" customWidth="1"/>
  </cols>
  <sheetData>
    <row r="1" spans="1:5">
      <c r="A1" s="247" t="s">
        <v>149</v>
      </c>
      <c r="B1" s="247" t="s">
        <v>146</v>
      </c>
      <c r="C1" s="247" t="s">
        <v>147</v>
      </c>
      <c r="D1" s="247" t="s">
        <v>148</v>
      </c>
      <c r="E1" s="247" t="s">
        <v>153</v>
      </c>
    </row>
    <row r="2" spans="1:5">
      <c r="A2" s="246" t="s">
        <v>72</v>
      </c>
      <c r="B2" s="251" t="s">
        <v>150</v>
      </c>
      <c r="C2" s="246">
        <v>62025276511</v>
      </c>
      <c r="D2" s="246">
        <v>250942</v>
      </c>
      <c r="E2" s="259" t="s">
        <v>165</v>
      </c>
    </row>
    <row r="3" spans="1:5">
      <c r="A3" s="246" t="s">
        <v>129</v>
      </c>
      <c r="B3" s="246" t="s">
        <v>151</v>
      </c>
      <c r="C3" s="246">
        <v>1136627693</v>
      </c>
      <c r="D3" s="246">
        <v>198765</v>
      </c>
      <c r="E3" s="246" t="s">
        <v>155</v>
      </c>
    </row>
    <row r="4" spans="1:5">
      <c r="A4" s="246" t="s">
        <v>152</v>
      </c>
      <c r="B4" s="246" t="s">
        <v>150</v>
      </c>
      <c r="C4" s="246">
        <v>62052603878</v>
      </c>
      <c r="D4" s="246">
        <v>250054</v>
      </c>
      <c r="E4" s="246" t="s">
        <v>154</v>
      </c>
    </row>
    <row r="5" spans="1:5">
      <c r="A5" s="246" t="s">
        <v>156</v>
      </c>
      <c r="B5" s="246" t="s">
        <v>150</v>
      </c>
      <c r="C5" s="246">
        <v>62023475123</v>
      </c>
      <c r="D5" s="246">
        <v>254905</v>
      </c>
      <c r="E5" s="246" t="s">
        <v>157</v>
      </c>
    </row>
    <row r="6" spans="1:5">
      <c r="A6" s="246" t="s">
        <v>142</v>
      </c>
      <c r="B6" s="246" t="s">
        <v>150</v>
      </c>
      <c r="C6" s="246">
        <v>63155617203</v>
      </c>
      <c r="D6" s="246">
        <v>210554</v>
      </c>
      <c r="E6" s="246" t="s">
        <v>158</v>
      </c>
    </row>
    <row r="7" spans="1:5">
      <c r="A7" s="246" t="s">
        <v>159</v>
      </c>
      <c r="B7" s="246" t="s">
        <v>150</v>
      </c>
      <c r="C7" s="246">
        <v>62284328939</v>
      </c>
      <c r="D7" s="246">
        <v>255005</v>
      </c>
      <c r="E7" s="246" t="s">
        <v>160</v>
      </c>
    </row>
    <row r="8" spans="1:5">
      <c r="A8" s="246" t="s">
        <v>95</v>
      </c>
      <c r="B8" s="246" t="s">
        <v>161</v>
      </c>
      <c r="C8" s="246">
        <v>1152157299</v>
      </c>
      <c r="D8" s="246">
        <v>198765</v>
      </c>
      <c r="E8" s="246" t="s">
        <v>162</v>
      </c>
    </row>
    <row r="9" spans="1:5">
      <c r="A9" s="246" t="s">
        <v>163</v>
      </c>
      <c r="B9" s="246" t="s">
        <v>164</v>
      </c>
      <c r="C9" s="245" t="s">
        <v>174</v>
      </c>
      <c r="D9" s="422">
        <v>51001</v>
      </c>
      <c r="E9" s="246" t="s">
        <v>165</v>
      </c>
    </row>
    <row r="10" spans="1:5">
      <c r="A10" s="246" t="s">
        <v>121</v>
      </c>
      <c r="B10" s="246" t="s">
        <v>164</v>
      </c>
      <c r="C10" s="246">
        <v>333210573</v>
      </c>
      <c r="D10" s="422">
        <v>51001</v>
      </c>
      <c r="E10" s="246" t="s">
        <v>166</v>
      </c>
    </row>
    <row r="11" spans="1:5">
      <c r="A11" s="246" t="s">
        <v>169</v>
      </c>
      <c r="B11" s="246" t="s">
        <v>164</v>
      </c>
      <c r="C11" s="246">
        <v>220836183</v>
      </c>
      <c r="D11" s="422">
        <v>51001</v>
      </c>
      <c r="E11" s="246" t="s">
        <v>170</v>
      </c>
    </row>
    <row r="12" spans="1:5">
      <c r="A12" s="246" t="s">
        <v>171</v>
      </c>
      <c r="B12" s="246" t="s">
        <v>161</v>
      </c>
      <c r="C12" s="246">
        <v>1047621851</v>
      </c>
      <c r="D12" s="246">
        <v>12884200</v>
      </c>
      <c r="E12" s="246" t="s">
        <v>165</v>
      </c>
    </row>
    <row r="13" spans="1:5">
      <c r="A13" s="246" t="s">
        <v>172</v>
      </c>
      <c r="B13" s="246" t="s">
        <v>150</v>
      </c>
      <c r="C13" s="246">
        <v>51090020178</v>
      </c>
      <c r="D13" s="246">
        <v>252242</v>
      </c>
      <c r="E13" s="246" t="s">
        <v>173</v>
      </c>
    </row>
    <row r="14" spans="1:5">
      <c r="A14" s="246" t="s">
        <v>175</v>
      </c>
      <c r="B14" s="246" t="s">
        <v>176</v>
      </c>
      <c r="C14" s="246">
        <v>1018984208</v>
      </c>
      <c r="D14" s="246">
        <v>12860590</v>
      </c>
      <c r="E14" s="246" t="s">
        <v>177</v>
      </c>
    </row>
    <row r="15" spans="1:5">
      <c r="A15" s="246" t="s">
        <v>140</v>
      </c>
      <c r="B15" s="246" t="s">
        <v>150</v>
      </c>
      <c r="C15" s="261" t="s">
        <v>193</v>
      </c>
      <c r="D15" s="245" t="s">
        <v>194</v>
      </c>
      <c r="E15" s="258">
        <v>152110</v>
      </c>
    </row>
    <row r="16" spans="1:5">
      <c r="A16" s="259" t="s">
        <v>195</v>
      </c>
      <c r="B16" s="259" t="s">
        <v>176</v>
      </c>
      <c r="C16" s="261">
        <v>4053692844</v>
      </c>
      <c r="D16" s="246">
        <v>632005</v>
      </c>
      <c r="E16" s="260" t="s">
        <v>177</v>
      </c>
    </row>
    <row r="17" spans="1:5">
      <c r="A17" s="259" t="s">
        <v>196</v>
      </c>
      <c r="B17" s="259" t="s">
        <v>150</v>
      </c>
      <c r="C17" s="261">
        <v>62481507667</v>
      </c>
      <c r="D17" s="245">
        <v>255005</v>
      </c>
      <c r="E17" s="260" t="s">
        <v>197</v>
      </c>
    </row>
    <row r="18" spans="1:5">
      <c r="A18" s="273" t="s">
        <v>135</v>
      </c>
      <c r="B18" s="273" t="s">
        <v>176</v>
      </c>
      <c r="C18" s="261">
        <v>4046921173</v>
      </c>
      <c r="D18" s="246">
        <v>632005</v>
      </c>
      <c r="E18" s="274" t="s">
        <v>165</v>
      </c>
    </row>
    <row r="19" spans="1:5">
      <c r="A19" s="273" t="s">
        <v>214</v>
      </c>
      <c r="B19" s="273" t="s">
        <v>164</v>
      </c>
      <c r="C19" s="261">
        <v>201600986</v>
      </c>
      <c r="D19" s="246">
        <v>57829</v>
      </c>
      <c r="E19" s="274" t="s">
        <v>165</v>
      </c>
    </row>
    <row r="20" spans="1:5">
      <c r="A20" s="273" t="s">
        <v>215</v>
      </c>
      <c r="B20" s="273" t="s">
        <v>150</v>
      </c>
      <c r="C20" s="257">
        <v>62086043404</v>
      </c>
      <c r="D20" s="246">
        <v>253442</v>
      </c>
      <c r="E20" s="274" t="s">
        <v>216</v>
      </c>
    </row>
    <row r="21" spans="1:5">
      <c r="A21" s="308" t="s">
        <v>282</v>
      </c>
      <c r="B21" s="308" t="s">
        <v>164</v>
      </c>
      <c r="C21" s="261">
        <v>300496893</v>
      </c>
      <c r="D21" s="422">
        <v>51001</v>
      </c>
      <c r="E21" s="310" t="s">
        <v>165</v>
      </c>
    </row>
    <row r="22" spans="1:5">
      <c r="A22" s="373" t="s">
        <v>221</v>
      </c>
      <c r="B22" s="373" t="s">
        <v>176</v>
      </c>
      <c r="C22" s="261">
        <v>4058755774</v>
      </c>
      <c r="D22" s="309">
        <v>505705</v>
      </c>
      <c r="E22" s="374" t="s">
        <v>165</v>
      </c>
    </row>
    <row r="23" spans="1:5">
      <c r="A23" s="373" t="s">
        <v>329</v>
      </c>
      <c r="B23" s="373" t="s">
        <v>176</v>
      </c>
      <c r="C23" s="261">
        <v>409758874</v>
      </c>
      <c r="D23" s="309">
        <v>632005</v>
      </c>
      <c r="E23" s="374" t="s">
        <v>165</v>
      </c>
    </row>
    <row r="24" spans="1:5">
      <c r="A24" s="389" t="s">
        <v>340</v>
      </c>
      <c r="B24" s="389" t="s">
        <v>150</v>
      </c>
      <c r="C24" s="261">
        <v>63012223383</v>
      </c>
      <c r="D24" s="309">
        <v>250955</v>
      </c>
      <c r="E24" s="390" t="s">
        <v>165</v>
      </c>
    </row>
    <row r="25" spans="1:5">
      <c r="A25" s="398" t="s">
        <v>351</v>
      </c>
      <c r="B25" s="398" t="s">
        <v>164</v>
      </c>
      <c r="C25" s="399" t="s">
        <v>352</v>
      </c>
      <c r="D25" s="309">
        <v>18305</v>
      </c>
      <c r="E25" s="400" t="s">
        <v>165</v>
      </c>
    </row>
    <row r="26" spans="1:5">
      <c r="A26" s="401" t="s">
        <v>353</v>
      </c>
      <c r="B26" s="401" t="s">
        <v>150</v>
      </c>
      <c r="C26" s="399">
        <v>63025373696</v>
      </c>
      <c r="D26" s="309">
        <v>250655</v>
      </c>
      <c r="E26" s="402" t="s">
        <v>355</v>
      </c>
    </row>
    <row r="27" spans="1:5">
      <c r="A27" s="417" t="s">
        <v>246</v>
      </c>
      <c r="B27" s="415" t="s">
        <v>150</v>
      </c>
      <c r="C27" s="399">
        <v>62027261990</v>
      </c>
      <c r="D27" s="309">
        <v>250655</v>
      </c>
      <c r="E27" s="416" t="s">
        <v>371</v>
      </c>
    </row>
    <row r="28" spans="1:5">
      <c r="A28" s="419" t="s">
        <v>392</v>
      </c>
      <c r="B28" s="419" t="s">
        <v>164</v>
      </c>
      <c r="C28" s="420" t="s">
        <v>393</v>
      </c>
      <c r="D28" s="422">
        <v>51001</v>
      </c>
      <c r="E28" s="421" t="s">
        <v>394</v>
      </c>
    </row>
    <row r="29" spans="1:5">
      <c r="A29" s="499" t="s">
        <v>433</v>
      </c>
      <c r="B29" s="499" t="s">
        <v>164</v>
      </c>
      <c r="C29" s="500" t="s">
        <v>434</v>
      </c>
      <c r="D29" s="501" t="s">
        <v>435</v>
      </c>
      <c r="E29" s="421">
        <v>12299</v>
      </c>
    </row>
    <row r="30" spans="1:5">
      <c r="A30" s="516" t="s">
        <v>449</v>
      </c>
      <c r="B30" s="516" t="s">
        <v>150</v>
      </c>
      <c r="C30" s="500">
        <v>62765809234</v>
      </c>
      <c r="D30" s="501">
        <v>250655</v>
      </c>
      <c r="E30" s="517" t="s">
        <v>165</v>
      </c>
    </row>
    <row r="31" spans="1:5">
      <c r="A31" s="246" t="s">
        <v>167</v>
      </c>
      <c r="B31" s="534" t="s">
        <v>164</v>
      </c>
      <c r="C31" s="535" t="s">
        <v>454</v>
      </c>
      <c r="D31" s="535" t="s">
        <v>455</v>
      </c>
      <c r="E31" s="534" t="s">
        <v>456</v>
      </c>
    </row>
    <row r="32" spans="1:5">
      <c r="A32" s="246" t="s">
        <v>168</v>
      </c>
      <c r="B32" s="534" t="s">
        <v>176</v>
      </c>
      <c r="C32" s="246">
        <v>4071247421</v>
      </c>
      <c r="D32" s="246">
        <v>632005</v>
      </c>
      <c r="E32" s="534" t="s">
        <v>165</v>
      </c>
    </row>
    <row r="33" spans="1:5">
      <c r="A33" s="25" t="s">
        <v>526</v>
      </c>
      <c r="B33" s="25" t="s">
        <v>176</v>
      </c>
      <c r="C33" s="25">
        <v>4050447004</v>
      </c>
      <c r="D33" s="25">
        <v>632005</v>
      </c>
      <c r="E33" s="25" t="s">
        <v>165</v>
      </c>
    </row>
    <row r="34" spans="1:5">
      <c r="A34" s="25" t="s">
        <v>539</v>
      </c>
      <c r="B34" s="25" t="s">
        <v>176</v>
      </c>
      <c r="C34" s="25">
        <v>4092050394</v>
      </c>
      <c r="D34" s="25">
        <v>632005</v>
      </c>
      <c r="E34" s="600" t="s">
        <v>540</v>
      </c>
    </row>
    <row r="35" spans="1:5">
      <c r="A35" s="25" t="s">
        <v>543</v>
      </c>
      <c r="B35" s="25" t="s">
        <v>544</v>
      </c>
      <c r="C35" s="25">
        <v>1130215210</v>
      </c>
      <c r="D35" s="25">
        <v>182505</v>
      </c>
      <c r="E35" s="25" t="s">
        <v>166</v>
      </c>
    </row>
    <row r="36" spans="1:5">
      <c r="A36" s="25" t="s">
        <v>568</v>
      </c>
      <c r="B36" s="25" t="s">
        <v>164</v>
      </c>
      <c r="C36" s="627" t="s">
        <v>569</v>
      </c>
      <c r="D36" s="627" t="s">
        <v>570</v>
      </c>
      <c r="E36" s="628" t="s">
        <v>571</v>
      </c>
    </row>
    <row r="37" spans="1:5">
      <c r="A37" s="636" t="s">
        <v>576</v>
      </c>
      <c r="B37" s="636" t="s">
        <v>544</v>
      </c>
      <c r="C37" s="25">
        <v>1758004908</v>
      </c>
      <c r="D37" s="25">
        <v>175841</v>
      </c>
      <c r="E37" s="636" t="s">
        <v>577</v>
      </c>
    </row>
    <row r="38" spans="1:5">
      <c r="A38" s="25" t="s">
        <v>601</v>
      </c>
      <c r="B38" s="25" t="s">
        <v>150</v>
      </c>
      <c r="C38" s="25">
        <v>62635255591</v>
      </c>
      <c r="D38" s="25">
        <v>250655</v>
      </c>
      <c r="E38" s="25" t="s">
        <v>602</v>
      </c>
    </row>
    <row r="39" spans="1:5" ht="15.75" thickBot="1">
      <c r="A39" s="25" t="s">
        <v>665</v>
      </c>
      <c r="B39" s="25" t="s">
        <v>682</v>
      </c>
      <c r="C39" s="25">
        <v>300314949</v>
      </c>
      <c r="D39" s="25">
        <v>12142</v>
      </c>
      <c r="E39" s="25" t="s">
        <v>683</v>
      </c>
    </row>
    <row r="40" spans="1:5" ht="15.75" thickBot="1">
      <c r="A40" s="744" t="s">
        <v>666</v>
      </c>
      <c r="B40" s="745" t="s">
        <v>150</v>
      </c>
      <c r="C40" s="25">
        <v>62224435504</v>
      </c>
      <c r="D40" s="746">
        <v>255005</v>
      </c>
      <c r="E40" s="747">
        <v>13890201</v>
      </c>
    </row>
    <row r="41" spans="1:5" ht="15.75" thickBot="1">
      <c r="A41" s="744"/>
      <c r="B41" s="25"/>
      <c r="C41" s="25"/>
      <c r="D41" s="25"/>
      <c r="E41" s="25"/>
    </row>
    <row r="42" spans="1:5">
      <c r="A42" s="744"/>
      <c r="B42" s="25"/>
      <c r="C42" s="25"/>
      <c r="D42" s="25"/>
      <c r="E42" s="25"/>
    </row>
    <row r="43" spans="1:5">
      <c r="A43" s="25"/>
      <c r="B43" s="25"/>
      <c r="C43" s="25"/>
      <c r="D43" s="25"/>
      <c r="E43" s="25"/>
    </row>
    <row r="44" spans="1:5">
      <c r="A44" s="25"/>
      <c r="B44" s="25"/>
      <c r="C44" s="25"/>
      <c r="D44" s="25"/>
      <c r="E44" s="25"/>
    </row>
    <row r="45" spans="1:5">
      <c r="A45" s="25"/>
      <c r="B45" s="25"/>
      <c r="C45" s="25"/>
      <c r="D45" s="25"/>
      <c r="E45" s="25"/>
    </row>
    <row r="46" spans="1:5">
      <c r="A46" s="25"/>
      <c r="B46" s="25"/>
      <c r="C46" s="25"/>
      <c r="D46" s="25"/>
      <c r="E46" s="25"/>
    </row>
    <row r="47" spans="1:5">
      <c r="A47" s="25"/>
      <c r="B47" s="25"/>
      <c r="C47" s="25"/>
      <c r="D47" s="25"/>
      <c r="E47" s="25"/>
    </row>
    <row r="48" spans="1:5">
      <c r="A48" s="25"/>
      <c r="B48" s="25"/>
      <c r="C48" s="25"/>
      <c r="D48" s="25"/>
      <c r="E48" s="25"/>
    </row>
    <row r="49" spans="1:5">
      <c r="A49" s="25"/>
      <c r="B49" s="25"/>
      <c r="C49" s="25"/>
      <c r="D49" s="25"/>
      <c r="E49" s="25"/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1DACE-0320-4FF2-80D0-65F8D76B834E}">
  <dimension ref="A1:C26"/>
  <sheetViews>
    <sheetView workbookViewId="0">
      <selection activeCell="B18" sqref="B18"/>
    </sheetView>
  </sheetViews>
  <sheetFormatPr defaultRowHeight="15"/>
  <cols>
    <col min="1" max="1" width="20" customWidth="1"/>
    <col min="2" max="2" width="16" customWidth="1"/>
    <col min="3" max="3" width="16.140625" customWidth="1"/>
  </cols>
  <sheetData>
    <row r="1" spans="1:3">
      <c r="A1" s="253" t="s">
        <v>224</v>
      </c>
      <c r="B1" s="253" t="s">
        <v>225</v>
      </c>
      <c r="C1" s="253" t="s">
        <v>226</v>
      </c>
    </row>
    <row r="2" spans="1:3">
      <c r="A2" s="25"/>
      <c r="B2" s="25"/>
      <c r="C2" s="25"/>
    </row>
    <row r="3" spans="1:3">
      <c r="A3" s="300" t="s">
        <v>72</v>
      </c>
      <c r="B3" s="300" t="s">
        <v>223</v>
      </c>
      <c r="C3" s="300" t="s">
        <v>229</v>
      </c>
    </row>
    <row r="4" spans="1:3">
      <c r="A4" s="300" t="s">
        <v>163</v>
      </c>
      <c r="B4" s="300" t="s">
        <v>227</v>
      </c>
      <c r="C4" s="300" t="s">
        <v>228</v>
      </c>
    </row>
    <row r="5" spans="1:3">
      <c r="A5" s="300" t="s">
        <v>230</v>
      </c>
      <c r="B5" s="300" t="s">
        <v>231</v>
      </c>
      <c r="C5" s="300" t="s">
        <v>232</v>
      </c>
    </row>
    <row r="6" spans="1:3">
      <c r="A6" s="300" t="s">
        <v>121</v>
      </c>
      <c r="B6" s="300" t="s">
        <v>233</v>
      </c>
      <c r="C6" s="300" t="s">
        <v>234</v>
      </c>
    </row>
    <row r="7" spans="1:3">
      <c r="A7" s="300" t="s">
        <v>235</v>
      </c>
      <c r="B7" s="25"/>
      <c r="C7" s="300" t="s">
        <v>242</v>
      </c>
    </row>
    <row r="8" spans="1:3">
      <c r="A8" s="300" t="s">
        <v>236</v>
      </c>
      <c r="B8" s="300" t="s">
        <v>237</v>
      </c>
      <c r="C8" s="300" t="s">
        <v>238</v>
      </c>
    </row>
    <row r="9" spans="1:3">
      <c r="A9" s="300" t="s">
        <v>142</v>
      </c>
      <c r="B9" s="300" t="s">
        <v>239</v>
      </c>
      <c r="C9" s="300" t="s">
        <v>240</v>
      </c>
    </row>
    <row r="10" spans="1:3">
      <c r="A10" s="300" t="s">
        <v>92</v>
      </c>
      <c r="B10" s="25"/>
      <c r="C10" s="300" t="s">
        <v>241</v>
      </c>
    </row>
    <row r="11" spans="1:3">
      <c r="A11" s="300" t="s">
        <v>243</v>
      </c>
      <c r="B11" s="300" t="s">
        <v>244</v>
      </c>
      <c r="C11" s="300" t="s">
        <v>245</v>
      </c>
    </row>
    <row r="12" spans="1:3">
      <c r="A12" s="300" t="s">
        <v>246</v>
      </c>
      <c r="B12" s="300" t="s">
        <v>247</v>
      </c>
      <c r="C12" s="300" t="s">
        <v>248</v>
      </c>
    </row>
    <row r="13" spans="1:3">
      <c r="A13" s="300" t="s">
        <v>249</v>
      </c>
      <c r="B13" s="300" t="s">
        <v>250</v>
      </c>
      <c r="C13" s="300" t="s">
        <v>251</v>
      </c>
    </row>
    <row r="14" spans="1:3">
      <c r="A14" s="300" t="s">
        <v>152</v>
      </c>
      <c r="B14" s="300" t="s">
        <v>252</v>
      </c>
      <c r="C14" s="300" t="s">
        <v>253</v>
      </c>
    </row>
    <row r="15" spans="1:3">
      <c r="A15" s="300" t="s">
        <v>254</v>
      </c>
      <c r="B15" s="300" t="s">
        <v>255</v>
      </c>
      <c r="C15" s="300" t="s">
        <v>256</v>
      </c>
    </row>
    <row r="16" spans="1:3">
      <c r="A16" s="300" t="s">
        <v>257</v>
      </c>
      <c r="B16" s="300" t="s">
        <v>258</v>
      </c>
      <c r="C16" s="300" t="s">
        <v>259</v>
      </c>
    </row>
    <row r="17" spans="1:3">
      <c r="A17" s="300" t="s">
        <v>260</v>
      </c>
      <c r="B17" s="300" t="s">
        <v>261</v>
      </c>
      <c r="C17" s="300" t="s">
        <v>262</v>
      </c>
    </row>
    <row r="18" spans="1:3">
      <c r="A18" s="300" t="s">
        <v>129</v>
      </c>
      <c r="B18" s="300" t="s">
        <v>263</v>
      </c>
      <c r="C18" s="300" t="s">
        <v>264</v>
      </c>
    </row>
    <row r="19" spans="1:3">
      <c r="A19" s="300" t="s">
        <v>167</v>
      </c>
      <c r="B19" s="25"/>
      <c r="C19" s="300" t="s">
        <v>265</v>
      </c>
    </row>
    <row r="20" spans="1:3">
      <c r="A20" s="300" t="s">
        <v>168</v>
      </c>
      <c r="B20" s="25"/>
      <c r="C20" s="300" t="s">
        <v>268</v>
      </c>
    </row>
    <row r="21" spans="1:3">
      <c r="A21" s="300" t="s">
        <v>172</v>
      </c>
      <c r="B21" s="300" t="s">
        <v>266</v>
      </c>
      <c r="C21" s="300" t="s">
        <v>267</v>
      </c>
    </row>
    <row r="22" spans="1:3">
      <c r="A22" s="300" t="s">
        <v>144</v>
      </c>
      <c r="B22" s="300" t="s">
        <v>269</v>
      </c>
      <c r="C22" s="300" t="s">
        <v>270</v>
      </c>
    </row>
    <row r="23" spans="1:3">
      <c r="A23" s="300" t="s">
        <v>105</v>
      </c>
      <c r="B23" s="300" t="s">
        <v>271</v>
      </c>
      <c r="C23" s="300" t="s">
        <v>272</v>
      </c>
    </row>
    <row r="24" spans="1:3">
      <c r="A24" s="300" t="s">
        <v>78</v>
      </c>
      <c r="B24" s="25"/>
      <c r="C24" s="300" t="s">
        <v>273</v>
      </c>
    </row>
    <row r="25" spans="1:3">
      <c r="A25" s="25"/>
      <c r="B25" s="25"/>
      <c r="C25" s="25"/>
    </row>
    <row r="26" spans="1:3">
      <c r="A26" s="25"/>
      <c r="B26" s="25"/>
      <c r="C26" s="25"/>
    </row>
  </sheetData>
  <phoneticPr fontId="136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00790-6FDE-4A88-AB86-2CBBCEE74895}">
  <dimension ref="A1:T41"/>
  <sheetViews>
    <sheetView workbookViewId="0">
      <selection activeCell="K38" sqref="K38"/>
    </sheetView>
  </sheetViews>
  <sheetFormatPr defaultRowHeight="15"/>
  <cols>
    <col min="1" max="1" width="14.42578125" customWidth="1"/>
    <col min="2" max="4" width="12.140625" customWidth="1"/>
    <col min="5" max="5" width="13.42578125" customWidth="1"/>
    <col min="7" max="8" width="13.5703125" customWidth="1"/>
    <col min="9" max="11" width="13.85546875" customWidth="1"/>
    <col min="12" max="12" width="14.42578125" customWidth="1"/>
  </cols>
  <sheetData>
    <row r="1" spans="1:14">
      <c r="A1" s="253" t="s">
        <v>180</v>
      </c>
      <c r="B1" s="253" t="s">
        <v>183</v>
      </c>
      <c r="C1" s="253" t="s">
        <v>184</v>
      </c>
      <c r="D1" s="253" t="s">
        <v>185</v>
      </c>
      <c r="E1" s="253" t="s">
        <v>181</v>
      </c>
      <c r="F1" s="247"/>
      <c r="G1" s="247" t="s">
        <v>186</v>
      </c>
      <c r="H1" s="247" t="s">
        <v>187</v>
      </c>
      <c r="I1" s="247" t="s">
        <v>188</v>
      </c>
      <c r="J1" s="247" t="s">
        <v>189</v>
      </c>
      <c r="K1" s="247" t="s">
        <v>190</v>
      </c>
      <c r="L1" s="247" t="s">
        <v>191</v>
      </c>
      <c r="M1" s="252"/>
    </row>
    <row r="2" spans="1:14">
      <c r="A2" s="25"/>
      <c r="B2" s="25"/>
      <c r="C2" s="25"/>
      <c r="D2" s="25"/>
      <c r="E2" s="25"/>
      <c r="F2" s="25"/>
      <c r="G2" s="25"/>
      <c r="H2" s="25"/>
      <c r="I2" s="255"/>
      <c r="J2" s="25"/>
      <c r="K2" s="25"/>
      <c r="L2" s="25"/>
    </row>
    <row r="3" spans="1:14">
      <c r="A3" s="246" t="s">
        <v>182</v>
      </c>
      <c r="B3" s="25">
        <v>5987</v>
      </c>
      <c r="C3" s="25">
        <v>11986</v>
      </c>
      <c r="D3" s="25">
        <v>12051</v>
      </c>
      <c r="E3" s="254">
        <v>568559.68999999994</v>
      </c>
      <c r="F3" s="254"/>
      <c r="G3" s="296">
        <v>18.109000000000002</v>
      </c>
      <c r="H3" s="296">
        <v>18.259</v>
      </c>
      <c r="I3" s="297">
        <v>20.021999999999998</v>
      </c>
      <c r="J3" s="254">
        <v>21.26</v>
      </c>
      <c r="K3" s="254">
        <v>21.39</v>
      </c>
      <c r="L3" s="25"/>
      <c r="N3">
        <f>18.11-21.26</f>
        <v>-3.1500000000000021</v>
      </c>
    </row>
    <row r="4" spans="1:14">
      <c r="A4" s="246" t="s">
        <v>75</v>
      </c>
      <c r="B4" s="25">
        <v>3036</v>
      </c>
      <c r="C4" s="25">
        <v>2018</v>
      </c>
      <c r="D4" s="25">
        <v>12013</v>
      </c>
      <c r="E4" s="254">
        <v>324086.34000000003</v>
      </c>
      <c r="F4" s="254"/>
      <c r="G4" s="296">
        <v>18.478999999999999</v>
      </c>
      <c r="H4" s="296">
        <v>18.588999999999999</v>
      </c>
      <c r="I4" s="298">
        <v>19.184999999999999</v>
      </c>
      <c r="J4" s="254">
        <v>20.64</v>
      </c>
      <c r="K4" s="254">
        <v>21.39</v>
      </c>
      <c r="L4" s="254">
        <v>21.6</v>
      </c>
      <c r="N4" s="275">
        <f>G4-J4</f>
        <v>-2.1610000000000014</v>
      </c>
    </row>
    <row r="5" spans="1:14">
      <c r="A5" s="246" t="s">
        <v>102</v>
      </c>
      <c r="B5" s="25">
        <v>5900</v>
      </c>
      <c r="C5" s="25">
        <v>19932</v>
      </c>
      <c r="D5" s="25"/>
      <c r="E5" s="254">
        <v>479534.3</v>
      </c>
      <c r="F5" s="254"/>
      <c r="G5" s="296">
        <v>18.478999999999999</v>
      </c>
      <c r="H5" s="296">
        <v>18.588999999999999</v>
      </c>
      <c r="I5" s="256"/>
      <c r="J5" s="254">
        <v>20.64</v>
      </c>
      <c r="K5" s="254">
        <v>21.39</v>
      </c>
      <c r="L5" s="254">
        <v>21.6</v>
      </c>
      <c r="N5" s="275">
        <f>G5-J5</f>
        <v>-2.1610000000000014</v>
      </c>
    </row>
    <row r="6" spans="1:14">
      <c r="A6" s="246" t="s">
        <v>115</v>
      </c>
      <c r="B6" s="25"/>
      <c r="C6" s="25">
        <v>10918</v>
      </c>
      <c r="D6" s="25">
        <v>5900</v>
      </c>
      <c r="E6" s="254">
        <v>316144.7</v>
      </c>
      <c r="F6" s="254"/>
      <c r="G6" s="254"/>
      <c r="H6" s="296">
        <v>18.588999999999999</v>
      </c>
      <c r="I6" s="299">
        <v>19.184999999999999</v>
      </c>
      <c r="J6" s="254"/>
      <c r="K6" s="254">
        <v>21.39</v>
      </c>
      <c r="L6" s="254">
        <v>21.6</v>
      </c>
    </row>
    <row r="7" spans="1:14">
      <c r="A7" s="25" t="s">
        <v>219</v>
      </c>
      <c r="B7" s="25"/>
      <c r="C7" s="25">
        <v>19982</v>
      </c>
      <c r="D7" s="25">
        <v>5900</v>
      </c>
      <c r="E7" s="294">
        <v>468281.37</v>
      </c>
      <c r="F7" s="25"/>
      <c r="G7" s="25"/>
      <c r="H7" s="295">
        <v>17.938700000000001</v>
      </c>
      <c r="I7" s="295">
        <v>18.615300000000001</v>
      </c>
      <c r="J7" s="25"/>
      <c r="K7" s="294">
        <v>20.100000000000001</v>
      </c>
      <c r="L7" s="294">
        <v>21.03</v>
      </c>
    </row>
    <row r="8" spans="1:14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</row>
    <row r="9" spans="1:14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</row>
    <row r="10" spans="1:14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</row>
    <row r="11" spans="1:14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</row>
    <row r="12" spans="1:14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</row>
    <row r="13" spans="1:14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</row>
    <row r="14" spans="1:14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5" spans="1:14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</row>
    <row r="16" spans="1:14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20">
      <c r="A17" s="246" t="s">
        <v>192</v>
      </c>
      <c r="B17" s="25"/>
      <c r="C17" s="25"/>
      <c r="D17" s="25"/>
      <c r="E17" s="254">
        <v>-232550.22</v>
      </c>
      <c r="F17" s="25"/>
      <c r="G17" s="25"/>
      <c r="H17" s="25"/>
      <c r="I17" s="25"/>
      <c r="J17" s="25"/>
      <c r="K17" s="25"/>
      <c r="L17" s="25"/>
    </row>
    <row r="18" spans="1:20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</row>
    <row r="19" spans="1:20">
      <c r="A19" s="246" t="s">
        <v>69</v>
      </c>
      <c r="B19" s="25">
        <f>SUM(B3:B18)</f>
        <v>14923</v>
      </c>
      <c r="C19" s="25">
        <f>SUM(C3:C18)</f>
        <v>64836</v>
      </c>
      <c r="D19" s="25">
        <f>SUM(D3:D18)</f>
        <v>35864</v>
      </c>
      <c r="E19" s="254">
        <f>SUM(E3:E18)</f>
        <v>1924056.18</v>
      </c>
      <c r="F19" s="25"/>
      <c r="G19" s="25"/>
      <c r="H19" s="25"/>
      <c r="I19" s="25"/>
      <c r="J19" s="25"/>
      <c r="K19" s="25"/>
      <c r="L19" s="25"/>
    </row>
    <row r="21" spans="1:20">
      <c r="A21" s="253" t="s">
        <v>199</v>
      </c>
      <c r="B21" s="253" t="s">
        <v>200</v>
      </c>
      <c r="C21" s="253" t="s">
        <v>202</v>
      </c>
      <c r="D21" s="253" t="s">
        <v>201</v>
      </c>
    </row>
    <row r="22" spans="1:20">
      <c r="A22" s="25"/>
      <c r="B22" s="25"/>
      <c r="C22" s="25"/>
      <c r="D22" s="25"/>
    </row>
    <row r="23" spans="1:20">
      <c r="A23" s="25">
        <v>-232550.22</v>
      </c>
      <c r="B23" s="25" t="s">
        <v>198</v>
      </c>
      <c r="C23" s="25">
        <v>11615.89</v>
      </c>
      <c r="D23" s="25">
        <f>12051-11615</f>
        <v>436</v>
      </c>
      <c r="E23">
        <f>D23*20.02</f>
        <v>8728.7199999999993</v>
      </c>
      <c r="I23">
        <v>8728.7199999999993</v>
      </c>
      <c r="O23" s="781" t="s">
        <v>312</v>
      </c>
      <c r="P23" s="782"/>
      <c r="Q23" s="782"/>
      <c r="R23" s="782"/>
      <c r="S23" s="782"/>
      <c r="T23" s="783"/>
    </row>
    <row r="24" spans="1:20">
      <c r="A24" s="25"/>
      <c r="B24" s="25"/>
      <c r="C24" s="25">
        <v>6618</v>
      </c>
      <c r="D24" s="25">
        <v>392</v>
      </c>
      <c r="E24">
        <f>19.19*6618</f>
        <v>126999.42000000001</v>
      </c>
      <c r="F24" s="262" t="s">
        <v>203</v>
      </c>
      <c r="I24">
        <f>D24*19.19</f>
        <v>7522.4800000000005</v>
      </c>
      <c r="O24" s="253">
        <v>93</v>
      </c>
      <c r="P24" s="253" t="s">
        <v>310</v>
      </c>
      <c r="Q24" s="253">
        <v>95</v>
      </c>
      <c r="R24" s="253" t="s">
        <v>310</v>
      </c>
      <c r="S24" s="247" t="s">
        <v>185</v>
      </c>
      <c r="T24" s="354" t="s">
        <v>310</v>
      </c>
    </row>
    <row r="25" spans="1:20">
      <c r="A25" s="25"/>
      <c r="B25" s="25"/>
      <c r="C25" s="25"/>
      <c r="D25" s="25"/>
      <c r="O25" s="25">
        <f>0.94+0.62+2.48+7.28+10.17+7.72+5.33+3.24+1.17+2.91+43.35+10.57+80+80+0.73+0.74+80+70</f>
        <v>407.25</v>
      </c>
      <c r="P25" s="25">
        <f>407.25*17.83</f>
        <v>7261.267499999999</v>
      </c>
      <c r="Q25" s="25">
        <f>0.89+0.88+0.94+0.86+0.81+0.9+0.89+21.13+160.89+189+20.01+20.09+158.06+200+0.01+4.81+5.06+4.61+6.28+13.59+7.09+0.2+4.29+6.26+0.01+4.71+5.63+4.24+0.02</f>
        <v>842.15999999999985</v>
      </c>
      <c r="R25" s="25">
        <f>842.16*17.93</f>
        <v>15099.9288</v>
      </c>
      <c r="S25" s="25">
        <f>70+70+70+45+25+70</f>
        <v>350</v>
      </c>
      <c r="T25" s="25">
        <f>350*18.62</f>
        <v>6517</v>
      </c>
    </row>
    <row r="26" spans="1:20">
      <c r="A26" s="25"/>
      <c r="B26" s="25"/>
      <c r="C26" s="25">
        <f>4013+5814</f>
        <v>9827</v>
      </c>
      <c r="D26" s="25"/>
      <c r="O26" s="781" t="s">
        <v>311</v>
      </c>
      <c r="P26" s="782"/>
      <c r="Q26" s="782"/>
      <c r="R26" s="782"/>
      <c r="S26" s="782"/>
      <c r="T26" s="783"/>
    </row>
    <row r="27" spans="1:20">
      <c r="A27" s="25"/>
      <c r="B27" s="25"/>
      <c r="C27" s="25"/>
      <c r="D27" s="25"/>
      <c r="E27">
        <f>29964-11615</f>
        <v>18349</v>
      </c>
      <c r="F27">
        <f>E27-D23</f>
        <v>17913</v>
      </c>
      <c r="G27" s="275">
        <f>F27*I4</f>
        <v>343660.90499999997</v>
      </c>
      <c r="O27" s="25"/>
      <c r="P27" s="25"/>
      <c r="Q27" s="25">
        <f>18+74</f>
        <v>92</v>
      </c>
      <c r="R27" s="25">
        <f>92*17.93</f>
        <v>1649.56</v>
      </c>
      <c r="S27" s="25"/>
      <c r="T27" s="25"/>
    </row>
    <row r="28" spans="1:20">
      <c r="A28" s="25"/>
      <c r="B28" s="25"/>
      <c r="C28" s="25"/>
      <c r="D28" s="25"/>
      <c r="F28">
        <v>436</v>
      </c>
      <c r="G28" s="275">
        <f>F28*I3</f>
        <v>8729.5919999999987</v>
      </c>
      <c r="O28" s="781" t="s">
        <v>313</v>
      </c>
      <c r="P28" s="782"/>
      <c r="Q28" s="782"/>
      <c r="R28" s="782"/>
      <c r="S28" s="782"/>
      <c r="T28" s="783"/>
    </row>
    <row r="29" spans="1:20">
      <c r="A29" s="25"/>
      <c r="B29" s="25"/>
      <c r="C29" s="25"/>
      <c r="D29" s="25"/>
      <c r="O29" s="25"/>
      <c r="P29" s="25"/>
      <c r="Q29" s="25"/>
      <c r="R29" s="25"/>
      <c r="S29" s="25">
        <f>4013+5814</f>
        <v>9827</v>
      </c>
      <c r="T29" s="25">
        <f>9827*19.18</f>
        <v>188481.86</v>
      </c>
    </row>
    <row r="30" spans="1:20">
      <c r="O30" s="784" t="s">
        <v>316</v>
      </c>
      <c r="P30" s="785"/>
      <c r="Q30" s="785"/>
      <c r="R30" s="785"/>
      <c r="S30" s="785"/>
      <c r="T30" s="786"/>
    </row>
    <row r="31" spans="1:20">
      <c r="O31" s="355"/>
      <c r="P31" s="355"/>
      <c r="Q31" s="355">
        <v>5121</v>
      </c>
      <c r="R31" s="355">
        <f>Q31*17.93</f>
        <v>91819.53</v>
      </c>
      <c r="S31" s="355">
        <v>177</v>
      </c>
      <c r="T31" s="355">
        <f>S31*19.18</f>
        <v>3394.86</v>
      </c>
    </row>
    <row r="32" spans="1:20">
      <c r="O32" s="781" t="s">
        <v>315</v>
      </c>
      <c r="P32" s="782"/>
      <c r="Q32" s="782"/>
      <c r="R32" s="782"/>
      <c r="S32" s="782"/>
      <c r="T32" s="783"/>
    </row>
    <row r="33" spans="15:20">
      <c r="O33" s="25"/>
      <c r="P33" s="25"/>
      <c r="Q33" s="25"/>
      <c r="R33" s="25"/>
      <c r="S33" s="25">
        <f>2491+2909</f>
        <v>5400</v>
      </c>
      <c r="T33" s="25">
        <f>S33*19.18</f>
        <v>103572</v>
      </c>
    </row>
    <row r="34" spans="15:20">
      <c r="O34" s="781" t="s">
        <v>314</v>
      </c>
      <c r="P34" s="782"/>
      <c r="Q34" s="782"/>
      <c r="R34" s="782"/>
      <c r="S34" s="782"/>
      <c r="T34" s="783"/>
    </row>
    <row r="35" spans="15:20">
      <c r="O35" s="25"/>
      <c r="P35" s="25"/>
      <c r="Q35" s="25"/>
      <c r="R35" s="25"/>
      <c r="S35" s="25">
        <v>286</v>
      </c>
      <c r="T35" s="25">
        <f>286*18.61</f>
        <v>5322.46</v>
      </c>
    </row>
    <row r="36" spans="15:20">
      <c r="O36" s="25"/>
      <c r="P36" s="25"/>
      <c r="Q36" s="25"/>
      <c r="R36" s="25"/>
      <c r="S36" s="25"/>
      <c r="T36" s="25"/>
    </row>
    <row r="38" spans="15:20">
      <c r="O38">
        <v>407.25</v>
      </c>
      <c r="Q38">
        <f>Q31+Q27+Q25</f>
        <v>6055.16</v>
      </c>
      <c r="S38">
        <f>S33+S31+S29+S25</f>
        <v>15754</v>
      </c>
    </row>
    <row r="41" spans="15:20">
      <c r="S41">
        <f>T35+T33+T31+T29+T25+R27+R25+P25+R31</f>
        <v>423118.46629999997</v>
      </c>
    </row>
  </sheetData>
  <mergeCells count="6">
    <mergeCell ref="O26:T26"/>
    <mergeCell ref="O23:T23"/>
    <mergeCell ref="O28:T28"/>
    <mergeCell ref="O34:T34"/>
    <mergeCell ref="O32:T32"/>
    <mergeCell ref="O30:T3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75F2D-F9BB-4AF3-AC08-916200899703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A3C77-0BD5-4AD2-BAB5-363A81EF26AD}">
  <dimension ref="A1:F23"/>
  <sheetViews>
    <sheetView workbookViewId="0">
      <selection activeCell="A12" sqref="A12"/>
    </sheetView>
  </sheetViews>
  <sheetFormatPr defaultRowHeight="15"/>
  <sheetData>
    <row r="1" spans="1:6" ht="33.75">
      <c r="A1" s="787" t="s">
        <v>472</v>
      </c>
      <c r="B1" s="787"/>
      <c r="C1" s="787"/>
      <c r="D1" s="787"/>
      <c r="E1" s="787"/>
      <c r="F1" s="787"/>
    </row>
    <row r="2" spans="1:6" ht="33.75">
      <c r="A2" s="788">
        <v>33</v>
      </c>
      <c r="B2" s="788"/>
      <c r="C2" s="788"/>
      <c r="D2" s="788"/>
      <c r="E2" s="788"/>
      <c r="F2" s="788"/>
    </row>
    <row r="3" spans="1:6" ht="33.75">
      <c r="A3" s="547"/>
      <c r="B3" s="547"/>
      <c r="C3" s="547"/>
      <c r="D3" s="547"/>
    </row>
    <row r="4" spans="1:6" ht="33.75">
      <c r="A4" s="787" t="s">
        <v>473</v>
      </c>
      <c r="B4" s="787"/>
      <c r="C4" s="787"/>
      <c r="D4" s="787"/>
      <c r="E4" s="787"/>
      <c r="F4" s="787"/>
    </row>
    <row r="5" spans="1:6" ht="33.75">
      <c r="A5" s="788">
        <v>50</v>
      </c>
      <c r="B5" s="788"/>
      <c r="C5" s="788"/>
      <c r="D5" s="788"/>
      <c r="E5" s="788"/>
      <c r="F5" s="788"/>
    </row>
    <row r="6" spans="1:6" ht="33.75">
      <c r="A6" s="547"/>
      <c r="B6" s="547"/>
      <c r="C6" s="547"/>
      <c r="D6" s="547"/>
    </row>
    <row r="7" spans="1:6" ht="33.75">
      <c r="A7" s="787" t="s">
        <v>474</v>
      </c>
      <c r="B7" s="787"/>
      <c r="C7" s="787"/>
      <c r="D7" s="787"/>
      <c r="E7" s="787"/>
      <c r="F7" s="787"/>
    </row>
    <row r="8" spans="1:6" ht="33.75">
      <c r="A8" s="788">
        <v>45</v>
      </c>
      <c r="B8" s="788"/>
      <c r="C8" s="788"/>
      <c r="D8" s="788"/>
      <c r="E8" s="788"/>
      <c r="F8" s="788"/>
    </row>
    <row r="9" spans="1:6" ht="33.75">
      <c r="A9" s="547"/>
      <c r="B9" s="547"/>
      <c r="C9" s="547"/>
      <c r="D9" s="547"/>
    </row>
    <row r="10" spans="1:6" ht="33.75">
      <c r="A10" s="787" t="s">
        <v>475</v>
      </c>
      <c r="B10" s="787"/>
      <c r="C10" s="787"/>
      <c r="D10" s="787"/>
      <c r="E10" s="787"/>
      <c r="F10" s="787"/>
    </row>
    <row r="11" spans="1:6" ht="33.75">
      <c r="A11" s="788">
        <v>45</v>
      </c>
      <c r="B11" s="788"/>
      <c r="C11" s="788"/>
      <c r="D11" s="788"/>
      <c r="E11" s="788"/>
      <c r="F11" s="788"/>
    </row>
    <row r="12" spans="1:6" ht="33.75">
      <c r="A12" s="547"/>
      <c r="B12" s="547"/>
      <c r="C12" s="547"/>
      <c r="D12" s="547"/>
    </row>
    <row r="13" spans="1:6" ht="33.75">
      <c r="A13" s="787" t="s">
        <v>467</v>
      </c>
      <c r="B13" s="787"/>
      <c r="C13" s="787"/>
      <c r="D13" s="787"/>
      <c r="E13" s="787"/>
      <c r="F13" s="787"/>
    </row>
    <row r="14" spans="1:6" ht="33.75">
      <c r="A14" s="788">
        <v>42</v>
      </c>
      <c r="B14" s="788"/>
      <c r="C14" s="788"/>
      <c r="D14" s="788"/>
      <c r="E14" s="788"/>
      <c r="F14" s="788"/>
    </row>
    <row r="15" spans="1:6" ht="33.75">
      <c r="A15" s="547"/>
      <c r="B15" s="547"/>
      <c r="C15" s="547"/>
      <c r="D15" s="547"/>
    </row>
    <row r="16" spans="1:6" ht="33.75">
      <c r="A16" s="787" t="s">
        <v>468</v>
      </c>
      <c r="B16" s="787"/>
      <c r="C16" s="787"/>
      <c r="D16" s="787"/>
      <c r="E16" s="787"/>
      <c r="F16" s="787"/>
    </row>
    <row r="17" spans="1:6" ht="33.75">
      <c r="A17" s="788">
        <v>42</v>
      </c>
      <c r="B17" s="788"/>
      <c r="C17" s="788"/>
      <c r="D17" s="788"/>
      <c r="E17" s="788"/>
      <c r="F17" s="788"/>
    </row>
    <row r="18" spans="1:6" ht="31.5">
      <c r="A18" s="546"/>
      <c r="B18" s="546"/>
      <c r="C18" s="546"/>
      <c r="D18" s="546"/>
    </row>
    <row r="19" spans="1:6" ht="33.75">
      <c r="A19" s="787" t="s">
        <v>469</v>
      </c>
      <c r="B19" s="787"/>
      <c r="C19" s="787"/>
      <c r="D19" s="787"/>
      <c r="E19" s="787"/>
      <c r="F19" s="787"/>
    </row>
    <row r="20" spans="1:6" ht="33.75">
      <c r="A20" s="788">
        <v>33</v>
      </c>
      <c r="B20" s="788"/>
      <c r="C20" s="788"/>
      <c r="D20" s="788"/>
      <c r="E20" s="788"/>
      <c r="F20" s="788"/>
    </row>
    <row r="21" spans="1:6" ht="33.75">
      <c r="A21" s="547"/>
      <c r="B21" s="547"/>
      <c r="C21" s="547"/>
      <c r="D21" s="547"/>
      <c r="E21" s="547"/>
    </row>
    <row r="22" spans="1:6" ht="33.75">
      <c r="A22" s="787"/>
      <c r="B22" s="787"/>
      <c r="C22" s="787"/>
      <c r="D22" s="787"/>
      <c r="E22" s="787"/>
      <c r="F22" s="787"/>
    </row>
    <row r="23" spans="1:6" ht="33.75">
      <c r="A23" s="788"/>
      <c r="B23" s="788"/>
      <c r="C23" s="788"/>
      <c r="D23" s="788"/>
      <c r="E23" s="788"/>
      <c r="F23" s="788"/>
    </row>
  </sheetData>
  <mergeCells count="16">
    <mergeCell ref="A19:F19"/>
    <mergeCell ref="A20:F20"/>
    <mergeCell ref="A22:F22"/>
    <mergeCell ref="A23:F23"/>
    <mergeCell ref="A1:F1"/>
    <mergeCell ref="A2:F2"/>
    <mergeCell ref="A4:F4"/>
    <mergeCell ref="A5:F5"/>
    <mergeCell ref="A7:F7"/>
    <mergeCell ref="A8:F8"/>
    <mergeCell ref="A10:F10"/>
    <mergeCell ref="A11:F11"/>
    <mergeCell ref="A13:F13"/>
    <mergeCell ref="A14:F14"/>
    <mergeCell ref="A16:F16"/>
    <mergeCell ref="A17:F17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M452"/>
  <sheetViews>
    <sheetView workbookViewId="0">
      <selection activeCell="E10" sqref="E10"/>
    </sheetView>
  </sheetViews>
  <sheetFormatPr defaultColWidth="8.5703125" defaultRowHeight="12.75"/>
  <cols>
    <col min="1" max="1" width="3.140625" style="2" customWidth="1"/>
    <col min="2" max="2" width="11.140625" style="3" customWidth="1"/>
    <col min="3" max="3" width="12.42578125" style="2" customWidth="1"/>
    <col min="4" max="4" width="27.5703125" style="4" customWidth="1"/>
    <col min="5" max="5" width="20.42578125" style="2" customWidth="1"/>
    <col min="6" max="6" width="20.5703125" style="2" customWidth="1"/>
    <col min="7" max="7" width="13.5703125" style="5" customWidth="1"/>
    <col min="8" max="10" width="15.42578125" style="6" customWidth="1"/>
    <col min="11" max="11" width="10" style="2" customWidth="1"/>
    <col min="12" max="12" width="23.42578125" style="2" customWidth="1"/>
    <col min="13" max="13" width="9.85546875" style="2" customWidth="1"/>
    <col min="14" max="16384" width="8.5703125" style="2"/>
  </cols>
  <sheetData>
    <row r="1" spans="2:13" ht="9" customHeight="1">
      <c r="B1" s="789"/>
      <c r="C1" s="789"/>
      <c r="D1" s="789"/>
      <c r="E1" s="789"/>
      <c r="F1" s="789"/>
      <c r="G1" s="789"/>
      <c r="H1" s="789"/>
      <c r="I1" s="789"/>
      <c r="J1" s="789"/>
    </row>
    <row r="2" spans="2:13" ht="9" customHeight="1">
      <c r="B2" s="8"/>
      <c r="C2" s="9"/>
      <c r="D2" s="10"/>
      <c r="E2" s="9"/>
      <c r="F2" s="9"/>
      <c r="G2" s="9"/>
      <c r="H2" s="11"/>
      <c r="I2" s="11"/>
      <c r="J2" s="49"/>
    </row>
    <row r="3" spans="2:13" s="1" customFormat="1" ht="18.75">
      <c r="B3" s="790" t="s">
        <v>13</v>
      </c>
      <c r="C3" s="791"/>
      <c r="D3" s="791"/>
      <c r="E3" s="791"/>
      <c r="F3" s="791"/>
      <c r="G3" s="791"/>
      <c r="H3" s="791"/>
      <c r="I3" s="791"/>
      <c r="J3" s="792"/>
    </row>
    <row r="4" spans="2:13" s="1" customFormat="1" ht="15.75">
      <c r="B4" s="12"/>
      <c r="C4" s="7"/>
      <c r="D4" s="13"/>
      <c r="E4" s="7"/>
      <c r="F4" s="7"/>
      <c r="G4" s="7"/>
      <c r="H4" s="14"/>
      <c r="I4" s="14"/>
      <c r="J4" s="50"/>
    </row>
    <row r="5" spans="2:13" s="1" customFormat="1" ht="15.75">
      <c r="B5" s="12" t="s">
        <v>10</v>
      </c>
      <c r="C5" s="793" t="s">
        <v>14</v>
      </c>
      <c r="D5" s="793"/>
      <c r="E5" s="793"/>
      <c r="G5" s="15"/>
      <c r="H5" s="16"/>
      <c r="I5" s="16"/>
      <c r="J5" s="51"/>
    </row>
    <row r="6" spans="2:13" ht="25.5">
      <c r="B6" s="17" t="s">
        <v>1</v>
      </c>
      <c r="C6" s="18" t="s">
        <v>15</v>
      </c>
      <c r="D6" s="19" t="s">
        <v>3</v>
      </c>
      <c r="E6" s="20" t="s">
        <v>4</v>
      </c>
      <c r="F6" s="19" t="s">
        <v>5</v>
      </c>
      <c r="G6" s="19" t="s">
        <v>16</v>
      </c>
      <c r="H6" s="21" t="s">
        <v>6</v>
      </c>
      <c r="I6" s="21" t="s">
        <v>7</v>
      </c>
      <c r="J6" s="52" t="s">
        <v>8</v>
      </c>
      <c r="L6" s="53" t="s">
        <v>5</v>
      </c>
    </row>
    <row r="7" spans="2:13" ht="15">
      <c r="B7" s="22"/>
      <c r="C7" s="23"/>
      <c r="D7" s="24"/>
      <c r="E7" s="23"/>
      <c r="F7" s="25"/>
      <c r="G7" s="26"/>
      <c r="H7" s="27"/>
      <c r="I7" s="27"/>
      <c r="J7" s="54">
        <v>0</v>
      </c>
      <c r="L7" s="55"/>
    </row>
    <row r="8" spans="2:13" ht="15">
      <c r="B8" s="28"/>
      <c r="C8" s="29"/>
      <c r="D8" s="30"/>
      <c r="E8" s="31"/>
      <c r="F8" s="32"/>
      <c r="G8" s="30"/>
      <c r="H8" s="33"/>
      <c r="I8" s="33"/>
      <c r="J8" s="56">
        <v>0</v>
      </c>
      <c r="L8" s="55" t="s">
        <v>17</v>
      </c>
    </row>
    <row r="9" spans="2:13" ht="15">
      <c r="B9" s="28"/>
      <c r="C9" s="29"/>
      <c r="D9" s="30"/>
      <c r="E9" s="31"/>
      <c r="F9" s="32"/>
      <c r="G9" s="30"/>
      <c r="H9" s="33"/>
      <c r="I9" s="33"/>
      <c r="J9" s="56">
        <v>0</v>
      </c>
      <c r="L9" s="55" t="s">
        <v>11</v>
      </c>
    </row>
    <row r="10" spans="2:13" ht="15">
      <c r="B10" s="34"/>
      <c r="C10" s="35"/>
      <c r="D10" s="35"/>
      <c r="E10" s="35"/>
      <c r="F10" s="23"/>
      <c r="G10" s="30"/>
      <c r="H10" s="36"/>
      <c r="I10" s="36"/>
      <c r="J10" s="56">
        <v>0</v>
      </c>
      <c r="K10" s="57"/>
      <c r="L10" s="55" t="s">
        <v>18</v>
      </c>
      <c r="M10" s="55"/>
    </row>
    <row r="11" spans="2:13" ht="15">
      <c r="B11" s="34"/>
      <c r="C11" s="35"/>
      <c r="D11" s="35"/>
      <c r="E11" s="35"/>
      <c r="F11" s="23"/>
      <c r="G11" s="30"/>
      <c r="H11" s="36"/>
      <c r="I11" s="36"/>
      <c r="J11" s="56">
        <v>0</v>
      </c>
      <c r="K11" s="58"/>
      <c r="L11" s="55" t="s">
        <v>12</v>
      </c>
      <c r="M11" s="55"/>
    </row>
    <row r="12" spans="2:13" ht="15">
      <c r="B12" s="37"/>
      <c r="C12" s="23"/>
      <c r="D12" s="38"/>
      <c r="E12" s="23"/>
      <c r="F12" s="23"/>
      <c r="G12" s="30"/>
      <c r="H12" s="39"/>
      <c r="I12" s="39"/>
      <c r="J12" s="56">
        <v>0</v>
      </c>
      <c r="K12" s="58"/>
      <c r="L12" s="55" t="s">
        <v>19</v>
      </c>
      <c r="M12" s="55"/>
    </row>
    <row r="13" spans="2:13" ht="15">
      <c r="B13" s="37"/>
      <c r="C13" s="23"/>
      <c r="D13" s="38"/>
      <c r="E13" s="23"/>
      <c r="F13" s="23"/>
      <c r="G13" s="30"/>
      <c r="H13" s="39"/>
      <c r="I13" s="39"/>
      <c r="J13" s="56">
        <v>0</v>
      </c>
      <c r="K13" s="59"/>
      <c r="L13" s="55" t="s">
        <v>20</v>
      </c>
    </row>
    <row r="14" spans="2:13" ht="15">
      <c r="B14" s="40"/>
      <c r="C14" s="24"/>
      <c r="D14" s="24"/>
      <c r="E14" s="24"/>
      <c r="F14" s="41"/>
      <c r="G14" s="30"/>
      <c r="H14" s="42"/>
      <c r="I14" s="42"/>
      <c r="J14" s="60">
        <v>0</v>
      </c>
      <c r="K14" s="59"/>
      <c r="L14" s="55" t="s">
        <v>21</v>
      </c>
    </row>
    <row r="15" spans="2:13" ht="15">
      <c r="B15" s="40"/>
      <c r="C15" s="24"/>
      <c r="D15" s="24"/>
      <c r="E15" s="24"/>
      <c r="F15" s="41"/>
      <c r="G15" s="30"/>
      <c r="H15" s="42"/>
      <c r="I15" s="42"/>
      <c r="J15" s="60">
        <v>0</v>
      </c>
      <c r="K15" s="59"/>
      <c r="L15" s="55" t="s">
        <v>22</v>
      </c>
    </row>
    <row r="16" spans="2:13" ht="15">
      <c r="B16" s="22"/>
      <c r="C16" s="23"/>
      <c r="D16" s="38"/>
      <c r="E16" s="23"/>
      <c r="F16" s="25"/>
      <c r="G16" s="30"/>
      <c r="H16" s="27"/>
      <c r="I16" s="27"/>
      <c r="J16" s="54">
        <v>0</v>
      </c>
      <c r="K16" s="59"/>
      <c r="L16" s="55" t="s">
        <v>23</v>
      </c>
    </row>
    <row r="17" spans="2:12" ht="15">
      <c r="B17" s="22"/>
      <c r="C17" s="23"/>
      <c r="D17" s="38"/>
      <c r="E17" s="23"/>
      <c r="F17" s="25"/>
      <c r="G17" s="30"/>
      <c r="H17" s="27"/>
      <c r="I17" s="27"/>
      <c r="J17" s="54">
        <v>0</v>
      </c>
      <c r="K17" s="59"/>
      <c r="L17" s="55" t="s">
        <v>24</v>
      </c>
    </row>
    <row r="18" spans="2:12" ht="15">
      <c r="B18" s="22"/>
      <c r="C18" s="23"/>
      <c r="D18" s="24"/>
      <c r="E18" s="23"/>
      <c r="F18" s="25"/>
      <c r="G18" s="30"/>
      <c r="H18" s="27"/>
      <c r="I18" s="27"/>
      <c r="J18" s="54">
        <v>0</v>
      </c>
      <c r="K18" s="59"/>
      <c r="L18" s="55" t="s">
        <v>25</v>
      </c>
    </row>
    <row r="19" spans="2:12" ht="15">
      <c r="B19" s="22"/>
      <c r="C19" s="23"/>
      <c r="D19" s="38"/>
      <c r="E19" s="23"/>
      <c r="F19" s="25"/>
      <c r="G19" s="30"/>
      <c r="H19" s="27"/>
      <c r="I19" s="27"/>
      <c r="J19" s="54">
        <v>0</v>
      </c>
      <c r="K19" s="59"/>
      <c r="L19" s="55"/>
    </row>
    <row r="20" spans="2:12" ht="15">
      <c r="B20" s="22"/>
      <c r="C20" s="23"/>
      <c r="D20" s="24"/>
      <c r="E20" s="23"/>
      <c r="F20" s="25"/>
      <c r="G20" s="30"/>
      <c r="H20" s="27"/>
      <c r="I20" s="27"/>
      <c r="J20" s="54">
        <v>0</v>
      </c>
      <c r="K20" s="59"/>
      <c r="L20" s="55"/>
    </row>
    <row r="21" spans="2:12" ht="15">
      <c r="B21" s="22"/>
      <c r="C21" s="23"/>
      <c r="D21" s="38"/>
      <c r="E21" s="23"/>
      <c r="F21" s="25"/>
      <c r="G21" s="30"/>
      <c r="H21" s="27"/>
      <c r="I21" s="27"/>
      <c r="J21" s="54">
        <v>0</v>
      </c>
      <c r="K21" s="59"/>
      <c r="L21" s="55"/>
    </row>
    <row r="22" spans="2:12" ht="15">
      <c r="B22" s="22"/>
      <c r="C22" s="23"/>
      <c r="D22" s="38"/>
      <c r="E22" s="23"/>
      <c r="F22" s="25"/>
      <c r="G22" s="30"/>
      <c r="H22" s="27"/>
      <c r="I22" s="27"/>
      <c r="J22" s="54">
        <v>0</v>
      </c>
      <c r="K22" s="59"/>
      <c r="L22" s="55"/>
    </row>
    <row r="23" spans="2:12" ht="15">
      <c r="B23" s="22"/>
      <c r="C23" s="23"/>
      <c r="D23" s="38"/>
      <c r="E23" s="23"/>
      <c r="F23" s="25"/>
      <c r="G23" s="30"/>
      <c r="H23" s="27"/>
      <c r="I23" s="27"/>
      <c r="J23" s="54">
        <v>0</v>
      </c>
      <c r="K23" s="59"/>
      <c r="L23" s="55"/>
    </row>
    <row r="24" spans="2:12" ht="15">
      <c r="B24" s="22"/>
      <c r="C24" s="23"/>
      <c r="D24" s="38"/>
      <c r="E24" s="23"/>
      <c r="F24" s="25"/>
      <c r="G24" s="30"/>
      <c r="H24" s="27"/>
      <c r="I24" s="27"/>
      <c r="J24" s="54">
        <v>0</v>
      </c>
      <c r="K24" s="59"/>
      <c r="L24" s="55"/>
    </row>
    <row r="25" spans="2:12" ht="15">
      <c r="B25" s="22"/>
      <c r="C25" s="23"/>
      <c r="D25" s="38"/>
      <c r="E25" s="23"/>
      <c r="F25" s="25"/>
      <c r="G25" s="30"/>
      <c r="H25" s="27"/>
      <c r="I25" s="27"/>
      <c r="J25" s="54">
        <v>0</v>
      </c>
      <c r="K25" s="59"/>
      <c r="L25" s="55"/>
    </row>
    <row r="26" spans="2:12" ht="15">
      <c r="B26" s="22"/>
      <c r="C26" s="23"/>
      <c r="D26" s="38"/>
      <c r="E26" s="23"/>
      <c r="F26" s="25"/>
      <c r="G26" s="30"/>
      <c r="H26" s="27"/>
      <c r="I26" s="27"/>
      <c r="J26" s="54">
        <v>0</v>
      </c>
      <c r="K26" s="59"/>
      <c r="L26" s="55"/>
    </row>
    <row r="27" spans="2:12" ht="15">
      <c r="B27" s="22"/>
      <c r="C27" s="23"/>
      <c r="D27" s="38"/>
      <c r="E27" s="23"/>
      <c r="F27" s="25"/>
      <c r="G27" s="30"/>
      <c r="H27" s="27"/>
      <c r="I27" s="27"/>
      <c r="J27" s="54">
        <v>0</v>
      </c>
      <c r="K27" s="59"/>
      <c r="L27" s="55"/>
    </row>
    <row r="28" spans="2:12" ht="15">
      <c r="B28" s="22"/>
      <c r="C28" s="23"/>
      <c r="D28" s="38"/>
      <c r="E28" s="23"/>
      <c r="F28" s="25"/>
      <c r="G28" s="30"/>
      <c r="H28" s="27"/>
      <c r="I28" s="27"/>
      <c r="J28" s="54">
        <v>0</v>
      </c>
      <c r="K28" s="59"/>
      <c r="L28" s="55"/>
    </row>
    <row r="29" spans="2:12" ht="15">
      <c r="B29" s="22"/>
      <c r="C29" s="23"/>
      <c r="D29" s="38"/>
      <c r="E29" s="23"/>
      <c r="F29" s="25"/>
      <c r="G29" s="30"/>
      <c r="H29" s="27"/>
      <c r="I29" s="27"/>
      <c r="J29" s="54">
        <v>0</v>
      </c>
      <c r="K29" s="59"/>
    </row>
    <row r="30" spans="2:12" ht="15">
      <c r="B30" s="43"/>
      <c r="C30" s="23"/>
      <c r="D30" s="38"/>
      <c r="E30" s="23"/>
      <c r="F30" s="23"/>
      <c r="G30" s="30"/>
      <c r="H30" s="39"/>
      <c r="I30" s="39"/>
      <c r="J30" s="61">
        <v>0</v>
      </c>
      <c r="K30" s="59"/>
    </row>
    <row r="31" spans="2:12" ht="15">
      <c r="B31" s="43"/>
      <c r="C31" s="23"/>
      <c r="D31" s="38"/>
      <c r="E31" s="23"/>
      <c r="F31" s="23"/>
      <c r="G31" s="30"/>
      <c r="H31" s="39"/>
      <c r="I31" s="39"/>
      <c r="J31" s="61">
        <v>0</v>
      </c>
      <c r="K31" s="59"/>
    </row>
    <row r="32" spans="2:12" ht="15">
      <c r="B32" s="43"/>
      <c r="C32" s="23"/>
      <c r="D32" s="38"/>
      <c r="E32" s="23"/>
      <c r="F32" s="23"/>
      <c r="G32" s="30"/>
      <c r="H32" s="39"/>
      <c r="I32" s="39"/>
      <c r="J32" s="61">
        <v>0</v>
      </c>
      <c r="K32" s="59"/>
    </row>
    <row r="33" spans="2:11" ht="15">
      <c r="B33" s="43"/>
      <c r="C33" s="23"/>
      <c r="D33" s="38"/>
      <c r="E33" s="23"/>
      <c r="F33" s="23"/>
      <c r="G33" s="30"/>
      <c r="H33" s="39"/>
      <c r="I33" s="39"/>
      <c r="J33" s="61">
        <v>0</v>
      </c>
      <c r="K33" s="59"/>
    </row>
    <row r="34" spans="2:11" ht="15">
      <c r="B34" s="43"/>
      <c r="C34" s="44"/>
      <c r="D34" s="44"/>
      <c r="E34" s="23"/>
      <c r="F34" s="44"/>
      <c r="G34" s="30"/>
      <c r="H34" s="45"/>
      <c r="I34" s="39"/>
      <c r="J34" s="61">
        <v>0</v>
      </c>
      <c r="K34" s="59"/>
    </row>
    <row r="35" spans="2:11" ht="15">
      <c r="B35" s="43"/>
      <c r="C35" s="44"/>
      <c r="D35" s="44"/>
      <c r="E35" s="23"/>
      <c r="F35" s="44"/>
      <c r="G35" s="30"/>
      <c r="H35" s="45"/>
      <c r="I35" s="39"/>
      <c r="J35" s="61">
        <v>0</v>
      </c>
      <c r="K35" s="59"/>
    </row>
    <row r="36" spans="2:11" ht="15">
      <c r="B36" s="43"/>
      <c r="C36" s="44"/>
      <c r="D36" s="44"/>
      <c r="E36" s="23"/>
      <c r="F36" s="44"/>
      <c r="G36" s="30"/>
      <c r="H36" s="45"/>
      <c r="I36" s="39"/>
      <c r="J36" s="61">
        <v>0</v>
      </c>
      <c r="K36" s="59"/>
    </row>
    <row r="37" spans="2:11" ht="15">
      <c r="B37" s="43"/>
      <c r="C37" s="44"/>
      <c r="D37" s="44"/>
      <c r="E37" s="23"/>
      <c r="F37" s="44"/>
      <c r="G37" s="30"/>
      <c r="H37" s="45"/>
      <c r="I37" s="39"/>
      <c r="J37" s="61">
        <v>0</v>
      </c>
      <c r="K37" s="59"/>
    </row>
    <row r="38" spans="2:11" ht="15">
      <c r="B38" s="43"/>
      <c r="C38" s="44"/>
      <c r="D38" s="44"/>
      <c r="E38" s="23"/>
      <c r="F38" s="44"/>
      <c r="G38" s="30"/>
      <c r="H38" s="45"/>
      <c r="I38" s="39"/>
      <c r="J38" s="61">
        <v>0</v>
      </c>
      <c r="K38" s="59"/>
    </row>
    <row r="39" spans="2:11" ht="15">
      <c r="B39" s="43"/>
      <c r="C39" s="44"/>
      <c r="D39" s="44"/>
      <c r="E39" s="23"/>
      <c r="F39" s="44"/>
      <c r="G39" s="30"/>
      <c r="H39" s="45"/>
      <c r="I39" s="39"/>
      <c r="J39" s="61">
        <v>0</v>
      </c>
      <c r="K39" s="59"/>
    </row>
    <row r="40" spans="2:11" ht="15">
      <c r="B40" s="43"/>
      <c r="C40" s="23"/>
      <c r="D40" s="38"/>
      <c r="E40" s="23"/>
      <c r="F40" s="23"/>
      <c r="G40" s="30"/>
      <c r="H40" s="39"/>
      <c r="I40" s="39"/>
      <c r="J40" s="61">
        <v>0</v>
      </c>
      <c r="K40" s="59"/>
    </row>
    <row r="41" spans="2:11" ht="15">
      <c r="B41" s="37"/>
      <c r="C41" s="44"/>
      <c r="D41" s="44"/>
      <c r="E41" s="44"/>
      <c r="F41" s="44"/>
      <c r="G41" s="30"/>
      <c r="H41" s="46"/>
      <c r="I41" s="39"/>
      <c r="J41" s="56">
        <v>0</v>
      </c>
      <c r="K41" s="59"/>
    </row>
    <row r="42" spans="2:11" customFormat="1" ht="15">
      <c r="B42" s="43"/>
      <c r="C42" s="23"/>
      <c r="D42" s="23"/>
      <c r="E42" s="23"/>
      <c r="F42" s="23"/>
      <c r="G42" s="30"/>
      <c r="H42" s="47"/>
      <c r="I42" s="47"/>
      <c r="J42" s="56">
        <v>0</v>
      </c>
    </row>
    <row r="43" spans="2:11" ht="15">
      <c r="B43" s="43"/>
      <c r="C43" s="44"/>
      <c r="D43" s="44"/>
      <c r="E43" s="23"/>
      <c r="F43" s="44"/>
      <c r="G43" s="30"/>
      <c r="H43" s="45"/>
      <c r="I43" s="39"/>
      <c r="J43" s="61">
        <v>0</v>
      </c>
      <c r="K43" s="59"/>
    </row>
    <row r="44" spans="2:11" ht="15">
      <c r="B44" s="37"/>
      <c r="C44" s="44"/>
      <c r="D44" s="44"/>
      <c r="E44" s="23"/>
      <c r="F44" s="44"/>
      <c r="G44" s="30"/>
      <c r="H44" s="46"/>
      <c r="I44" s="39"/>
      <c r="J44" s="56">
        <v>0</v>
      </c>
      <c r="K44" s="59"/>
    </row>
    <row r="45" spans="2:11" ht="15">
      <c r="B45" s="37"/>
      <c r="C45" s="44"/>
      <c r="D45" s="44"/>
      <c r="E45" s="23"/>
      <c r="F45" s="44"/>
      <c r="G45" s="30"/>
      <c r="H45" s="46"/>
      <c r="I45" s="39"/>
      <c r="J45" s="56">
        <v>0</v>
      </c>
      <c r="K45" s="59"/>
    </row>
    <row r="46" spans="2:11" ht="15">
      <c r="B46" s="37"/>
      <c r="C46" s="44"/>
      <c r="D46" s="44"/>
      <c r="E46" s="23"/>
      <c r="F46" s="44"/>
      <c r="G46" s="44"/>
      <c r="H46" s="46"/>
      <c r="I46" s="39"/>
      <c r="J46" s="56">
        <v>0</v>
      </c>
      <c r="K46" s="59"/>
    </row>
    <row r="47" spans="2:11" ht="15">
      <c r="B47" s="37"/>
      <c r="C47" s="44"/>
      <c r="D47" s="44"/>
      <c r="E47" s="23"/>
      <c r="F47" s="44"/>
      <c r="G47" s="44"/>
      <c r="H47" s="46"/>
      <c r="I47" s="39"/>
      <c r="J47" s="56">
        <v>0</v>
      </c>
      <c r="K47" s="59"/>
    </row>
    <row r="48" spans="2:11" ht="15">
      <c r="B48" s="37"/>
      <c r="C48" s="44"/>
      <c r="D48" s="44"/>
      <c r="E48" s="23"/>
      <c r="F48" s="44"/>
      <c r="G48" s="44"/>
      <c r="H48" s="46"/>
      <c r="I48" s="39"/>
      <c r="J48" s="56">
        <v>0</v>
      </c>
      <c r="K48" s="59"/>
    </row>
    <row r="49" spans="2:11" ht="15">
      <c r="B49" s="37"/>
      <c r="C49" s="44"/>
      <c r="D49" s="44"/>
      <c r="E49" s="23"/>
      <c r="F49" s="44"/>
      <c r="G49" s="44"/>
      <c r="H49" s="46"/>
      <c r="I49" s="39"/>
      <c r="J49" s="56">
        <v>0</v>
      </c>
      <c r="K49" s="59"/>
    </row>
    <row r="50" spans="2:11" ht="15">
      <c r="B50" s="37"/>
      <c r="C50" s="44"/>
      <c r="D50" s="44"/>
      <c r="E50" s="23"/>
      <c r="F50" s="44"/>
      <c r="G50" s="44"/>
      <c r="H50" s="46"/>
      <c r="I50" s="39"/>
      <c r="J50" s="56">
        <v>0</v>
      </c>
      <c r="K50" s="59"/>
    </row>
    <row r="51" spans="2:11" ht="15">
      <c r="B51" s="37"/>
      <c r="C51" s="44"/>
      <c r="D51" s="44"/>
      <c r="E51" s="23"/>
      <c r="F51" s="44"/>
      <c r="G51" s="44"/>
      <c r="H51" s="46"/>
      <c r="I51" s="39"/>
      <c r="J51" s="56">
        <v>0</v>
      </c>
      <c r="K51" s="59"/>
    </row>
    <row r="52" spans="2:11" ht="15">
      <c r="B52" s="37"/>
      <c r="C52" s="44"/>
      <c r="D52" s="44"/>
      <c r="E52" s="23"/>
      <c r="F52" s="44"/>
      <c r="G52" s="44"/>
      <c r="H52" s="46"/>
      <c r="I52" s="39"/>
      <c r="J52" s="56">
        <v>0</v>
      </c>
      <c r="K52" s="59"/>
    </row>
    <row r="53" spans="2:11" ht="15">
      <c r="B53" s="37"/>
      <c r="C53" s="44"/>
      <c r="D53" s="44"/>
      <c r="E53" s="23"/>
      <c r="F53" s="44"/>
      <c r="G53" s="44"/>
      <c r="H53" s="46"/>
      <c r="I53" s="39"/>
      <c r="J53" s="56">
        <v>0</v>
      </c>
      <c r="K53" s="59"/>
    </row>
    <row r="54" spans="2:11" ht="15">
      <c r="B54" s="37"/>
      <c r="C54" s="44"/>
      <c r="D54" s="44"/>
      <c r="E54" s="23"/>
      <c r="F54" s="44"/>
      <c r="G54" s="44"/>
      <c r="H54" s="46"/>
      <c r="I54" s="39"/>
      <c r="J54" s="56">
        <v>0</v>
      </c>
      <c r="K54" s="59"/>
    </row>
    <row r="55" spans="2:11" ht="15">
      <c r="B55" s="37"/>
      <c r="C55" s="44"/>
      <c r="D55" s="44"/>
      <c r="E55" s="23"/>
      <c r="F55" s="44"/>
      <c r="G55" s="44"/>
      <c r="H55" s="46"/>
      <c r="I55" s="39"/>
      <c r="J55" s="56">
        <v>0</v>
      </c>
      <c r="K55" s="59"/>
    </row>
    <row r="56" spans="2:11" ht="15">
      <c r="B56" s="37"/>
      <c r="C56" s="44"/>
      <c r="D56" s="44"/>
      <c r="E56" s="23"/>
      <c r="F56" s="44"/>
      <c r="G56" s="44"/>
      <c r="H56" s="46"/>
      <c r="I56" s="39"/>
      <c r="J56" s="56">
        <v>0</v>
      </c>
      <c r="K56" s="59"/>
    </row>
    <row r="57" spans="2:11" ht="15">
      <c r="B57" s="37"/>
      <c r="C57" s="44"/>
      <c r="D57" s="44"/>
      <c r="E57" s="23"/>
      <c r="F57" s="44"/>
      <c r="G57" s="44"/>
      <c r="H57" s="46"/>
      <c r="I57" s="39"/>
      <c r="J57" s="56">
        <v>0</v>
      </c>
      <c r="K57" s="59"/>
    </row>
    <row r="58" spans="2:11" ht="15">
      <c r="B58" s="37"/>
      <c r="C58" s="44"/>
      <c r="D58" s="44"/>
      <c r="E58" s="44"/>
      <c r="F58" s="44"/>
      <c r="G58" s="45"/>
      <c r="H58" s="46"/>
      <c r="I58" s="39"/>
      <c r="J58" s="56">
        <v>0</v>
      </c>
      <c r="K58" s="59"/>
    </row>
    <row r="59" spans="2:11" ht="15">
      <c r="B59" s="37"/>
      <c r="C59" s="44"/>
      <c r="D59" s="44"/>
      <c r="E59" s="23"/>
      <c r="F59" s="44"/>
      <c r="G59" s="45"/>
      <c r="H59" s="46"/>
      <c r="I59" s="39"/>
      <c r="J59" s="56">
        <v>0</v>
      </c>
      <c r="K59" s="59"/>
    </row>
    <row r="60" spans="2:11" ht="15">
      <c r="B60" s="37"/>
      <c r="C60" s="44"/>
      <c r="D60" s="44"/>
      <c r="E60" s="23"/>
      <c r="F60" s="44"/>
      <c r="G60" s="44"/>
      <c r="H60" s="46"/>
      <c r="I60" s="39"/>
      <c r="J60" s="56">
        <v>0</v>
      </c>
      <c r="K60" s="59"/>
    </row>
    <row r="61" spans="2:11" ht="15">
      <c r="B61" s="37"/>
      <c r="C61" s="44"/>
      <c r="D61" s="44"/>
      <c r="E61" s="23"/>
      <c r="F61" s="44"/>
      <c r="G61" s="44"/>
      <c r="H61" s="46"/>
      <c r="I61" s="39"/>
      <c r="J61" s="56">
        <v>0</v>
      </c>
      <c r="K61" s="59"/>
    </row>
    <row r="62" spans="2:11" ht="15">
      <c r="B62" s="37"/>
      <c r="C62" s="44"/>
      <c r="D62" s="44"/>
      <c r="E62" s="23"/>
      <c r="F62" s="48"/>
      <c r="G62" s="23"/>
      <c r="H62" s="46"/>
      <c r="I62" s="39"/>
      <c r="J62" s="56">
        <v>0</v>
      </c>
      <c r="K62" s="59"/>
    </row>
    <row r="63" spans="2:11" ht="15">
      <c r="B63" s="37"/>
      <c r="C63" s="44"/>
      <c r="D63" s="44"/>
      <c r="E63" s="23"/>
      <c r="F63" s="44"/>
      <c r="G63" s="44"/>
      <c r="H63" s="46"/>
      <c r="I63" s="39"/>
      <c r="J63" s="56">
        <v>0</v>
      </c>
      <c r="K63" s="59"/>
    </row>
    <row r="64" spans="2:11" ht="15">
      <c r="B64" s="37"/>
      <c r="C64" s="44"/>
      <c r="D64" s="44"/>
      <c r="E64" s="23"/>
      <c r="F64" s="44"/>
      <c r="G64" s="44"/>
      <c r="H64" s="46"/>
      <c r="I64" s="39"/>
      <c r="J64" s="56">
        <v>0</v>
      </c>
      <c r="K64" s="59"/>
    </row>
    <row r="65" spans="2:11" ht="15">
      <c r="B65" s="37"/>
      <c r="C65" s="44"/>
      <c r="D65" s="44"/>
      <c r="E65" s="23"/>
      <c r="F65" s="44"/>
      <c r="G65" s="44"/>
      <c r="H65" s="46"/>
      <c r="I65" s="39"/>
      <c r="J65" s="56">
        <v>0</v>
      </c>
      <c r="K65" s="59"/>
    </row>
    <row r="66" spans="2:11" ht="15">
      <c r="B66" s="37"/>
      <c r="C66" s="44"/>
      <c r="D66" s="44"/>
      <c r="E66" s="23"/>
      <c r="F66" s="44"/>
      <c r="G66" s="44"/>
      <c r="H66" s="46"/>
      <c r="I66" s="39"/>
      <c r="J66" s="56">
        <v>0</v>
      </c>
      <c r="K66" s="59"/>
    </row>
    <row r="67" spans="2:11" ht="15">
      <c r="B67" s="37"/>
      <c r="C67" s="44"/>
      <c r="D67" s="44"/>
      <c r="E67" s="23"/>
      <c r="F67" s="44"/>
      <c r="G67" s="44"/>
      <c r="H67" s="46"/>
      <c r="I67" s="39"/>
      <c r="J67" s="56">
        <v>0</v>
      </c>
      <c r="K67" s="59"/>
    </row>
    <row r="68" spans="2:11" ht="15">
      <c r="B68" s="37"/>
      <c r="C68" s="44"/>
      <c r="D68" s="44"/>
      <c r="E68" s="23"/>
      <c r="F68" s="44"/>
      <c r="G68" s="44"/>
      <c r="H68" s="46"/>
      <c r="I68" s="39"/>
      <c r="J68" s="56">
        <v>0</v>
      </c>
      <c r="K68" s="59"/>
    </row>
    <row r="69" spans="2:11" ht="15">
      <c r="B69" s="37"/>
      <c r="C69" s="44"/>
      <c r="D69" s="44"/>
      <c r="E69" s="23"/>
      <c r="F69" s="44"/>
      <c r="G69" s="44"/>
      <c r="H69" s="46"/>
      <c r="I69" s="39"/>
      <c r="J69" s="56">
        <v>0</v>
      </c>
      <c r="K69" s="59"/>
    </row>
    <row r="70" spans="2:11" ht="15">
      <c r="B70" s="37"/>
      <c r="C70" s="44"/>
      <c r="D70" s="44"/>
      <c r="E70" s="23"/>
      <c r="F70" s="44"/>
      <c r="G70" s="44"/>
      <c r="H70" s="46"/>
      <c r="I70" s="39"/>
      <c r="J70" s="56">
        <v>0</v>
      </c>
      <c r="K70" s="59"/>
    </row>
    <row r="71" spans="2:11" ht="15">
      <c r="B71" s="37"/>
      <c r="C71" s="44"/>
      <c r="D71" s="44"/>
      <c r="E71" s="23"/>
      <c r="F71" s="44"/>
      <c r="G71" s="44"/>
      <c r="H71" s="46"/>
      <c r="I71" s="39"/>
      <c r="J71" s="56">
        <v>0</v>
      </c>
      <c r="K71" s="59"/>
    </row>
    <row r="72" spans="2:11" ht="15">
      <c r="B72" s="37"/>
      <c r="C72" s="44"/>
      <c r="D72" s="44"/>
      <c r="E72" s="23"/>
      <c r="F72" s="44"/>
      <c r="G72" s="44"/>
      <c r="H72" s="46"/>
      <c r="I72" s="39"/>
      <c r="J72" s="56">
        <v>0</v>
      </c>
      <c r="K72" s="59"/>
    </row>
    <row r="73" spans="2:11" ht="15">
      <c r="B73" s="37"/>
      <c r="C73" s="44"/>
      <c r="D73" s="44"/>
      <c r="E73" s="23"/>
      <c r="F73" s="44"/>
      <c r="G73" s="44"/>
      <c r="H73" s="46"/>
      <c r="I73" s="39"/>
      <c r="J73" s="56">
        <v>0</v>
      </c>
      <c r="K73" s="59"/>
    </row>
    <row r="74" spans="2:11" ht="15">
      <c r="B74" s="37"/>
      <c r="C74" s="44"/>
      <c r="D74" s="44"/>
      <c r="E74" s="44"/>
      <c r="F74" s="44"/>
      <c r="G74" s="44"/>
      <c r="H74" s="46"/>
      <c r="I74" s="39"/>
      <c r="J74" s="56">
        <v>0</v>
      </c>
      <c r="K74" s="59"/>
    </row>
    <row r="75" spans="2:11" ht="15">
      <c r="B75" s="37"/>
      <c r="C75" s="44"/>
      <c r="D75" s="44"/>
      <c r="E75" s="23"/>
      <c r="F75" s="44"/>
      <c r="G75" s="44"/>
      <c r="H75" s="46"/>
      <c r="I75" s="39"/>
      <c r="J75" s="56">
        <v>0</v>
      </c>
      <c r="K75" s="59"/>
    </row>
    <row r="76" spans="2:11" ht="15">
      <c r="B76" s="37"/>
      <c r="C76" s="44"/>
      <c r="D76" s="62"/>
      <c r="E76" s="62"/>
      <c r="F76" s="62"/>
      <c r="G76" s="62"/>
      <c r="H76" s="63"/>
      <c r="I76" s="73"/>
      <c r="J76" s="56">
        <v>0</v>
      </c>
      <c r="K76" s="59"/>
    </row>
    <row r="77" spans="2:11" ht="15">
      <c r="B77" s="64"/>
      <c r="C77" s="62"/>
      <c r="D77" s="62"/>
      <c r="E77" s="65"/>
      <c r="F77" s="62"/>
      <c r="G77" s="62"/>
      <c r="H77" s="63"/>
      <c r="I77" s="73"/>
      <c r="J77" s="56">
        <v>0</v>
      </c>
      <c r="K77" s="59"/>
    </row>
    <row r="78" spans="2:11" ht="15">
      <c r="B78" s="64"/>
      <c r="C78" s="62"/>
      <c r="D78" s="62"/>
      <c r="E78" s="65"/>
      <c r="F78" s="62"/>
      <c r="G78" s="62"/>
      <c r="H78" s="63"/>
      <c r="I78" s="73"/>
      <c r="J78" s="56">
        <v>0</v>
      </c>
      <c r="K78" s="59"/>
    </row>
    <row r="79" spans="2:11" ht="15">
      <c r="B79" s="37"/>
      <c r="C79" s="44"/>
      <c r="D79" s="44"/>
      <c r="E79" s="44"/>
      <c r="F79" s="44"/>
      <c r="G79" s="44"/>
      <c r="H79" s="46"/>
      <c r="I79" s="39"/>
      <c r="J79" s="56">
        <v>0</v>
      </c>
      <c r="K79" s="59"/>
    </row>
    <row r="80" spans="2:11" ht="15">
      <c r="B80" s="37"/>
      <c r="C80" s="44"/>
      <c r="D80" s="44"/>
      <c r="E80" s="23"/>
      <c r="F80" s="44"/>
      <c r="G80" s="44"/>
      <c r="H80" s="46"/>
      <c r="I80" s="39"/>
      <c r="J80" s="56">
        <v>0</v>
      </c>
      <c r="K80" s="59"/>
    </row>
    <row r="81" spans="2:11" ht="15">
      <c r="B81" s="37"/>
      <c r="C81" s="44"/>
      <c r="D81" s="44"/>
      <c r="E81" s="23"/>
      <c r="F81" s="44"/>
      <c r="G81" s="44"/>
      <c r="H81" s="46"/>
      <c r="I81" s="39"/>
      <c r="J81" s="56">
        <v>0</v>
      </c>
      <c r="K81" s="59"/>
    </row>
    <row r="82" spans="2:11" ht="15">
      <c r="B82" s="37"/>
      <c r="C82" s="44"/>
      <c r="D82" s="44"/>
      <c r="E82" s="23"/>
      <c r="F82" s="44"/>
      <c r="G82" s="44"/>
      <c r="H82" s="46"/>
      <c r="I82" s="39"/>
      <c r="J82" s="56">
        <v>0</v>
      </c>
      <c r="K82" s="59"/>
    </row>
    <row r="83" spans="2:11" ht="15">
      <c r="B83" s="37"/>
      <c r="C83" s="44"/>
      <c r="D83" s="44"/>
      <c r="E83" s="23"/>
      <c r="F83" s="44"/>
      <c r="G83" s="44"/>
      <c r="H83" s="46"/>
      <c r="I83" s="39"/>
      <c r="J83" s="56">
        <v>0</v>
      </c>
      <c r="K83" s="59"/>
    </row>
    <row r="84" spans="2:11" ht="15">
      <c r="B84" s="37"/>
      <c r="C84" s="44"/>
      <c r="D84" s="44"/>
      <c r="E84" s="44"/>
      <c r="F84" s="44"/>
      <c r="G84" s="44"/>
      <c r="H84" s="46"/>
      <c r="I84" s="39"/>
      <c r="J84" s="56">
        <v>0</v>
      </c>
      <c r="K84" s="59"/>
    </row>
    <row r="85" spans="2:11" ht="15">
      <c r="B85" s="37"/>
      <c r="C85" s="44"/>
      <c r="D85" s="44"/>
      <c r="E85" s="44"/>
      <c r="F85" s="44"/>
      <c r="G85" s="44"/>
      <c r="H85" s="46"/>
      <c r="I85" s="39"/>
      <c r="J85" s="56">
        <v>0</v>
      </c>
      <c r="K85" s="59"/>
    </row>
    <row r="86" spans="2:11" ht="15">
      <c r="B86" s="37"/>
      <c r="C86" s="44"/>
      <c r="D86" s="44"/>
      <c r="E86" s="23"/>
      <c r="F86" s="44"/>
      <c r="G86" s="44"/>
      <c r="H86" s="46"/>
      <c r="I86" s="39"/>
      <c r="J86" s="56">
        <v>0</v>
      </c>
      <c r="K86" s="59"/>
    </row>
    <row r="87" spans="2:11" ht="15">
      <c r="B87" s="37"/>
      <c r="C87" s="44"/>
      <c r="D87" s="44"/>
      <c r="E87" s="23"/>
      <c r="F87" s="44"/>
      <c r="G87" s="44"/>
      <c r="H87" s="46"/>
      <c r="I87" s="39"/>
      <c r="J87" s="56">
        <v>0</v>
      </c>
      <c r="K87" s="59"/>
    </row>
    <row r="88" spans="2:11" ht="15">
      <c r="B88" s="37"/>
      <c r="C88" s="44"/>
      <c r="D88" s="44"/>
      <c r="E88" s="23"/>
      <c r="F88" s="44"/>
      <c r="G88" s="44"/>
      <c r="H88" s="46"/>
      <c r="I88" s="39"/>
      <c r="J88" s="56">
        <v>0</v>
      </c>
      <c r="K88" s="59"/>
    </row>
    <row r="89" spans="2:11" ht="15">
      <c r="B89" s="37"/>
      <c r="C89" s="44"/>
      <c r="D89" s="44"/>
      <c r="E89" s="23"/>
      <c r="F89" s="44"/>
      <c r="G89" s="44"/>
      <c r="H89" s="46"/>
      <c r="I89" s="39"/>
      <c r="J89" s="56">
        <v>0</v>
      </c>
      <c r="K89" s="59"/>
    </row>
    <row r="90" spans="2:11" ht="15">
      <c r="B90" s="37"/>
      <c r="C90" s="44"/>
      <c r="D90" s="44"/>
      <c r="E90" s="23"/>
      <c r="F90" s="44"/>
      <c r="G90" s="44"/>
      <c r="H90" s="46"/>
      <c r="I90" s="39"/>
      <c r="J90" s="56">
        <v>0</v>
      </c>
      <c r="K90" s="59"/>
    </row>
    <row r="91" spans="2:11" ht="15">
      <c r="B91" s="37"/>
      <c r="C91" s="44"/>
      <c r="D91" s="44"/>
      <c r="E91" s="23"/>
      <c r="F91" s="44"/>
      <c r="G91" s="44"/>
      <c r="H91" s="46"/>
      <c r="I91" s="39"/>
      <c r="J91" s="56">
        <v>0</v>
      </c>
      <c r="K91" s="59"/>
    </row>
    <row r="92" spans="2:11" ht="15">
      <c r="B92" s="37"/>
      <c r="C92" s="44"/>
      <c r="D92" s="44"/>
      <c r="E92" s="23"/>
      <c r="F92" s="44"/>
      <c r="G92" s="44"/>
      <c r="H92" s="46"/>
      <c r="I92" s="39"/>
      <c r="J92" s="56">
        <v>0</v>
      </c>
      <c r="K92" s="59"/>
    </row>
    <row r="93" spans="2:11" ht="15">
      <c r="B93" s="37"/>
      <c r="C93" s="44"/>
      <c r="D93" s="44"/>
      <c r="E93" s="23"/>
      <c r="F93" s="44"/>
      <c r="G93" s="44"/>
      <c r="H93" s="46"/>
      <c r="I93" s="39"/>
      <c r="J93" s="56">
        <v>0</v>
      </c>
      <c r="K93" s="59"/>
    </row>
    <row r="94" spans="2:11" ht="15">
      <c r="B94" s="37"/>
      <c r="C94" s="44"/>
      <c r="D94" s="44"/>
      <c r="E94" s="23"/>
      <c r="F94" s="44"/>
      <c r="G94" s="44"/>
      <c r="H94" s="46"/>
      <c r="I94" s="39"/>
      <c r="J94" s="56">
        <v>0</v>
      </c>
      <c r="K94" s="59"/>
    </row>
    <row r="95" spans="2:11" ht="15">
      <c r="B95" s="64"/>
      <c r="C95" s="62"/>
      <c r="D95" s="62"/>
      <c r="E95" s="62"/>
      <c r="F95" s="62"/>
      <c r="G95" s="62"/>
      <c r="H95" s="63"/>
      <c r="I95" s="73"/>
      <c r="J95" s="56">
        <v>0</v>
      </c>
      <c r="K95" s="59"/>
    </row>
    <row r="96" spans="2:11" ht="15">
      <c r="B96" s="66"/>
      <c r="C96" s="67"/>
      <c r="D96" s="68"/>
      <c r="E96" s="67"/>
      <c r="F96" s="69"/>
      <c r="G96" s="67"/>
      <c r="H96" s="67"/>
      <c r="I96" s="74"/>
      <c r="J96" s="56">
        <v>0</v>
      </c>
      <c r="K96" s="59"/>
    </row>
    <row r="97" spans="2:13" ht="15">
      <c r="B97" s="66"/>
      <c r="C97" s="67"/>
      <c r="D97" s="68"/>
      <c r="E97" s="67"/>
      <c r="F97" s="69"/>
      <c r="G97" s="67"/>
      <c r="H97" s="67"/>
      <c r="I97" s="74"/>
      <c r="J97" s="56">
        <v>0</v>
      </c>
      <c r="K97" s="59"/>
    </row>
    <row r="98" spans="2:13" ht="15">
      <c r="B98" s="64"/>
      <c r="C98" s="62"/>
      <c r="D98" s="62"/>
      <c r="E98" s="65"/>
      <c r="F98" s="62"/>
      <c r="G98" s="62"/>
      <c r="H98" s="63"/>
      <c r="I98" s="73"/>
      <c r="J98" s="56">
        <v>0</v>
      </c>
      <c r="K98" s="59"/>
    </row>
    <row r="99" spans="2:13" ht="15">
      <c r="B99" s="64"/>
      <c r="C99" s="62"/>
      <c r="D99" s="62"/>
      <c r="E99" s="65"/>
      <c r="F99" s="62"/>
      <c r="G99" s="62"/>
      <c r="H99" s="63"/>
      <c r="I99" s="73"/>
      <c r="J99" s="56">
        <v>0</v>
      </c>
      <c r="K99" s="59"/>
    </row>
    <row r="100" spans="2:13" ht="15">
      <c r="B100" s="64"/>
      <c r="C100" s="62"/>
      <c r="D100" s="62"/>
      <c r="E100" s="65"/>
      <c r="F100" s="62"/>
      <c r="G100" s="62"/>
      <c r="H100" s="63"/>
      <c r="I100" s="73"/>
      <c r="J100" s="56">
        <v>0</v>
      </c>
      <c r="K100" s="59"/>
    </row>
    <row r="101" spans="2:13" ht="15">
      <c r="B101" s="64"/>
      <c r="C101" s="62"/>
      <c r="D101" s="62"/>
      <c r="E101" s="65"/>
      <c r="F101" s="62"/>
      <c r="G101" s="62"/>
      <c r="H101" s="63"/>
      <c r="I101" s="73"/>
      <c r="J101" s="56">
        <v>0</v>
      </c>
      <c r="K101" s="59"/>
    </row>
    <row r="102" spans="2:13" ht="15">
      <c r="B102" s="37"/>
      <c r="C102" s="44"/>
      <c r="D102" s="44"/>
      <c r="E102" s="23"/>
      <c r="F102" s="44"/>
      <c r="G102" s="44"/>
      <c r="H102" s="46"/>
      <c r="I102" s="39"/>
      <c r="J102" s="56">
        <v>0</v>
      </c>
      <c r="K102" s="75"/>
      <c r="M102" s="76"/>
    </row>
    <row r="103" spans="2:13" ht="15">
      <c r="B103" s="37"/>
      <c r="C103" s="44"/>
      <c r="D103" s="44"/>
      <c r="E103" s="23"/>
      <c r="F103" s="44"/>
      <c r="G103" s="44"/>
      <c r="H103" s="46"/>
      <c r="I103" s="39"/>
      <c r="J103" s="56">
        <v>0</v>
      </c>
      <c r="K103" s="75"/>
      <c r="M103" s="76"/>
    </row>
    <row r="104" spans="2:13" ht="15">
      <c r="B104" s="37"/>
      <c r="C104" s="44"/>
      <c r="D104" s="44"/>
      <c r="E104" s="23"/>
      <c r="F104" s="44"/>
      <c r="G104" s="44"/>
      <c r="H104" s="46"/>
      <c r="I104" s="39"/>
      <c r="J104" s="56">
        <v>0</v>
      </c>
      <c r="K104" s="59"/>
    </row>
    <row r="105" spans="2:13" ht="15">
      <c r="B105" s="37"/>
      <c r="C105" s="44"/>
      <c r="D105" s="44"/>
      <c r="E105" s="67"/>
      <c r="F105" s="44"/>
      <c r="G105" s="44"/>
      <c r="H105" s="46"/>
      <c r="I105" s="39"/>
      <c r="J105" s="56">
        <v>0</v>
      </c>
      <c r="K105" s="59"/>
    </row>
    <row r="106" spans="2:13" ht="15">
      <c r="B106" s="37"/>
      <c r="C106" s="44"/>
      <c r="D106" s="44"/>
      <c r="E106" s="67"/>
      <c r="F106" s="44"/>
      <c r="G106" s="44"/>
      <c r="H106" s="46"/>
      <c r="I106" s="39"/>
      <c r="J106" s="56">
        <v>0</v>
      </c>
      <c r="K106" s="59"/>
    </row>
    <row r="107" spans="2:13" ht="15">
      <c r="B107" s="37"/>
      <c r="C107" s="44"/>
      <c r="D107" s="44"/>
      <c r="E107" s="67"/>
      <c r="F107" s="44"/>
      <c r="G107" s="44"/>
      <c r="H107" s="46"/>
      <c r="I107" s="39"/>
      <c r="J107" s="56">
        <v>0</v>
      </c>
      <c r="K107" s="59"/>
    </row>
    <row r="108" spans="2:13" ht="15">
      <c r="B108" s="37"/>
      <c r="C108" s="44"/>
      <c r="D108" s="44"/>
      <c r="E108" s="67"/>
      <c r="F108" s="44"/>
      <c r="G108" s="44"/>
      <c r="H108" s="46"/>
      <c r="I108" s="39"/>
      <c r="J108" s="56">
        <v>0</v>
      </c>
      <c r="K108" s="59"/>
    </row>
    <row r="109" spans="2:13" ht="15">
      <c r="B109" s="37"/>
      <c r="C109" s="44"/>
      <c r="D109" s="44"/>
      <c r="E109" s="67"/>
      <c r="F109" s="44"/>
      <c r="G109" s="44"/>
      <c r="H109" s="46"/>
      <c r="I109" s="39"/>
      <c r="J109" s="56">
        <v>0</v>
      </c>
      <c r="K109" s="59"/>
    </row>
    <row r="110" spans="2:13" ht="15">
      <c r="B110" s="37"/>
      <c r="C110" s="44"/>
      <c r="D110" s="44"/>
      <c r="E110" s="67"/>
      <c r="F110" s="44"/>
      <c r="G110" s="44"/>
      <c r="H110" s="46"/>
      <c r="I110" s="39"/>
      <c r="J110" s="56">
        <v>0</v>
      </c>
      <c r="K110" s="59"/>
    </row>
    <row r="111" spans="2:13" ht="15">
      <c r="B111" s="37"/>
      <c r="C111" s="44"/>
      <c r="D111" s="44"/>
      <c r="E111" s="67"/>
      <c r="F111" s="44"/>
      <c r="G111" s="44"/>
      <c r="H111" s="46"/>
      <c r="I111" s="39"/>
      <c r="J111" s="56">
        <v>0</v>
      </c>
      <c r="K111" s="59"/>
    </row>
    <row r="112" spans="2:13" ht="15">
      <c r="B112" s="37"/>
      <c r="C112" s="44"/>
      <c r="D112" s="44"/>
      <c r="E112" s="67"/>
      <c r="F112" s="44"/>
      <c r="G112" s="44"/>
      <c r="H112" s="46"/>
      <c r="I112" s="39"/>
      <c r="J112" s="56">
        <v>0</v>
      </c>
      <c r="K112" s="59"/>
    </row>
    <row r="113" spans="2:11" ht="15">
      <c r="B113" s="37"/>
      <c r="C113" s="44"/>
      <c r="D113" s="44"/>
      <c r="E113" s="67"/>
      <c r="F113" s="44"/>
      <c r="G113" s="44"/>
      <c r="H113" s="46"/>
      <c r="I113" s="39"/>
      <c r="J113" s="56">
        <v>0</v>
      </c>
      <c r="K113" s="59"/>
    </row>
    <row r="114" spans="2:11" ht="15">
      <c r="B114" s="37"/>
      <c r="C114" s="44"/>
      <c r="D114" s="44"/>
      <c r="E114" s="67"/>
      <c r="F114" s="44"/>
      <c r="G114" s="44"/>
      <c r="H114" s="46"/>
      <c r="I114" s="39"/>
      <c r="J114" s="56">
        <v>0</v>
      </c>
      <c r="K114" s="59"/>
    </row>
    <row r="115" spans="2:11" ht="15">
      <c r="B115" s="37"/>
      <c r="C115" s="44"/>
      <c r="D115" s="44"/>
      <c r="E115" s="67"/>
      <c r="F115" s="44"/>
      <c r="G115" s="44"/>
      <c r="H115" s="46"/>
      <c r="I115" s="39"/>
      <c r="J115" s="56">
        <v>0</v>
      </c>
      <c r="K115" s="59"/>
    </row>
    <row r="116" spans="2:11" ht="15">
      <c r="B116" s="37"/>
      <c r="C116" s="44"/>
      <c r="D116" s="44"/>
      <c r="E116" s="67"/>
      <c r="F116" s="44"/>
      <c r="G116" s="44"/>
      <c r="H116" s="46"/>
      <c r="I116" s="39"/>
      <c r="J116" s="56">
        <v>0</v>
      </c>
      <c r="K116" s="59"/>
    </row>
    <row r="117" spans="2:11" ht="15">
      <c r="B117" s="37"/>
      <c r="C117" s="44"/>
      <c r="D117" s="44"/>
      <c r="E117" s="67"/>
      <c r="F117" s="44"/>
      <c r="G117" s="44"/>
      <c r="H117" s="46"/>
      <c r="I117" s="39"/>
      <c r="J117" s="56">
        <v>0</v>
      </c>
      <c r="K117" s="59"/>
    </row>
    <row r="118" spans="2:11" ht="15">
      <c r="B118" s="37"/>
      <c r="C118" s="44"/>
      <c r="D118" s="44"/>
      <c r="E118" s="67"/>
      <c r="F118" s="44"/>
      <c r="G118" s="44"/>
      <c r="H118" s="46"/>
      <c r="I118" s="39"/>
      <c r="J118" s="56">
        <v>0</v>
      </c>
      <c r="K118" s="59"/>
    </row>
    <row r="119" spans="2:11" ht="15">
      <c r="B119" s="37"/>
      <c r="C119" s="44"/>
      <c r="D119" s="44"/>
      <c r="E119" s="67"/>
      <c r="F119" s="44"/>
      <c r="G119" s="44"/>
      <c r="H119" s="46"/>
      <c r="I119" s="39"/>
      <c r="J119" s="56">
        <v>0</v>
      </c>
      <c r="K119" s="59"/>
    </row>
    <row r="120" spans="2:11" ht="15">
      <c r="B120" s="37"/>
      <c r="C120" s="23"/>
      <c r="D120" s="38"/>
      <c r="E120" s="67"/>
      <c r="F120" s="23"/>
      <c r="G120" s="23"/>
      <c r="H120" s="70"/>
      <c r="I120" s="39"/>
      <c r="J120" s="56">
        <v>0</v>
      </c>
      <c r="K120" s="59"/>
    </row>
    <row r="121" spans="2:11" ht="15">
      <c r="B121" s="37"/>
      <c r="C121" s="23"/>
      <c r="D121" s="38"/>
      <c r="E121" s="67"/>
      <c r="F121" s="23"/>
      <c r="G121" s="23"/>
      <c r="H121" s="70"/>
      <c r="I121" s="39"/>
      <c r="J121" s="56">
        <v>0</v>
      </c>
      <c r="K121" s="59"/>
    </row>
    <row r="122" spans="2:11" ht="15">
      <c r="B122" s="37"/>
      <c r="C122" s="23"/>
      <c r="D122" s="38"/>
      <c r="E122" s="67"/>
      <c r="F122" s="23"/>
      <c r="G122" s="23"/>
      <c r="H122" s="39"/>
      <c r="I122" s="39"/>
      <c r="J122" s="56">
        <v>0</v>
      </c>
      <c r="K122" s="59"/>
    </row>
    <row r="123" spans="2:11" ht="15">
      <c r="B123" s="37"/>
      <c r="C123" s="23"/>
      <c r="D123" s="38"/>
      <c r="E123" s="67"/>
      <c r="F123" s="23"/>
      <c r="G123" s="23"/>
      <c r="H123" s="39"/>
      <c r="I123" s="39"/>
      <c r="J123" s="56">
        <v>0</v>
      </c>
      <c r="K123" s="59"/>
    </row>
    <row r="124" spans="2:11" ht="15">
      <c r="B124" s="37"/>
      <c r="C124" s="23"/>
      <c r="D124" s="38"/>
      <c r="E124" s="67"/>
      <c r="F124" s="23"/>
      <c r="G124" s="23"/>
      <c r="H124" s="39"/>
      <c r="I124" s="39"/>
      <c r="J124" s="56">
        <v>0</v>
      </c>
      <c r="K124" s="59"/>
    </row>
    <row r="125" spans="2:11" ht="15">
      <c r="B125" s="37"/>
      <c r="C125" s="23"/>
      <c r="D125" s="38"/>
      <c r="E125" s="67"/>
      <c r="F125" s="23"/>
      <c r="G125" s="23"/>
      <c r="H125" s="39"/>
      <c r="I125" s="39"/>
      <c r="J125" s="56">
        <v>0</v>
      </c>
      <c r="K125" s="59"/>
    </row>
    <row r="126" spans="2:11" ht="15">
      <c r="B126" s="37"/>
      <c r="C126" s="23"/>
      <c r="D126" s="38"/>
      <c r="E126" s="67"/>
      <c r="F126" s="23"/>
      <c r="G126" s="23"/>
      <c r="H126" s="39"/>
      <c r="I126" s="39"/>
      <c r="J126" s="56">
        <v>0</v>
      </c>
      <c r="K126" s="59"/>
    </row>
    <row r="127" spans="2:11" ht="15">
      <c r="B127" s="37"/>
      <c r="C127" s="23"/>
      <c r="D127" s="38"/>
      <c r="E127" s="67"/>
      <c r="F127" s="23"/>
      <c r="G127" s="23"/>
      <c r="H127" s="39"/>
      <c r="I127" s="39"/>
      <c r="J127" s="56">
        <v>0</v>
      </c>
      <c r="K127" s="59"/>
    </row>
    <row r="128" spans="2:11" ht="15">
      <c r="B128" s="71"/>
      <c r="C128" s="29"/>
      <c r="D128" s="30"/>
      <c r="E128" s="67"/>
      <c r="F128" s="30"/>
      <c r="G128" s="30"/>
      <c r="H128" s="72"/>
      <c r="I128" s="72"/>
      <c r="J128" s="56">
        <v>0</v>
      </c>
    </row>
    <row r="129" spans="2:13" ht="15">
      <c r="B129" s="37"/>
      <c r="C129" s="44"/>
      <c r="D129" s="44"/>
      <c r="E129" s="67"/>
      <c r="F129" s="44"/>
      <c r="G129" s="44"/>
      <c r="H129" s="39"/>
      <c r="I129" s="39"/>
      <c r="J129" s="56">
        <v>0</v>
      </c>
    </row>
    <row r="130" spans="2:13" ht="15">
      <c r="B130" s="37"/>
      <c r="C130" s="44"/>
      <c r="D130" s="44"/>
      <c r="E130" s="67"/>
      <c r="F130" s="44"/>
      <c r="G130" s="44"/>
      <c r="H130" s="39"/>
      <c r="I130" s="39"/>
      <c r="J130" s="56">
        <v>0</v>
      </c>
    </row>
    <row r="131" spans="2:13" ht="15">
      <c r="B131" s="37"/>
      <c r="C131" s="44"/>
      <c r="D131" s="44"/>
      <c r="E131" s="67"/>
      <c r="F131" s="44"/>
      <c r="G131" s="44"/>
      <c r="H131" s="39"/>
      <c r="I131" s="39"/>
      <c r="J131" s="56">
        <v>0</v>
      </c>
    </row>
    <row r="132" spans="2:13" ht="15">
      <c r="B132" s="37"/>
      <c r="C132" s="44"/>
      <c r="D132" s="44"/>
      <c r="E132" s="67"/>
      <c r="F132" s="44"/>
      <c r="G132" s="44"/>
      <c r="H132" s="39"/>
      <c r="I132" s="39"/>
      <c r="J132" s="56">
        <v>0</v>
      </c>
    </row>
    <row r="133" spans="2:13" ht="15">
      <c r="B133" s="71"/>
      <c r="C133" s="29"/>
      <c r="D133" s="30"/>
      <c r="E133" s="67"/>
      <c r="F133" s="30"/>
      <c r="G133" s="30"/>
      <c r="H133" s="72"/>
      <c r="I133" s="72"/>
      <c r="J133" s="56">
        <v>0</v>
      </c>
    </row>
    <row r="134" spans="2:13" ht="15">
      <c r="B134" s="37"/>
      <c r="C134" s="23"/>
      <c r="D134" s="38"/>
      <c r="E134" s="67"/>
      <c r="F134" s="23"/>
      <c r="G134" s="23"/>
      <c r="H134" s="39"/>
      <c r="I134" s="39"/>
      <c r="J134" s="56">
        <v>0</v>
      </c>
      <c r="K134" s="59"/>
    </row>
    <row r="135" spans="2:13" ht="15">
      <c r="B135" s="71"/>
      <c r="C135" s="29"/>
      <c r="D135" s="30"/>
      <c r="E135" s="67"/>
      <c r="F135" s="30"/>
      <c r="G135" s="30"/>
      <c r="H135" s="72"/>
      <c r="I135" s="72"/>
      <c r="J135" s="56">
        <v>0</v>
      </c>
    </row>
    <row r="136" spans="2:13" ht="15">
      <c r="B136" s="37"/>
      <c r="C136" s="23"/>
      <c r="D136" s="38"/>
      <c r="E136" s="67"/>
      <c r="F136" s="23"/>
      <c r="G136" s="23"/>
      <c r="H136" s="39"/>
      <c r="I136" s="39"/>
      <c r="J136" s="56">
        <v>0</v>
      </c>
      <c r="K136" s="59"/>
      <c r="M136" s="77"/>
    </row>
    <row r="137" spans="2:13" ht="15">
      <c r="B137" s="37"/>
      <c r="C137" s="23"/>
      <c r="D137" s="38"/>
      <c r="E137" s="67"/>
      <c r="F137" s="23"/>
      <c r="G137" s="23"/>
      <c r="H137" s="39"/>
      <c r="I137" s="39"/>
      <c r="J137" s="56">
        <v>0</v>
      </c>
      <c r="K137" s="59"/>
    </row>
    <row r="138" spans="2:13" ht="15">
      <c r="B138" s="37"/>
      <c r="C138" s="23"/>
      <c r="D138" s="38"/>
      <c r="E138" s="67"/>
      <c r="F138" s="23"/>
      <c r="G138" s="23"/>
      <c r="H138" s="39"/>
      <c r="I138" s="39"/>
      <c r="J138" s="56">
        <v>0</v>
      </c>
      <c r="K138" s="59"/>
      <c r="M138" s="77"/>
    </row>
    <row r="139" spans="2:13" ht="15">
      <c r="B139" s="37"/>
      <c r="C139" s="23"/>
      <c r="D139" s="38"/>
      <c r="E139" s="67"/>
      <c r="F139" s="23"/>
      <c r="G139" s="23"/>
      <c r="H139" s="39"/>
      <c r="I139" s="39"/>
      <c r="J139" s="56">
        <v>0</v>
      </c>
      <c r="K139" s="59"/>
    </row>
    <row r="140" spans="2:13" ht="15">
      <c r="B140" s="37"/>
      <c r="C140" s="23"/>
      <c r="D140" s="38"/>
      <c r="E140" s="67"/>
      <c r="F140" s="23"/>
      <c r="G140" s="23"/>
      <c r="H140" s="39"/>
      <c r="I140" s="39"/>
      <c r="J140" s="56">
        <v>0</v>
      </c>
      <c r="K140" s="59"/>
    </row>
    <row r="141" spans="2:13" ht="15">
      <c r="B141" s="37"/>
      <c r="C141" s="23"/>
      <c r="D141" s="38"/>
      <c r="E141" s="67"/>
      <c r="F141" s="23"/>
      <c r="G141" s="23"/>
      <c r="H141" s="39"/>
      <c r="I141" s="39"/>
      <c r="J141" s="56">
        <v>0</v>
      </c>
      <c r="K141" s="59"/>
    </row>
    <row r="142" spans="2:13" ht="15">
      <c r="B142" s="37"/>
      <c r="C142" s="23"/>
      <c r="D142" s="38"/>
      <c r="E142" s="67"/>
      <c r="F142" s="23"/>
      <c r="G142" s="23"/>
      <c r="H142" s="39"/>
      <c r="I142" s="39"/>
      <c r="J142" s="56">
        <v>0</v>
      </c>
      <c r="K142" s="59"/>
    </row>
    <row r="143" spans="2:13" ht="15">
      <c r="B143" s="37"/>
      <c r="C143" s="23"/>
      <c r="D143" s="38"/>
      <c r="E143" s="23"/>
      <c r="F143" s="23"/>
      <c r="G143" s="23"/>
      <c r="H143" s="39"/>
      <c r="I143" s="39"/>
      <c r="J143" s="56">
        <v>0</v>
      </c>
      <c r="K143" s="59"/>
    </row>
    <row r="144" spans="2:13" ht="15">
      <c r="B144" s="37"/>
      <c r="C144" s="23"/>
      <c r="D144" s="38"/>
      <c r="E144" s="23"/>
      <c r="F144" s="23"/>
      <c r="G144" s="23"/>
      <c r="H144" s="39"/>
      <c r="I144" s="39"/>
      <c r="J144" s="56">
        <v>0</v>
      </c>
      <c r="K144" s="59"/>
    </row>
    <row r="145" spans="2:11" ht="15">
      <c r="B145" s="37"/>
      <c r="C145" s="23"/>
      <c r="D145" s="38"/>
      <c r="E145" s="23"/>
      <c r="F145" s="23"/>
      <c r="G145" s="23"/>
      <c r="H145" s="39"/>
      <c r="I145" s="39"/>
      <c r="J145" s="56">
        <v>0</v>
      </c>
      <c r="K145" s="59"/>
    </row>
    <row r="146" spans="2:11" ht="15">
      <c r="B146" s="37"/>
      <c r="C146" s="23"/>
      <c r="D146" s="38"/>
      <c r="E146" s="23"/>
      <c r="F146" s="23"/>
      <c r="G146" s="23"/>
      <c r="H146" s="39"/>
      <c r="I146" s="39"/>
      <c r="J146" s="56">
        <v>0</v>
      </c>
      <c r="K146" s="59"/>
    </row>
    <row r="147" spans="2:11" ht="15">
      <c r="B147" s="37"/>
      <c r="C147" s="23"/>
      <c r="D147" s="38"/>
      <c r="E147" s="23"/>
      <c r="F147" s="23"/>
      <c r="G147" s="23"/>
      <c r="H147" s="39"/>
      <c r="I147" s="39"/>
      <c r="J147" s="56">
        <v>0</v>
      </c>
      <c r="K147" s="59"/>
    </row>
    <row r="148" spans="2:11" ht="15">
      <c r="B148" s="37"/>
      <c r="C148" s="23"/>
      <c r="D148" s="38"/>
      <c r="E148" s="23"/>
      <c r="F148" s="23"/>
      <c r="G148" s="23"/>
      <c r="H148" s="39"/>
      <c r="I148" s="39"/>
      <c r="J148" s="56">
        <v>0</v>
      </c>
      <c r="K148" s="59"/>
    </row>
    <row r="149" spans="2:11" ht="15">
      <c r="B149" s="37"/>
      <c r="C149" s="23"/>
      <c r="D149" s="38"/>
      <c r="E149" s="23"/>
      <c r="F149" s="23"/>
      <c r="G149" s="23"/>
      <c r="H149" s="39"/>
      <c r="I149" s="39"/>
      <c r="J149" s="56">
        <v>0</v>
      </c>
      <c r="K149" s="59"/>
    </row>
    <row r="150" spans="2:11" ht="15">
      <c r="B150" s="37"/>
      <c r="C150" s="23"/>
      <c r="D150" s="38"/>
      <c r="E150" s="23"/>
      <c r="F150" s="23"/>
      <c r="G150" s="23"/>
      <c r="H150" s="39"/>
      <c r="I150" s="39"/>
      <c r="J150" s="56">
        <v>0</v>
      </c>
      <c r="K150" s="59"/>
    </row>
    <row r="151" spans="2:11" ht="15">
      <c r="B151" s="37"/>
      <c r="C151" s="23"/>
      <c r="D151" s="38"/>
      <c r="E151" s="23"/>
      <c r="F151" s="23"/>
      <c r="G151" s="23"/>
      <c r="H151" s="39"/>
      <c r="I151" s="39"/>
      <c r="J151" s="56">
        <v>0</v>
      </c>
      <c r="K151" s="59"/>
    </row>
    <row r="152" spans="2:11" ht="15">
      <c r="B152" s="22"/>
      <c r="C152" s="23"/>
      <c r="D152" s="38"/>
      <c r="E152" s="23"/>
      <c r="F152" s="25"/>
      <c r="G152" s="26"/>
      <c r="H152" s="27"/>
      <c r="I152" s="27"/>
      <c r="J152" s="54">
        <v>0</v>
      </c>
      <c r="K152" s="59"/>
    </row>
    <row r="153" spans="2:11" ht="15">
      <c r="B153" s="22"/>
      <c r="C153" s="23"/>
      <c r="D153" s="38"/>
      <c r="E153" s="23"/>
      <c r="F153" s="25"/>
      <c r="G153" s="26"/>
      <c r="H153" s="27"/>
      <c r="I153" s="27"/>
      <c r="J153" s="54">
        <v>0</v>
      </c>
      <c r="K153" s="59"/>
    </row>
    <row r="154" spans="2:11" ht="15">
      <c r="B154" s="22"/>
      <c r="C154" s="23"/>
      <c r="D154" s="24"/>
      <c r="E154" s="23"/>
      <c r="F154" s="25"/>
      <c r="G154" s="26"/>
      <c r="H154" s="27"/>
      <c r="I154" s="27"/>
      <c r="J154" s="54">
        <v>0</v>
      </c>
      <c r="K154" s="59"/>
    </row>
    <row r="155" spans="2:11" ht="15">
      <c r="B155" s="22"/>
      <c r="C155" s="23"/>
      <c r="D155" s="24"/>
      <c r="E155" s="23"/>
      <c r="F155" s="25"/>
      <c r="G155" s="26"/>
      <c r="H155" s="27"/>
      <c r="I155" s="27"/>
      <c r="J155" s="54">
        <v>0</v>
      </c>
      <c r="K155" s="59"/>
    </row>
    <row r="156" spans="2:11" ht="15">
      <c r="B156" s="22"/>
      <c r="C156" s="23"/>
      <c r="D156" s="38"/>
      <c r="E156" s="23"/>
      <c r="F156" s="25"/>
      <c r="G156" s="26"/>
      <c r="H156" s="27"/>
      <c r="I156" s="27"/>
      <c r="J156" s="54">
        <v>0</v>
      </c>
      <c r="K156" s="59"/>
    </row>
    <row r="157" spans="2:11" ht="15">
      <c r="B157" s="22"/>
      <c r="C157" s="23"/>
      <c r="D157" s="38"/>
      <c r="E157" s="23"/>
      <c r="F157" s="25"/>
      <c r="G157" s="26"/>
      <c r="H157" s="27"/>
      <c r="I157" s="27"/>
      <c r="J157" s="54">
        <v>0</v>
      </c>
      <c r="K157" s="59"/>
    </row>
    <row r="158" spans="2:11" ht="15">
      <c r="B158" s="22"/>
      <c r="C158" s="23"/>
      <c r="D158" s="38"/>
      <c r="E158" s="23"/>
      <c r="F158" s="25"/>
      <c r="G158" s="26"/>
      <c r="H158" s="27"/>
      <c r="I158" s="27"/>
      <c r="J158" s="54">
        <v>0</v>
      </c>
      <c r="K158" s="59"/>
    </row>
    <row r="159" spans="2:11" ht="15">
      <c r="B159" s="22"/>
      <c r="C159" s="23"/>
      <c r="D159" s="38"/>
      <c r="E159" s="23"/>
      <c r="F159" s="25"/>
      <c r="G159" s="26"/>
      <c r="H159" s="27"/>
      <c r="I159" s="27"/>
      <c r="J159" s="54">
        <v>0</v>
      </c>
      <c r="K159" s="59"/>
    </row>
    <row r="160" spans="2:11" ht="15">
      <c r="B160" s="22"/>
      <c r="C160" s="23"/>
      <c r="D160" s="38"/>
      <c r="E160" s="23"/>
      <c r="F160" s="25"/>
      <c r="G160" s="26"/>
      <c r="H160" s="27"/>
      <c r="I160" s="27"/>
      <c r="J160" s="54">
        <v>0</v>
      </c>
      <c r="K160" s="59"/>
    </row>
    <row r="161" spans="2:11" ht="15">
      <c r="B161" s="22"/>
      <c r="C161" s="23"/>
      <c r="D161" s="38"/>
      <c r="E161" s="23"/>
      <c r="F161" s="25"/>
      <c r="G161" s="26"/>
      <c r="H161" s="27"/>
      <c r="I161" s="27"/>
      <c r="J161" s="54">
        <v>0</v>
      </c>
      <c r="K161" s="59"/>
    </row>
    <row r="162" spans="2:11" ht="15">
      <c r="B162" s="22"/>
      <c r="C162" s="23"/>
      <c r="D162" s="38"/>
      <c r="E162" s="23"/>
      <c r="F162" s="25"/>
      <c r="G162" s="26"/>
      <c r="H162" s="27"/>
      <c r="I162" s="27"/>
      <c r="J162" s="54">
        <v>0</v>
      </c>
      <c r="K162" s="59"/>
    </row>
    <row r="163" spans="2:11" ht="15">
      <c r="B163" s="22"/>
      <c r="C163" s="23"/>
      <c r="D163" s="38"/>
      <c r="E163" s="23"/>
      <c r="F163" s="25"/>
      <c r="G163" s="26"/>
      <c r="H163" s="27"/>
      <c r="I163" s="27"/>
      <c r="J163" s="54">
        <v>0</v>
      </c>
      <c r="K163" s="59"/>
    </row>
    <row r="164" spans="2:11" ht="15">
      <c r="B164" s="22"/>
      <c r="C164" s="23"/>
      <c r="D164" s="38"/>
      <c r="E164" s="23"/>
      <c r="F164" s="25"/>
      <c r="G164" s="26"/>
      <c r="H164" s="27"/>
      <c r="I164" s="27"/>
      <c r="J164" s="54">
        <v>0</v>
      </c>
      <c r="K164" s="59"/>
    </row>
    <row r="165" spans="2:11" ht="15">
      <c r="B165" s="22"/>
      <c r="C165" s="23"/>
      <c r="D165" s="38"/>
      <c r="E165" s="23"/>
      <c r="F165" s="25"/>
      <c r="G165" s="26"/>
      <c r="H165" s="27"/>
      <c r="I165" s="27"/>
      <c r="J165" s="54">
        <v>0</v>
      </c>
      <c r="K165" s="59"/>
    </row>
    <row r="166" spans="2:11" ht="15">
      <c r="B166" s="22"/>
      <c r="C166" s="23"/>
      <c r="D166" s="38"/>
      <c r="E166" s="23"/>
      <c r="F166" s="25"/>
      <c r="G166" s="26"/>
      <c r="H166" s="27"/>
      <c r="I166" s="27"/>
      <c r="J166" s="54">
        <v>0</v>
      </c>
      <c r="K166" s="59"/>
    </row>
    <row r="167" spans="2:11" ht="15">
      <c r="B167" s="22"/>
      <c r="C167" s="23"/>
      <c r="D167" s="38"/>
      <c r="E167" s="23"/>
      <c r="F167" s="25"/>
      <c r="G167" s="26"/>
      <c r="H167" s="27"/>
      <c r="I167" s="27"/>
      <c r="J167" s="54">
        <v>0</v>
      </c>
      <c r="K167" s="59"/>
    </row>
    <row r="168" spans="2:11" ht="15">
      <c r="B168" s="22"/>
      <c r="C168" s="23"/>
      <c r="D168" s="38"/>
      <c r="E168" s="23"/>
      <c r="F168" s="25"/>
      <c r="G168" s="26"/>
      <c r="H168" s="27"/>
      <c r="I168" s="27"/>
      <c r="J168" s="54">
        <v>0</v>
      </c>
      <c r="K168" s="59"/>
    </row>
    <row r="169" spans="2:11" ht="15">
      <c r="B169" s="22"/>
      <c r="C169" s="23"/>
      <c r="D169" s="38"/>
      <c r="E169" s="23"/>
      <c r="F169" s="25"/>
      <c r="G169" s="26"/>
      <c r="H169" s="27"/>
      <c r="I169" s="27"/>
      <c r="J169" s="54">
        <v>0</v>
      </c>
      <c r="K169" s="59"/>
    </row>
    <row r="170" spans="2:11" ht="15">
      <c r="B170" s="22"/>
      <c r="C170" s="23"/>
      <c r="D170" s="38"/>
      <c r="E170" s="23"/>
      <c r="F170" s="25"/>
      <c r="G170" s="26"/>
      <c r="H170" s="27"/>
      <c r="I170" s="27"/>
      <c r="J170" s="54">
        <v>0</v>
      </c>
      <c r="K170" s="59"/>
    </row>
    <row r="171" spans="2:11" ht="15">
      <c r="B171" s="22"/>
      <c r="C171" s="23"/>
      <c r="D171" s="38"/>
      <c r="E171" s="23"/>
      <c r="F171" s="25"/>
      <c r="G171" s="26"/>
      <c r="H171" s="27"/>
      <c r="I171" s="27"/>
      <c r="J171" s="54">
        <v>0</v>
      </c>
      <c r="K171" s="59"/>
    </row>
    <row r="172" spans="2:11" ht="15">
      <c r="B172" s="22"/>
      <c r="C172" s="23"/>
      <c r="D172" s="38"/>
      <c r="E172" s="23"/>
      <c r="F172" s="25"/>
      <c r="G172" s="26"/>
      <c r="H172" s="27"/>
      <c r="I172" s="27"/>
      <c r="J172" s="54">
        <v>0</v>
      </c>
      <c r="K172" s="59"/>
    </row>
    <row r="173" spans="2:11" ht="15">
      <c r="B173" s="22"/>
      <c r="C173" s="23"/>
      <c r="D173" s="38"/>
      <c r="E173" s="23"/>
      <c r="F173" s="25"/>
      <c r="G173" s="26"/>
      <c r="H173" s="27"/>
      <c r="I173" s="27"/>
      <c r="J173" s="54">
        <v>0</v>
      </c>
      <c r="K173" s="59"/>
    </row>
    <row r="174" spans="2:11" ht="15">
      <c r="B174" s="22"/>
      <c r="C174" s="23"/>
      <c r="D174" s="38"/>
      <c r="E174" s="23"/>
      <c r="F174" s="25"/>
      <c r="G174" s="26"/>
      <c r="H174" s="27"/>
      <c r="I174" s="27"/>
      <c r="J174" s="54">
        <v>0</v>
      </c>
      <c r="K174" s="59"/>
    </row>
    <row r="175" spans="2:11" ht="15">
      <c r="B175" s="22"/>
      <c r="C175" s="23"/>
      <c r="D175" s="38"/>
      <c r="E175" s="23"/>
      <c r="F175" s="25"/>
      <c r="G175" s="26"/>
      <c r="H175" s="27"/>
      <c r="I175" s="27"/>
      <c r="J175" s="54">
        <v>0</v>
      </c>
      <c r="K175" s="59"/>
    </row>
    <row r="176" spans="2:11" ht="15">
      <c r="B176" s="22"/>
      <c r="C176" s="23"/>
      <c r="D176" s="38"/>
      <c r="E176" s="23"/>
      <c r="F176" s="25"/>
      <c r="G176" s="26"/>
      <c r="H176" s="27"/>
      <c r="I176" s="27"/>
      <c r="J176" s="54">
        <v>0</v>
      </c>
      <c r="K176" s="59"/>
    </row>
    <row r="177" spans="2:11" ht="15">
      <c r="B177" s="22"/>
      <c r="C177" s="23"/>
      <c r="D177" s="38"/>
      <c r="E177" s="23"/>
      <c r="F177" s="25"/>
      <c r="G177" s="26"/>
      <c r="H177" s="27"/>
      <c r="I177" s="27"/>
      <c r="J177" s="54">
        <v>0</v>
      </c>
      <c r="K177" s="59"/>
    </row>
    <row r="178" spans="2:11" ht="15">
      <c r="B178" s="22"/>
      <c r="C178" s="23"/>
      <c r="D178" s="38"/>
      <c r="E178" s="23"/>
      <c r="F178" s="25"/>
      <c r="G178" s="26"/>
      <c r="H178" s="27"/>
      <c r="I178" s="27"/>
      <c r="J178" s="54">
        <v>0</v>
      </c>
      <c r="K178" s="59"/>
    </row>
    <row r="179" spans="2:11" ht="15">
      <c r="B179" s="22"/>
      <c r="C179" s="23"/>
      <c r="D179" s="24"/>
      <c r="E179" s="23"/>
      <c r="F179" s="25"/>
      <c r="G179" s="26"/>
      <c r="H179" s="27"/>
      <c r="I179" s="27"/>
      <c r="J179" s="54">
        <v>0</v>
      </c>
      <c r="K179" s="59"/>
    </row>
    <row r="180" spans="2:11" ht="15">
      <c r="B180" s="22"/>
      <c r="C180" s="23"/>
      <c r="D180" s="38"/>
      <c r="E180" s="23"/>
      <c r="F180" s="25"/>
      <c r="G180" s="26"/>
      <c r="H180" s="27"/>
      <c r="I180" s="27"/>
      <c r="J180" s="54">
        <v>0</v>
      </c>
      <c r="K180" s="59"/>
    </row>
    <row r="181" spans="2:11" ht="15">
      <c r="B181" s="22"/>
      <c r="C181" s="23"/>
      <c r="D181" s="38"/>
      <c r="E181" s="23"/>
      <c r="F181" s="25"/>
      <c r="G181" s="26"/>
      <c r="H181" s="27"/>
      <c r="I181" s="27"/>
      <c r="J181" s="54">
        <v>0</v>
      </c>
      <c r="K181" s="59"/>
    </row>
    <row r="182" spans="2:11" ht="15">
      <c r="B182" s="22"/>
      <c r="C182" s="23"/>
      <c r="D182" s="24"/>
      <c r="E182" s="23"/>
      <c r="F182" s="25"/>
      <c r="G182" s="26"/>
      <c r="H182" s="27"/>
      <c r="I182" s="27"/>
      <c r="J182" s="54">
        <v>0</v>
      </c>
      <c r="K182" s="59"/>
    </row>
    <row r="183" spans="2:11" ht="15">
      <c r="B183" s="22"/>
      <c r="C183" s="23"/>
      <c r="D183" s="38"/>
      <c r="E183" s="23"/>
      <c r="F183" s="25"/>
      <c r="G183" s="26"/>
      <c r="H183" s="27"/>
      <c r="I183" s="27"/>
      <c r="J183" s="54">
        <v>0</v>
      </c>
      <c r="K183" s="59"/>
    </row>
    <row r="184" spans="2:11" ht="15">
      <c r="B184" s="22"/>
      <c r="C184" s="23"/>
      <c r="D184" s="38"/>
      <c r="E184" s="23"/>
      <c r="F184" s="25"/>
      <c r="G184" s="26"/>
      <c r="H184" s="27"/>
      <c r="I184" s="27"/>
      <c r="J184" s="54">
        <v>0</v>
      </c>
      <c r="K184" s="59"/>
    </row>
    <row r="185" spans="2:11" ht="15">
      <c r="B185" s="22"/>
      <c r="C185" s="23"/>
      <c r="D185" s="24"/>
      <c r="E185" s="23"/>
      <c r="F185" s="25"/>
      <c r="G185" s="26"/>
      <c r="H185" s="27"/>
      <c r="I185" s="27"/>
      <c r="J185" s="54">
        <v>0</v>
      </c>
      <c r="K185" s="59"/>
    </row>
    <row r="186" spans="2:11" ht="15">
      <c r="B186" s="22"/>
      <c r="C186" s="23"/>
      <c r="D186" s="24"/>
      <c r="E186" s="23"/>
      <c r="F186" s="25"/>
      <c r="G186" s="26"/>
      <c r="H186" s="27"/>
      <c r="I186" s="27"/>
      <c r="J186" s="54">
        <v>0</v>
      </c>
      <c r="K186" s="59"/>
    </row>
    <row r="187" spans="2:11" ht="15">
      <c r="B187" s="22"/>
      <c r="C187" s="23"/>
      <c r="D187" s="24"/>
      <c r="E187" s="23"/>
      <c r="F187" s="25"/>
      <c r="G187" s="26"/>
      <c r="H187" s="27"/>
      <c r="I187" s="27"/>
      <c r="J187" s="54">
        <v>0</v>
      </c>
      <c r="K187" s="59"/>
    </row>
    <row r="188" spans="2:11" ht="15">
      <c r="B188" s="22"/>
      <c r="C188" s="23"/>
      <c r="D188" s="24"/>
      <c r="E188" s="23"/>
      <c r="F188" s="25"/>
      <c r="G188" s="26"/>
      <c r="H188" s="27"/>
      <c r="I188" s="27"/>
      <c r="J188" s="54">
        <v>0</v>
      </c>
      <c r="K188" s="59"/>
    </row>
    <row r="189" spans="2:11" ht="15">
      <c r="B189" s="22"/>
      <c r="C189" s="23"/>
      <c r="D189" s="24"/>
      <c r="E189" s="23"/>
      <c r="F189" s="25"/>
      <c r="G189" s="26"/>
      <c r="H189" s="27"/>
      <c r="I189" s="27"/>
      <c r="J189" s="54">
        <v>0</v>
      </c>
      <c r="K189" s="59"/>
    </row>
    <row r="190" spans="2:11" ht="15">
      <c r="B190" s="22"/>
      <c r="C190" s="23"/>
      <c r="D190" s="24"/>
      <c r="E190" s="23"/>
      <c r="F190" s="25"/>
      <c r="G190" s="26"/>
      <c r="H190" s="27"/>
      <c r="I190" s="27"/>
      <c r="J190" s="54">
        <v>0</v>
      </c>
      <c r="K190" s="59"/>
    </row>
    <row r="191" spans="2:11" ht="15">
      <c r="B191" s="22"/>
      <c r="C191" s="23"/>
      <c r="D191" s="24"/>
      <c r="E191" s="23"/>
      <c r="F191" s="25"/>
      <c r="G191" s="26"/>
      <c r="H191" s="27"/>
      <c r="I191" s="27"/>
      <c r="J191" s="54">
        <v>0</v>
      </c>
      <c r="K191" s="59"/>
    </row>
    <row r="192" spans="2:11" ht="15">
      <c r="B192" s="22"/>
      <c r="C192" s="23"/>
      <c r="D192" s="24"/>
      <c r="E192" s="23"/>
      <c r="F192" s="25"/>
      <c r="G192" s="26"/>
      <c r="H192" s="27"/>
      <c r="I192" s="27"/>
      <c r="J192" s="54">
        <v>0</v>
      </c>
      <c r="K192" s="59"/>
    </row>
    <row r="193" spans="2:11" ht="15">
      <c r="B193" s="22"/>
      <c r="C193" s="23"/>
      <c r="D193" s="24"/>
      <c r="E193" s="23"/>
      <c r="F193" s="25"/>
      <c r="G193" s="26"/>
      <c r="H193" s="27"/>
      <c r="I193" s="27"/>
      <c r="J193" s="54">
        <v>0</v>
      </c>
      <c r="K193" s="59"/>
    </row>
    <row r="194" spans="2:11" ht="15">
      <c r="B194" s="22"/>
      <c r="C194" s="23"/>
      <c r="D194" s="24"/>
      <c r="E194" s="23"/>
      <c r="F194" s="25"/>
      <c r="G194" s="26"/>
      <c r="H194" s="27"/>
      <c r="I194" s="27"/>
      <c r="J194" s="54">
        <v>0</v>
      </c>
      <c r="K194" s="59"/>
    </row>
    <row r="195" spans="2:11" ht="15">
      <c r="B195" s="22"/>
      <c r="C195" s="23"/>
      <c r="D195" s="24"/>
      <c r="E195" s="23"/>
      <c r="F195" s="25"/>
      <c r="G195" s="26"/>
      <c r="H195" s="27"/>
      <c r="I195" s="27"/>
      <c r="J195" s="54">
        <v>0</v>
      </c>
      <c r="K195" s="59"/>
    </row>
    <row r="196" spans="2:11" ht="15">
      <c r="B196" s="22"/>
      <c r="C196" s="23"/>
      <c r="D196" s="24"/>
      <c r="E196" s="23"/>
      <c r="F196" s="25"/>
      <c r="G196" s="26"/>
      <c r="H196" s="27"/>
      <c r="I196" s="27"/>
      <c r="J196" s="54">
        <v>0</v>
      </c>
      <c r="K196" s="59"/>
    </row>
    <row r="197" spans="2:11" ht="15">
      <c r="B197" s="22"/>
      <c r="C197" s="23"/>
      <c r="D197" s="24"/>
      <c r="E197" s="23"/>
      <c r="F197" s="25"/>
      <c r="G197" s="26"/>
      <c r="H197" s="27"/>
      <c r="I197" s="27"/>
      <c r="J197" s="54">
        <v>0</v>
      </c>
      <c r="K197" s="59"/>
    </row>
    <row r="198" spans="2:11" ht="15">
      <c r="B198" s="22"/>
      <c r="C198" s="23"/>
      <c r="D198" s="38"/>
      <c r="E198" s="23"/>
      <c r="F198" s="25"/>
      <c r="G198" s="26"/>
      <c r="H198" s="27"/>
      <c r="I198" s="27"/>
      <c r="J198" s="54">
        <v>0</v>
      </c>
      <c r="K198" s="59"/>
    </row>
    <row r="199" spans="2:11" ht="15">
      <c r="B199" s="22"/>
      <c r="C199" s="23"/>
      <c r="D199" s="38"/>
      <c r="E199" s="23"/>
      <c r="F199" s="25"/>
      <c r="G199" s="26"/>
      <c r="H199" s="27"/>
      <c r="I199" s="27"/>
      <c r="J199" s="54">
        <v>0</v>
      </c>
      <c r="K199" s="59"/>
    </row>
    <row r="200" spans="2:11" ht="15">
      <c r="B200" s="22"/>
      <c r="C200" s="23"/>
      <c r="D200" s="38"/>
      <c r="E200" s="23"/>
      <c r="F200" s="25"/>
      <c r="G200" s="26"/>
      <c r="H200" s="27"/>
      <c r="I200" s="27"/>
      <c r="J200" s="54">
        <v>0</v>
      </c>
      <c r="K200" s="59"/>
    </row>
    <row r="201" spans="2:11" ht="15">
      <c r="B201" s="22"/>
      <c r="C201" s="23"/>
      <c r="D201" s="38"/>
      <c r="E201" s="23"/>
      <c r="F201" s="25"/>
      <c r="G201" s="26"/>
      <c r="H201" s="27"/>
      <c r="I201" s="27"/>
      <c r="J201" s="54">
        <v>0</v>
      </c>
      <c r="K201" s="59"/>
    </row>
    <row r="202" spans="2:11" ht="15">
      <c r="B202" s="22"/>
      <c r="C202" s="23"/>
      <c r="D202" s="38"/>
      <c r="E202" s="23"/>
      <c r="F202" s="25"/>
      <c r="G202" s="26"/>
      <c r="H202" s="27"/>
      <c r="I202" s="27"/>
      <c r="J202" s="54">
        <v>0</v>
      </c>
      <c r="K202" s="59"/>
    </row>
    <row r="203" spans="2:11" ht="15">
      <c r="B203" s="22"/>
      <c r="C203" s="23"/>
      <c r="D203" s="38"/>
      <c r="E203" s="23"/>
      <c r="F203" s="25"/>
      <c r="G203" s="26"/>
      <c r="H203" s="27"/>
      <c r="I203" s="27"/>
      <c r="J203" s="54">
        <v>0</v>
      </c>
      <c r="K203" s="75"/>
    </row>
    <row r="204" spans="2:11" ht="15">
      <c r="B204" s="22"/>
      <c r="C204" s="23"/>
      <c r="D204" s="38"/>
      <c r="E204" s="23"/>
      <c r="F204" s="25"/>
      <c r="G204" s="26"/>
      <c r="H204" s="27"/>
      <c r="I204" s="27"/>
      <c r="J204" s="54">
        <v>0</v>
      </c>
      <c r="K204" s="59"/>
    </row>
    <row r="205" spans="2:11" ht="15">
      <c r="B205" s="22"/>
      <c r="C205" s="23"/>
      <c r="D205" s="38"/>
      <c r="E205" s="23"/>
      <c r="F205" s="25"/>
      <c r="G205" s="26"/>
      <c r="H205" s="27"/>
      <c r="I205" s="27"/>
      <c r="J205" s="54">
        <v>0</v>
      </c>
      <c r="K205" s="59"/>
    </row>
    <row r="206" spans="2:11" ht="15">
      <c r="B206" s="22"/>
      <c r="C206" s="23"/>
      <c r="D206" s="38"/>
      <c r="E206" s="23"/>
      <c r="F206" s="25"/>
      <c r="G206" s="26"/>
      <c r="H206" s="27"/>
      <c r="I206" s="27"/>
      <c r="J206" s="54">
        <v>0</v>
      </c>
      <c r="K206" s="59"/>
    </row>
    <row r="207" spans="2:11" ht="15">
      <c r="B207" s="22"/>
      <c r="C207" s="23"/>
      <c r="D207" s="38"/>
      <c r="E207" s="23"/>
      <c r="F207" s="25"/>
      <c r="G207" s="26"/>
      <c r="H207" s="27"/>
      <c r="I207" s="27"/>
      <c r="J207" s="54">
        <v>0</v>
      </c>
      <c r="K207" s="59"/>
    </row>
    <row r="208" spans="2:11" ht="15">
      <c r="B208" s="22"/>
      <c r="C208" s="23"/>
      <c r="D208" s="38"/>
      <c r="E208" s="23"/>
      <c r="F208" s="25"/>
      <c r="G208" s="26"/>
      <c r="H208" s="27"/>
      <c r="I208" s="27"/>
      <c r="J208" s="54">
        <v>0</v>
      </c>
      <c r="K208" s="59"/>
    </row>
    <row r="209" spans="2:11" ht="15">
      <c r="B209" s="22"/>
      <c r="C209" s="23"/>
      <c r="D209" s="38"/>
      <c r="E209" s="23"/>
      <c r="F209" s="25"/>
      <c r="G209" s="78"/>
      <c r="H209" s="27"/>
      <c r="I209" s="27"/>
      <c r="J209" s="54">
        <v>0</v>
      </c>
      <c r="K209" s="59"/>
    </row>
    <row r="210" spans="2:11" ht="15">
      <c r="B210" s="22"/>
      <c r="C210" s="23"/>
      <c r="D210" s="38"/>
      <c r="E210" s="23"/>
      <c r="F210" s="25"/>
      <c r="G210" s="78"/>
      <c r="H210" s="27"/>
      <c r="I210" s="27"/>
      <c r="J210" s="54">
        <v>0</v>
      </c>
      <c r="K210" s="59"/>
    </row>
    <row r="211" spans="2:11" ht="15">
      <c r="B211" s="22"/>
      <c r="C211" s="23"/>
      <c r="D211" s="38"/>
      <c r="E211" s="23"/>
      <c r="F211" s="25"/>
      <c r="G211" s="78"/>
      <c r="H211" s="27"/>
      <c r="I211" s="27"/>
      <c r="J211" s="54">
        <v>0</v>
      </c>
      <c r="K211" s="85"/>
    </row>
    <row r="212" spans="2:11" ht="15">
      <c r="B212" s="22"/>
      <c r="C212" s="23"/>
      <c r="D212" s="38"/>
      <c r="E212" s="23"/>
      <c r="F212" s="25"/>
      <c r="G212" s="26"/>
      <c r="H212" s="27"/>
      <c r="I212" s="27"/>
      <c r="J212" s="86">
        <v>0</v>
      </c>
      <c r="K212" s="59"/>
    </row>
    <row r="213" spans="2:11" ht="15">
      <c r="B213" s="22"/>
      <c r="C213" s="23"/>
      <c r="D213" s="38"/>
      <c r="E213" s="23"/>
      <c r="F213" s="25"/>
      <c r="G213" s="26"/>
      <c r="H213" s="27"/>
      <c r="I213" s="27"/>
      <c r="J213" s="86">
        <v>0</v>
      </c>
      <c r="K213" s="59"/>
    </row>
    <row r="214" spans="2:11" ht="15">
      <c r="B214" s="22"/>
      <c r="C214" s="23"/>
      <c r="D214" s="38"/>
      <c r="E214" s="23"/>
      <c r="F214" s="25"/>
      <c r="G214" s="26"/>
      <c r="H214" s="27"/>
      <c r="I214" s="27"/>
      <c r="J214" s="86">
        <v>0</v>
      </c>
      <c r="K214" s="59"/>
    </row>
    <row r="215" spans="2:11" ht="15">
      <c r="B215" s="22"/>
      <c r="C215" s="23"/>
      <c r="D215" s="38"/>
      <c r="E215" s="23"/>
      <c r="F215" s="25"/>
      <c r="G215" s="26"/>
      <c r="H215" s="27"/>
      <c r="I215" s="27"/>
      <c r="J215" s="86">
        <v>0</v>
      </c>
      <c r="K215" s="75">
        <f>SUM(J209:J215)</f>
        <v>0</v>
      </c>
    </row>
    <row r="216" spans="2:11" ht="15">
      <c r="B216" s="22"/>
      <c r="C216" s="23"/>
      <c r="D216" s="38"/>
      <c r="E216" s="23"/>
      <c r="F216" s="25"/>
      <c r="G216" s="26"/>
      <c r="H216" s="27"/>
      <c r="I216" s="27"/>
      <c r="J216" s="54">
        <v>0</v>
      </c>
      <c r="K216" s="59"/>
    </row>
    <row r="217" spans="2:11" ht="15">
      <c r="B217" s="22"/>
      <c r="C217" s="23"/>
      <c r="D217" s="38"/>
      <c r="E217" s="23"/>
      <c r="F217" s="25"/>
      <c r="G217" s="26"/>
      <c r="H217" s="27"/>
      <c r="I217" s="27"/>
      <c r="J217" s="54">
        <v>0</v>
      </c>
      <c r="K217" s="59"/>
    </row>
    <row r="218" spans="2:11" ht="15">
      <c r="B218" s="22"/>
      <c r="C218" s="23"/>
      <c r="D218" s="38"/>
      <c r="E218" s="23"/>
      <c r="F218" s="25"/>
      <c r="G218" s="26"/>
      <c r="H218" s="27"/>
      <c r="I218" s="27"/>
      <c r="J218" s="54">
        <v>0</v>
      </c>
      <c r="K218" s="59"/>
    </row>
    <row r="219" spans="2:11" ht="15">
      <c r="B219" s="22"/>
      <c r="C219" s="23"/>
      <c r="D219" s="38"/>
      <c r="E219" s="23"/>
      <c r="F219" s="25"/>
      <c r="G219" s="26"/>
      <c r="H219" s="27"/>
      <c r="I219" s="27"/>
      <c r="J219" s="54">
        <v>0</v>
      </c>
      <c r="K219" s="59"/>
    </row>
    <row r="220" spans="2:11" ht="15">
      <c r="B220" s="79"/>
      <c r="C220" s="80"/>
      <c r="D220" s="81"/>
      <c r="E220" s="80"/>
      <c r="F220" s="82"/>
      <c r="G220" s="83"/>
      <c r="H220" s="84"/>
      <c r="I220" s="84"/>
      <c r="J220" s="87">
        <v>0</v>
      </c>
      <c r="K220" s="59"/>
    </row>
    <row r="221" spans="2:11" ht="15">
      <c r="B221" s="22"/>
      <c r="C221" s="23"/>
      <c r="D221" s="24"/>
      <c r="E221" s="23"/>
      <c r="F221" s="25"/>
      <c r="G221" s="26"/>
      <c r="H221" s="27"/>
      <c r="I221" s="27"/>
      <c r="J221" s="54">
        <v>0</v>
      </c>
      <c r="K221" s="59"/>
    </row>
    <row r="222" spans="2:11" ht="15">
      <c r="B222" s="22"/>
      <c r="C222" s="23"/>
      <c r="D222" s="24"/>
      <c r="E222" s="23"/>
      <c r="F222" s="25"/>
      <c r="G222" s="26"/>
      <c r="H222" s="27"/>
      <c r="I222" s="27"/>
      <c r="J222" s="54">
        <v>0</v>
      </c>
      <c r="K222" s="59"/>
    </row>
    <row r="223" spans="2:11" ht="15">
      <c r="B223" s="22"/>
      <c r="C223" s="23"/>
      <c r="D223" s="24"/>
      <c r="E223" s="23"/>
      <c r="F223" s="25"/>
      <c r="G223" s="26"/>
      <c r="H223" s="27"/>
      <c r="I223" s="27"/>
      <c r="J223" s="54">
        <v>0</v>
      </c>
      <c r="K223" s="59"/>
    </row>
    <row r="224" spans="2:11" ht="15">
      <c r="B224" s="22"/>
      <c r="C224" s="23"/>
      <c r="D224" s="24"/>
      <c r="E224" s="23"/>
      <c r="F224" s="25"/>
      <c r="G224" s="26"/>
      <c r="H224" s="27"/>
      <c r="I224" s="27"/>
      <c r="J224" s="54">
        <v>0</v>
      </c>
      <c r="K224" s="59"/>
    </row>
    <row r="225" spans="2:11" ht="15">
      <c r="B225" s="22"/>
      <c r="C225" s="23"/>
      <c r="D225" s="24"/>
      <c r="E225" s="23"/>
      <c r="F225" s="25"/>
      <c r="G225" s="26"/>
      <c r="H225" s="27"/>
      <c r="I225" s="27"/>
      <c r="J225" s="54">
        <v>0</v>
      </c>
      <c r="K225" s="59"/>
    </row>
    <row r="226" spans="2:11" ht="15">
      <c r="B226" s="22"/>
      <c r="C226" s="23"/>
      <c r="D226" s="24"/>
      <c r="E226" s="23"/>
      <c r="F226" s="25"/>
      <c r="G226" s="26"/>
      <c r="H226" s="27"/>
      <c r="I226" s="27"/>
      <c r="J226" s="54">
        <v>0</v>
      </c>
      <c r="K226" s="59"/>
    </row>
    <row r="227" spans="2:11" ht="15">
      <c r="B227" s="22"/>
      <c r="C227" s="23"/>
      <c r="D227" s="24"/>
      <c r="E227" s="23"/>
      <c r="F227" s="25"/>
      <c r="G227" s="26"/>
      <c r="H227" s="27"/>
      <c r="I227" s="27"/>
      <c r="J227" s="54">
        <v>0</v>
      </c>
      <c r="K227" s="59"/>
    </row>
    <row r="228" spans="2:11" ht="15">
      <c r="B228" s="22"/>
      <c r="C228" s="23"/>
      <c r="D228" s="24"/>
      <c r="E228" s="23"/>
      <c r="F228" s="25"/>
      <c r="G228" s="26"/>
      <c r="H228" s="27"/>
      <c r="I228" s="27"/>
      <c r="J228" s="54">
        <v>0</v>
      </c>
      <c r="K228" s="59"/>
    </row>
    <row r="229" spans="2:11" ht="15">
      <c r="B229" s="22"/>
      <c r="C229" s="23"/>
      <c r="D229" s="24"/>
      <c r="E229" s="23"/>
      <c r="F229" s="25"/>
      <c r="G229" s="26"/>
      <c r="H229" s="27"/>
      <c r="I229" s="27"/>
      <c r="J229" s="54">
        <v>0</v>
      </c>
      <c r="K229" s="59"/>
    </row>
    <row r="230" spans="2:11" ht="15">
      <c r="B230" s="22"/>
      <c r="C230" s="23"/>
      <c r="D230" s="24"/>
      <c r="E230" s="23"/>
      <c r="F230" s="25"/>
      <c r="G230" s="26"/>
      <c r="H230" s="27"/>
      <c r="I230" s="27"/>
      <c r="J230" s="54">
        <v>0</v>
      </c>
      <c r="K230" s="59"/>
    </row>
    <row r="231" spans="2:11" ht="15">
      <c r="B231" s="22"/>
      <c r="C231" s="23"/>
      <c r="D231" s="24"/>
      <c r="E231" s="23"/>
      <c r="F231" s="25"/>
      <c r="G231" s="26"/>
      <c r="H231" s="27"/>
      <c r="I231" s="27"/>
      <c r="J231" s="54">
        <v>0</v>
      </c>
      <c r="K231" s="59"/>
    </row>
    <row r="232" spans="2:11" ht="15">
      <c r="B232" s="22"/>
      <c r="C232" s="23"/>
      <c r="D232" s="38"/>
      <c r="E232" s="23"/>
      <c r="F232" s="25"/>
      <c r="G232" s="26"/>
      <c r="H232" s="27"/>
      <c r="I232" s="27"/>
      <c r="J232" s="54">
        <v>0</v>
      </c>
      <c r="K232" s="59"/>
    </row>
    <row r="233" spans="2:11" ht="15">
      <c r="B233" s="22"/>
      <c r="C233" s="23"/>
      <c r="D233" s="38"/>
      <c r="E233" s="23"/>
      <c r="F233" s="25"/>
      <c r="G233" s="26"/>
      <c r="H233" s="27"/>
      <c r="I233" s="27"/>
      <c r="J233" s="54">
        <v>0</v>
      </c>
      <c r="K233" s="59"/>
    </row>
    <row r="234" spans="2:11" ht="15">
      <c r="B234" s="22"/>
      <c r="C234" s="23"/>
      <c r="D234" s="38"/>
      <c r="E234" s="23"/>
      <c r="F234" s="25"/>
      <c r="G234" s="26"/>
      <c r="H234" s="27"/>
      <c r="I234" s="27"/>
      <c r="J234" s="54">
        <v>0</v>
      </c>
      <c r="K234" s="59"/>
    </row>
    <row r="235" spans="2:11" ht="15">
      <c r="B235" s="22"/>
      <c r="C235" s="23"/>
      <c r="D235" s="24"/>
      <c r="E235" s="23"/>
      <c r="F235" s="25"/>
      <c r="G235" s="26"/>
      <c r="H235" s="27"/>
      <c r="I235" s="27"/>
      <c r="J235" s="54">
        <v>0</v>
      </c>
      <c r="K235" s="59"/>
    </row>
    <row r="236" spans="2:11" ht="15">
      <c r="B236" s="22"/>
      <c r="C236" s="23"/>
      <c r="D236" s="24"/>
      <c r="E236" s="23"/>
      <c r="F236" s="25"/>
      <c r="G236" s="26"/>
      <c r="H236" s="27"/>
      <c r="I236" s="27"/>
      <c r="J236" s="54">
        <v>0</v>
      </c>
      <c r="K236" s="59"/>
    </row>
    <row r="237" spans="2:11" ht="15">
      <c r="B237" s="22"/>
      <c r="C237" s="23"/>
      <c r="D237" s="24"/>
      <c r="E237" s="23"/>
      <c r="F237" s="25"/>
      <c r="G237" s="26"/>
      <c r="H237" s="27"/>
      <c r="I237" s="27"/>
      <c r="J237" s="54">
        <v>0</v>
      </c>
      <c r="K237" s="59"/>
    </row>
    <row r="238" spans="2:11" ht="15">
      <c r="B238" s="22"/>
      <c r="C238" s="23"/>
      <c r="D238" s="24"/>
      <c r="E238" s="23"/>
      <c r="F238" s="25"/>
      <c r="G238" s="26"/>
      <c r="H238" s="27"/>
      <c r="I238" s="27"/>
      <c r="J238" s="54">
        <v>0</v>
      </c>
      <c r="K238" s="59"/>
    </row>
    <row r="239" spans="2:11" ht="15">
      <c r="B239" s="22"/>
      <c r="C239" s="23"/>
      <c r="D239" s="24"/>
      <c r="E239" s="23"/>
      <c r="F239" s="25"/>
      <c r="G239" s="26"/>
      <c r="H239" s="27"/>
      <c r="I239" s="27"/>
      <c r="J239" s="54">
        <v>0</v>
      </c>
      <c r="K239" s="59"/>
    </row>
    <row r="240" spans="2:11" ht="15">
      <c r="B240" s="22"/>
      <c r="C240" s="23"/>
      <c r="D240" s="24"/>
      <c r="E240" s="23"/>
      <c r="F240" s="25"/>
      <c r="G240" s="26"/>
      <c r="H240" s="27"/>
      <c r="I240" s="27"/>
      <c r="J240" s="54">
        <v>0</v>
      </c>
      <c r="K240" s="59"/>
    </row>
    <row r="241" spans="2:11" ht="15">
      <c r="B241" s="22"/>
      <c r="C241" s="23"/>
      <c r="D241" s="24"/>
      <c r="E241" s="23"/>
      <c r="F241" s="25"/>
      <c r="G241" s="26"/>
      <c r="H241" s="27"/>
      <c r="I241" s="27"/>
      <c r="J241" s="54">
        <v>0</v>
      </c>
      <c r="K241" s="59"/>
    </row>
    <row r="242" spans="2:11" ht="15">
      <c r="B242" s="22"/>
      <c r="C242" s="23"/>
      <c r="D242" s="24"/>
      <c r="E242" s="23"/>
      <c r="F242" s="25"/>
      <c r="G242" s="26"/>
      <c r="H242" s="27"/>
      <c r="I242" s="27"/>
      <c r="J242" s="54">
        <v>0</v>
      </c>
      <c r="K242" s="59"/>
    </row>
    <row r="243" spans="2:11" ht="15">
      <c r="B243" s="22"/>
      <c r="C243" s="23"/>
      <c r="D243" s="24"/>
      <c r="E243" s="23"/>
      <c r="F243" s="25"/>
      <c r="G243" s="26"/>
      <c r="H243" s="27"/>
      <c r="I243" s="27"/>
      <c r="J243" s="54">
        <v>0</v>
      </c>
      <c r="K243" s="59"/>
    </row>
    <row r="244" spans="2:11" ht="15">
      <c r="B244" s="22"/>
      <c r="C244" s="23"/>
      <c r="D244" s="24"/>
      <c r="E244" s="23"/>
      <c r="F244" s="25"/>
      <c r="G244" s="26"/>
      <c r="H244" s="27"/>
      <c r="I244" s="27"/>
      <c r="J244" s="54">
        <v>0</v>
      </c>
      <c r="K244" s="59"/>
    </row>
    <row r="245" spans="2:11" ht="15">
      <c r="B245" s="22"/>
      <c r="C245" s="23"/>
      <c r="D245" s="24"/>
      <c r="E245" s="23"/>
      <c r="F245" s="25"/>
      <c r="G245" s="26"/>
      <c r="H245" s="27"/>
      <c r="I245" s="27"/>
      <c r="J245" s="54">
        <v>0</v>
      </c>
      <c r="K245" s="59"/>
    </row>
    <row r="246" spans="2:11" ht="15">
      <c r="B246" s="22"/>
      <c r="C246" s="23"/>
      <c r="D246" s="24"/>
      <c r="E246" s="23"/>
      <c r="F246" s="25"/>
      <c r="G246" s="26"/>
      <c r="H246" s="27"/>
      <c r="I246" s="27"/>
      <c r="J246" s="54">
        <v>0</v>
      </c>
      <c r="K246" s="59"/>
    </row>
    <row r="247" spans="2:11" ht="15">
      <c r="B247" s="22"/>
      <c r="C247" s="23"/>
      <c r="D247" s="24"/>
      <c r="E247" s="23"/>
      <c r="F247" s="25"/>
      <c r="G247" s="26"/>
      <c r="H247" s="27"/>
      <c r="I247" s="27"/>
      <c r="J247" s="54">
        <v>0</v>
      </c>
      <c r="K247" s="59"/>
    </row>
    <row r="248" spans="2:11" ht="15">
      <c r="B248" s="22"/>
      <c r="C248" s="23"/>
      <c r="D248" s="24"/>
      <c r="E248" s="23"/>
      <c r="F248" s="25"/>
      <c r="G248" s="26"/>
      <c r="H248" s="27"/>
      <c r="I248" s="27"/>
      <c r="J248" s="54">
        <v>0</v>
      </c>
      <c r="K248" s="59"/>
    </row>
    <row r="249" spans="2:11" ht="15">
      <c r="B249" s="22"/>
      <c r="C249" s="23"/>
      <c r="D249" s="24"/>
      <c r="E249" s="23"/>
      <c r="F249" s="25"/>
      <c r="G249" s="26"/>
      <c r="H249" s="27"/>
      <c r="I249" s="27"/>
      <c r="J249" s="54">
        <v>0</v>
      </c>
      <c r="K249" s="59"/>
    </row>
    <row r="250" spans="2:11" ht="15">
      <c r="B250" s="22"/>
      <c r="C250" s="23"/>
      <c r="D250" s="24"/>
      <c r="E250" s="23"/>
      <c r="F250" s="25"/>
      <c r="G250" s="26"/>
      <c r="H250" s="27"/>
      <c r="I250" s="27"/>
      <c r="J250" s="54">
        <v>0</v>
      </c>
      <c r="K250" s="59"/>
    </row>
    <row r="251" spans="2:11" ht="15">
      <c r="B251" s="22"/>
      <c r="C251" s="23"/>
      <c r="D251" s="24"/>
      <c r="E251" s="23"/>
      <c r="F251" s="25"/>
      <c r="G251" s="26"/>
      <c r="H251" s="27"/>
      <c r="I251" s="27"/>
      <c r="J251" s="54">
        <v>0</v>
      </c>
      <c r="K251" s="59"/>
    </row>
    <row r="252" spans="2:11" ht="15">
      <c r="B252" s="22"/>
      <c r="C252" s="23"/>
      <c r="D252" s="24"/>
      <c r="E252" s="23"/>
      <c r="F252" s="25"/>
      <c r="G252" s="26"/>
      <c r="H252" s="27"/>
      <c r="I252" s="27"/>
      <c r="J252" s="54">
        <v>0</v>
      </c>
      <c r="K252" s="59"/>
    </row>
    <row r="253" spans="2:11" ht="15">
      <c r="B253" s="22"/>
      <c r="C253" s="23"/>
      <c r="D253" s="24"/>
      <c r="E253" s="23"/>
      <c r="F253" s="25"/>
      <c r="G253" s="26"/>
      <c r="H253" s="27"/>
      <c r="I253" s="27"/>
      <c r="J253" s="54">
        <v>0</v>
      </c>
      <c r="K253" s="59"/>
    </row>
    <row r="254" spans="2:11" ht="15">
      <c r="B254" s="22"/>
      <c r="C254" s="23"/>
      <c r="D254" s="24"/>
      <c r="E254" s="23"/>
      <c r="F254" s="25"/>
      <c r="G254" s="26"/>
      <c r="H254" s="27"/>
      <c r="I254" s="27"/>
      <c r="J254" s="54">
        <v>0</v>
      </c>
      <c r="K254" s="59"/>
    </row>
    <row r="255" spans="2:11" ht="15">
      <c r="B255" s="22"/>
      <c r="C255" s="23"/>
      <c r="D255" s="24"/>
      <c r="E255" s="23"/>
      <c r="F255" s="25"/>
      <c r="G255" s="26"/>
      <c r="H255" s="27"/>
      <c r="I255" s="27"/>
      <c r="J255" s="54">
        <v>0</v>
      </c>
      <c r="K255" s="59"/>
    </row>
    <row r="256" spans="2:11" ht="15">
      <c r="B256" s="22"/>
      <c r="C256" s="23"/>
      <c r="D256" s="24"/>
      <c r="E256" s="23"/>
      <c r="F256" s="25"/>
      <c r="G256" s="26"/>
      <c r="H256" s="27"/>
      <c r="I256" s="27"/>
      <c r="J256" s="54">
        <v>0</v>
      </c>
      <c r="K256" s="75">
        <f>SUM(J253:J256)</f>
        <v>0</v>
      </c>
    </row>
    <row r="257" spans="2:11" ht="15">
      <c r="B257" s="22"/>
      <c r="C257" s="23"/>
      <c r="D257" s="24"/>
      <c r="E257" s="23"/>
      <c r="F257" s="25"/>
      <c r="G257" s="26"/>
      <c r="H257" s="27"/>
      <c r="I257" s="27"/>
      <c r="J257" s="54">
        <v>0</v>
      </c>
      <c r="K257" s="59"/>
    </row>
    <row r="258" spans="2:11" ht="15">
      <c r="B258" s="22"/>
      <c r="C258" s="23"/>
      <c r="D258" s="38"/>
      <c r="E258" s="23"/>
      <c r="F258" s="25"/>
      <c r="G258" s="26"/>
      <c r="H258" s="27"/>
      <c r="I258" s="27"/>
      <c r="J258" s="54">
        <v>0</v>
      </c>
      <c r="K258" s="59"/>
    </row>
    <row r="259" spans="2:11" ht="15">
      <c r="B259" s="22"/>
      <c r="C259" s="23"/>
      <c r="D259" s="38"/>
      <c r="E259" s="23"/>
      <c r="F259" s="25"/>
      <c r="G259" s="26"/>
      <c r="H259" s="27"/>
      <c r="I259" s="27"/>
      <c r="J259" s="54">
        <v>0</v>
      </c>
      <c r="K259" s="59"/>
    </row>
    <row r="260" spans="2:11" ht="15">
      <c r="B260" s="22"/>
      <c r="C260" s="23"/>
      <c r="D260" s="38"/>
      <c r="E260" s="23"/>
      <c r="F260" s="25"/>
      <c r="G260" s="26"/>
      <c r="H260" s="27"/>
      <c r="I260" s="27"/>
      <c r="J260" s="54">
        <v>0</v>
      </c>
      <c r="K260" s="59"/>
    </row>
    <row r="261" spans="2:11" ht="15">
      <c r="B261" s="22"/>
      <c r="C261" s="23"/>
      <c r="D261" s="24"/>
      <c r="E261" s="23"/>
      <c r="F261" s="25"/>
      <c r="G261" s="26"/>
      <c r="H261" s="27"/>
      <c r="I261" s="27"/>
      <c r="J261" s="54">
        <v>0</v>
      </c>
      <c r="K261" s="59"/>
    </row>
    <row r="262" spans="2:11" ht="15">
      <c r="B262" s="22"/>
      <c r="C262" s="23"/>
      <c r="D262" s="24"/>
      <c r="E262" s="23"/>
      <c r="F262" s="25"/>
      <c r="G262" s="26"/>
      <c r="H262" s="27"/>
      <c r="I262" s="27"/>
      <c r="J262" s="54">
        <v>0</v>
      </c>
      <c r="K262" s="59"/>
    </row>
    <row r="263" spans="2:11" ht="15">
      <c r="B263" s="22"/>
      <c r="C263" s="23"/>
      <c r="D263" s="24"/>
      <c r="E263" s="23"/>
      <c r="F263" s="25"/>
      <c r="G263" s="26"/>
      <c r="H263" s="27"/>
      <c r="I263" s="27"/>
      <c r="J263" s="54">
        <v>0</v>
      </c>
      <c r="K263" s="59"/>
    </row>
    <row r="264" spans="2:11" ht="15">
      <c r="B264" s="22"/>
      <c r="C264" s="23"/>
      <c r="D264" s="24"/>
      <c r="E264" s="23"/>
      <c r="F264" s="25"/>
      <c r="G264" s="26"/>
      <c r="H264" s="27"/>
      <c r="I264" s="27"/>
      <c r="J264" s="54">
        <v>0</v>
      </c>
      <c r="K264" s="59"/>
    </row>
    <row r="265" spans="2:11" ht="15">
      <c r="B265" s="22"/>
      <c r="C265" s="23"/>
      <c r="D265" s="24"/>
      <c r="E265" s="23"/>
      <c r="F265" s="25"/>
      <c r="G265" s="26"/>
      <c r="H265" s="27"/>
      <c r="I265" s="27"/>
      <c r="J265" s="54">
        <v>0</v>
      </c>
      <c r="K265" s="59"/>
    </row>
    <row r="266" spans="2:11" ht="15">
      <c r="B266" s="22"/>
      <c r="C266" s="23"/>
      <c r="D266" s="24"/>
      <c r="E266" s="23"/>
      <c r="F266" s="25"/>
      <c r="G266" s="26"/>
      <c r="H266" s="27"/>
      <c r="I266" s="27"/>
      <c r="J266" s="54">
        <v>0</v>
      </c>
      <c r="K266" s="59"/>
    </row>
    <row r="267" spans="2:11" ht="15">
      <c r="B267" s="22"/>
      <c r="C267" s="23"/>
      <c r="D267" s="24"/>
      <c r="E267" s="23"/>
      <c r="F267" s="25"/>
      <c r="G267" s="26"/>
      <c r="H267" s="27"/>
      <c r="I267" s="27"/>
      <c r="J267" s="54">
        <v>0</v>
      </c>
      <c r="K267" s="59"/>
    </row>
    <row r="268" spans="2:11" ht="15">
      <c r="B268" s="22"/>
      <c r="C268" s="23"/>
      <c r="D268" s="24"/>
      <c r="E268" s="23"/>
      <c r="F268" s="25"/>
      <c r="G268" s="26"/>
      <c r="H268" s="27"/>
      <c r="I268" s="27"/>
      <c r="J268" s="54">
        <v>0</v>
      </c>
      <c r="K268" s="59"/>
    </row>
    <row r="269" spans="2:11" ht="15">
      <c r="B269" s="22"/>
      <c r="C269" s="23"/>
      <c r="D269" s="24"/>
      <c r="E269" s="23"/>
      <c r="F269" s="25"/>
      <c r="G269" s="26"/>
      <c r="H269" s="27"/>
      <c r="I269" s="27"/>
      <c r="J269" s="54">
        <v>0</v>
      </c>
      <c r="K269" s="59"/>
    </row>
    <row r="270" spans="2:11" ht="15">
      <c r="B270" s="22"/>
      <c r="C270" s="23"/>
      <c r="D270" s="24"/>
      <c r="E270" s="23"/>
      <c r="F270" s="25"/>
      <c r="G270" s="26"/>
      <c r="H270" s="27"/>
      <c r="I270" s="27"/>
      <c r="J270" s="54">
        <v>0</v>
      </c>
      <c r="K270" s="59"/>
    </row>
    <row r="271" spans="2:11" ht="15">
      <c r="B271" s="22"/>
      <c r="C271" s="23"/>
      <c r="D271" s="24"/>
      <c r="E271" s="23"/>
      <c r="F271" s="25"/>
      <c r="G271" s="26"/>
      <c r="H271" s="27"/>
      <c r="I271" s="27"/>
      <c r="J271" s="54">
        <v>0</v>
      </c>
      <c r="K271" s="59"/>
    </row>
    <row r="272" spans="2:11" ht="15">
      <c r="B272" s="22"/>
      <c r="C272" s="23"/>
      <c r="D272" s="24"/>
      <c r="E272" s="23"/>
      <c r="F272" s="25"/>
      <c r="G272" s="26"/>
      <c r="H272" s="27"/>
      <c r="I272" s="27"/>
      <c r="J272" s="54">
        <v>0</v>
      </c>
    </row>
    <row r="273" spans="2:12" ht="15">
      <c r="B273" s="22"/>
      <c r="C273" s="23"/>
      <c r="D273" s="24"/>
      <c r="E273" s="23"/>
      <c r="F273" s="25"/>
      <c r="G273" s="26"/>
      <c r="H273" s="27"/>
      <c r="I273" s="27"/>
      <c r="J273" s="54">
        <v>0</v>
      </c>
    </row>
    <row r="274" spans="2:12" ht="15">
      <c r="B274" s="22"/>
      <c r="C274" s="23"/>
      <c r="D274" s="24"/>
      <c r="E274" s="23"/>
      <c r="F274" s="25"/>
      <c r="G274" s="26"/>
      <c r="H274" s="27"/>
      <c r="I274" s="27"/>
      <c r="J274" s="54">
        <v>0</v>
      </c>
    </row>
    <row r="275" spans="2:12" ht="15">
      <c r="B275" s="22"/>
      <c r="C275" s="23"/>
      <c r="D275" s="24"/>
      <c r="E275" s="23"/>
      <c r="F275" s="25"/>
      <c r="G275" s="26"/>
      <c r="H275" s="27"/>
      <c r="I275" s="27"/>
      <c r="J275" s="54">
        <v>0</v>
      </c>
    </row>
    <row r="276" spans="2:12" ht="15">
      <c r="B276" s="22"/>
      <c r="C276" s="23"/>
      <c r="D276" s="24"/>
      <c r="E276" s="23"/>
      <c r="F276" s="25"/>
      <c r="G276" s="26"/>
      <c r="H276" s="27"/>
      <c r="I276" s="27"/>
      <c r="J276" s="54">
        <v>0</v>
      </c>
    </row>
    <row r="277" spans="2:12" ht="15">
      <c r="B277" s="22"/>
      <c r="C277" s="23"/>
      <c r="D277" s="24"/>
      <c r="E277" s="23"/>
      <c r="F277" s="25"/>
      <c r="G277" s="26"/>
      <c r="H277" s="27"/>
      <c r="I277" s="27"/>
      <c r="J277" s="54">
        <v>0</v>
      </c>
    </row>
    <row r="278" spans="2:12" ht="15">
      <c r="B278" s="22"/>
      <c r="C278" s="23"/>
      <c r="D278" s="24"/>
      <c r="E278" s="23"/>
      <c r="F278" s="25"/>
      <c r="G278" s="26"/>
      <c r="H278" s="27"/>
      <c r="I278" s="27"/>
      <c r="J278" s="54">
        <v>0</v>
      </c>
    </row>
    <row r="279" spans="2:12" ht="15">
      <c r="B279" s="22"/>
      <c r="C279" s="23"/>
      <c r="D279" s="24"/>
      <c r="E279" s="23"/>
      <c r="F279" s="25"/>
      <c r="G279" s="26"/>
      <c r="H279" s="27"/>
      <c r="I279" s="27"/>
      <c r="J279" s="54">
        <v>0</v>
      </c>
    </row>
    <row r="280" spans="2:12" ht="15">
      <c r="B280" s="22"/>
      <c r="C280" s="23"/>
      <c r="D280" s="24"/>
      <c r="E280" s="23"/>
      <c r="F280" s="25"/>
      <c r="G280" s="26"/>
      <c r="H280" s="27"/>
      <c r="I280" s="27"/>
      <c r="J280" s="54">
        <v>0</v>
      </c>
    </row>
    <row r="281" spans="2:12" ht="15">
      <c r="B281" s="22"/>
      <c r="C281" s="23"/>
      <c r="D281" s="38"/>
      <c r="E281" s="23"/>
      <c r="F281" s="25"/>
      <c r="G281" s="26"/>
      <c r="H281" s="27"/>
      <c r="I281" s="27"/>
      <c r="J281" s="54">
        <v>0</v>
      </c>
      <c r="K281" s="59"/>
    </row>
    <row r="282" spans="2:12" ht="15">
      <c r="B282" s="22"/>
      <c r="C282" s="23"/>
      <c r="D282" s="38"/>
      <c r="E282" s="23"/>
      <c r="F282" s="25"/>
      <c r="G282" s="26"/>
      <c r="H282" s="27"/>
      <c r="I282" s="27"/>
      <c r="J282" s="54">
        <v>0</v>
      </c>
      <c r="K282" s="59"/>
    </row>
    <row r="283" spans="2:12" ht="15">
      <c r="B283" s="22"/>
      <c r="C283" s="23"/>
      <c r="D283" s="38"/>
      <c r="E283" s="23"/>
      <c r="F283" s="25"/>
      <c r="G283" s="26"/>
      <c r="H283" s="27"/>
      <c r="I283" s="27"/>
      <c r="J283" s="54">
        <v>0</v>
      </c>
      <c r="K283" s="59"/>
    </row>
    <row r="284" spans="2:12" ht="15">
      <c r="B284" s="22"/>
      <c r="C284" s="23"/>
      <c r="D284" s="38"/>
      <c r="E284" s="23"/>
      <c r="F284" s="25"/>
      <c r="G284" s="26"/>
      <c r="H284" s="27"/>
      <c r="I284" s="27"/>
      <c r="J284" s="54">
        <v>0</v>
      </c>
      <c r="K284" s="75"/>
      <c r="L284" s="76"/>
    </row>
    <row r="285" spans="2:12" ht="15">
      <c r="B285" s="22"/>
      <c r="C285" s="23"/>
      <c r="D285" s="38"/>
      <c r="E285" s="23"/>
      <c r="F285" s="25"/>
      <c r="G285" s="26"/>
      <c r="H285" s="27"/>
      <c r="I285" s="27"/>
      <c r="J285" s="54">
        <v>0</v>
      </c>
      <c r="K285" s="59"/>
    </row>
    <row r="286" spans="2:12" ht="15">
      <c r="B286" s="22"/>
      <c r="C286" s="23"/>
      <c r="D286" s="38"/>
      <c r="E286" s="23"/>
      <c r="F286" s="25"/>
      <c r="G286" s="26"/>
      <c r="H286" s="27"/>
      <c r="I286" s="27"/>
      <c r="J286" s="54">
        <v>0</v>
      </c>
      <c r="K286" s="59"/>
    </row>
    <row r="287" spans="2:12" ht="15">
      <c r="B287" s="22"/>
      <c r="C287" s="23"/>
      <c r="D287" s="24"/>
      <c r="E287" s="23"/>
      <c r="F287" s="25"/>
      <c r="G287" s="26"/>
      <c r="H287" s="27"/>
      <c r="I287" s="27"/>
      <c r="J287" s="54">
        <v>0</v>
      </c>
      <c r="K287" s="59"/>
    </row>
    <row r="288" spans="2:12" ht="15">
      <c r="B288" s="22"/>
      <c r="C288" s="23"/>
      <c r="D288" s="24"/>
      <c r="E288" s="23"/>
      <c r="F288" s="25"/>
      <c r="G288" s="26"/>
      <c r="H288" s="27"/>
      <c r="I288" s="27"/>
      <c r="J288" s="54">
        <v>0</v>
      </c>
      <c r="K288" s="59"/>
    </row>
    <row r="289" spans="2:11" ht="15">
      <c r="B289" s="22"/>
      <c r="C289" s="23"/>
      <c r="D289" s="24"/>
      <c r="E289" s="23"/>
      <c r="F289" s="25"/>
      <c r="G289" s="26"/>
      <c r="H289" s="27"/>
      <c r="I289" s="27"/>
      <c r="J289" s="54">
        <v>0</v>
      </c>
      <c r="K289" s="59"/>
    </row>
    <row r="290" spans="2:11" ht="15">
      <c r="B290" s="22"/>
      <c r="C290" s="23"/>
      <c r="D290" s="24"/>
      <c r="E290" s="23"/>
      <c r="F290" s="25"/>
      <c r="G290" s="26"/>
      <c r="H290" s="27"/>
      <c r="I290" s="27"/>
      <c r="J290" s="54">
        <v>0</v>
      </c>
      <c r="K290" s="59"/>
    </row>
    <row r="291" spans="2:11" ht="15">
      <c r="B291" s="22"/>
      <c r="C291" s="23"/>
      <c r="D291" s="24"/>
      <c r="E291" s="23"/>
      <c r="F291" s="25"/>
      <c r="G291" s="26"/>
      <c r="H291" s="27"/>
      <c r="I291" s="27"/>
      <c r="J291" s="54">
        <v>0</v>
      </c>
      <c r="K291" s="59"/>
    </row>
    <row r="292" spans="2:11" ht="15">
      <c r="B292" s="22"/>
      <c r="C292" s="23"/>
      <c r="D292" s="24"/>
      <c r="E292" s="23"/>
      <c r="F292" s="25"/>
      <c r="G292" s="26"/>
      <c r="H292" s="27"/>
      <c r="I292" s="27"/>
      <c r="J292" s="54">
        <v>0</v>
      </c>
      <c r="K292" s="59"/>
    </row>
    <row r="293" spans="2:11" ht="15">
      <c r="B293" s="22"/>
      <c r="C293" s="23"/>
      <c r="D293" s="24"/>
      <c r="E293" s="23"/>
      <c r="F293" s="25"/>
      <c r="G293" s="26"/>
      <c r="H293" s="27"/>
      <c r="I293" s="27"/>
      <c r="J293" s="54">
        <v>0</v>
      </c>
      <c r="K293" s="59"/>
    </row>
    <row r="294" spans="2:11" ht="15">
      <c r="B294" s="22"/>
      <c r="C294" s="23"/>
      <c r="D294" s="24"/>
      <c r="E294" s="23"/>
      <c r="F294" s="25"/>
      <c r="G294" s="26"/>
      <c r="H294" s="27"/>
      <c r="I294" s="27"/>
      <c r="J294" s="54">
        <v>0</v>
      </c>
      <c r="K294" s="59"/>
    </row>
    <row r="295" spans="2:11" ht="15">
      <c r="B295" s="22"/>
      <c r="C295" s="23"/>
      <c r="D295" s="24"/>
      <c r="E295" s="23"/>
      <c r="F295" s="25"/>
      <c r="G295" s="26"/>
      <c r="H295" s="27"/>
      <c r="I295" s="27"/>
      <c r="J295" s="54">
        <v>0</v>
      </c>
      <c r="K295" s="59"/>
    </row>
    <row r="296" spans="2:11" ht="15">
      <c r="B296" s="22"/>
      <c r="C296" s="23"/>
      <c r="D296" s="24"/>
      <c r="E296" s="23"/>
      <c r="F296" s="25"/>
      <c r="G296" s="26"/>
      <c r="H296" s="27"/>
      <c r="I296" s="27"/>
      <c r="J296" s="54">
        <v>0</v>
      </c>
      <c r="K296" s="59"/>
    </row>
    <row r="297" spans="2:11" ht="15">
      <c r="B297" s="22"/>
      <c r="C297" s="23"/>
      <c r="D297" s="24"/>
      <c r="E297" s="23"/>
      <c r="F297" s="25"/>
      <c r="G297" s="26"/>
      <c r="H297" s="27"/>
      <c r="I297" s="27"/>
      <c r="J297" s="54">
        <v>0</v>
      </c>
      <c r="K297" s="59"/>
    </row>
    <row r="298" spans="2:11" ht="15">
      <c r="B298" s="22"/>
      <c r="C298" s="23"/>
      <c r="D298" s="24"/>
      <c r="E298" s="23"/>
      <c r="F298" s="25"/>
      <c r="G298" s="26"/>
      <c r="H298" s="27"/>
      <c r="I298" s="27"/>
      <c r="J298" s="54">
        <v>0</v>
      </c>
      <c r="K298" s="59"/>
    </row>
    <row r="299" spans="2:11" ht="15">
      <c r="B299" s="22"/>
      <c r="C299" s="23"/>
      <c r="D299" s="24"/>
      <c r="E299" s="23"/>
      <c r="F299" s="25"/>
      <c r="G299" s="26"/>
      <c r="H299" s="27"/>
      <c r="I299" s="27"/>
      <c r="J299" s="54">
        <v>0</v>
      </c>
      <c r="K299" s="59"/>
    </row>
    <row r="300" spans="2:11" ht="15">
      <c r="B300" s="22"/>
      <c r="C300" s="23"/>
      <c r="D300" s="24"/>
      <c r="E300" s="23"/>
      <c r="F300" s="25"/>
      <c r="G300" s="26"/>
      <c r="H300" s="27"/>
      <c r="I300" s="27"/>
      <c r="J300" s="54">
        <v>0</v>
      </c>
      <c r="K300" s="59"/>
    </row>
    <row r="301" spans="2:11" ht="15">
      <c r="B301" s="22"/>
      <c r="C301" s="23"/>
      <c r="D301" s="38"/>
      <c r="E301" s="23"/>
      <c r="F301" s="25"/>
      <c r="G301" s="26"/>
      <c r="H301" s="27"/>
      <c r="I301" s="27"/>
      <c r="J301" s="54">
        <v>0</v>
      </c>
      <c r="K301" s="59"/>
    </row>
    <row r="302" spans="2:11" ht="15">
      <c r="B302" s="22"/>
      <c r="C302" s="23"/>
      <c r="D302" s="38"/>
      <c r="E302" s="23"/>
      <c r="F302" s="25"/>
      <c r="G302" s="26"/>
      <c r="H302" s="27"/>
      <c r="I302" s="27"/>
      <c r="J302" s="54">
        <v>0</v>
      </c>
      <c r="K302" s="59"/>
    </row>
    <row r="303" spans="2:11" ht="15">
      <c r="B303" s="22"/>
      <c r="C303" s="23"/>
      <c r="D303" s="24"/>
      <c r="E303" s="23"/>
      <c r="F303" s="25"/>
      <c r="G303" s="26"/>
      <c r="H303" s="27"/>
      <c r="I303" s="27"/>
      <c r="J303" s="54">
        <v>0</v>
      </c>
      <c r="K303" s="59"/>
    </row>
    <row r="304" spans="2:11" ht="15">
      <c r="B304" s="22"/>
      <c r="C304" s="23"/>
      <c r="D304" s="24"/>
      <c r="E304" s="23"/>
      <c r="F304" s="25"/>
      <c r="G304" s="26"/>
      <c r="H304" s="27"/>
      <c r="I304" s="27"/>
      <c r="J304" s="54">
        <v>0</v>
      </c>
      <c r="K304" s="59"/>
    </row>
    <row r="305" spans="2:11" ht="15">
      <c r="B305" s="22"/>
      <c r="C305" s="23"/>
      <c r="D305" s="24"/>
      <c r="E305" s="23"/>
      <c r="F305" s="25"/>
      <c r="G305" s="26"/>
      <c r="H305" s="27"/>
      <c r="I305" s="27"/>
      <c r="J305" s="54">
        <v>0</v>
      </c>
      <c r="K305" s="59"/>
    </row>
    <row r="306" spans="2:11" ht="15">
      <c r="B306" s="22"/>
      <c r="C306" s="23"/>
      <c r="D306" s="24"/>
      <c r="E306" s="23"/>
      <c r="F306" s="25"/>
      <c r="G306" s="26"/>
      <c r="H306" s="27"/>
      <c r="I306" s="27"/>
      <c r="J306" s="54">
        <v>0</v>
      </c>
      <c r="K306" s="59"/>
    </row>
    <row r="307" spans="2:11" ht="15">
      <c r="B307" s="22"/>
      <c r="C307" s="23"/>
      <c r="D307" s="24"/>
      <c r="E307" s="23"/>
      <c r="F307" s="25"/>
      <c r="G307" s="26"/>
      <c r="H307" s="27"/>
      <c r="I307" s="27"/>
      <c r="J307" s="54">
        <v>0</v>
      </c>
      <c r="K307" s="59"/>
    </row>
    <row r="308" spans="2:11" ht="15">
      <c r="B308" s="22"/>
      <c r="C308" s="23"/>
      <c r="D308" s="24"/>
      <c r="E308" s="23"/>
      <c r="F308" s="25"/>
      <c r="G308" s="26"/>
      <c r="H308" s="27"/>
      <c r="I308" s="27"/>
      <c r="J308" s="54">
        <v>0</v>
      </c>
      <c r="K308" s="59"/>
    </row>
    <row r="309" spans="2:11" ht="15">
      <c r="B309" s="22"/>
      <c r="C309" s="23"/>
      <c r="D309" s="24"/>
      <c r="E309" s="23"/>
      <c r="F309" s="25"/>
      <c r="G309" s="26"/>
      <c r="H309" s="27"/>
      <c r="I309" s="27"/>
      <c r="J309" s="54">
        <v>0</v>
      </c>
      <c r="K309" s="59"/>
    </row>
    <row r="310" spans="2:11" ht="15">
      <c r="B310" s="22"/>
      <c r="C310" s="23"/>
      <c r="D310" s="24"/>
      <c r="E310" s="23"/>
      <c r="F310" s="25"/>
      <c r="G310" s="26"/>
      <c r="H310" s="27"/>
      <c r="I310" s="27"/>
      <c r="J310" s="54">
        <v>0</v>
      </c>
      <c r="K310" s="59"/>
    </row>
    <row r="311" spans="2:11" ht="15">
      <c r="B311" s="22"/>
      <c r="C311" s="23"/>
      <c r="D311" s="24"/>
      <c r="E311" s="23"/>
      <c r="F311" s="25"/>
      <c r="G311" s="26"/>
      <c r="H311" s="27"/>
      <c r="I311" s="27"/>
      <c r="J311" s="54">
        <v>0</v>
      </c>
      <c r="K311" s="59"/>
    </row>
    <row r="312" spans="2:11" ht="15">
      <c r="B312" s="22"/>
      <c r="C312" s="23"/>
      <c r="D312" s="24"/>
      <c r="E312" s="23"/>
      <c r="F312" s="25"/>
      <c r="G312" s="26"/>
      <c r="H312" s="27"/>
      <c r="I312" s="27"/>
      <c r="J312" s="54">
        <v>0</v>
      </c>
      <c r="K312" s="59"/>
    </row>
    <row r="313" spans="2:11" ht="15">
      <c r="B313" s="22"/>
      <c r="C313" s="23"/>
      <c r="D313" s="24"/>
      <c r="E313" s="23"/>
      <c r="F313" s="25"/>
      <c r="G313" s="26"/>
      <c r="H313" s="27"/>
      <c r="I313" s="27"/>
      <c r="J313" s="54">
        <v>0</v>
      </c>
      <c r="K313" s="59"/>
    </row>
    <row r="314" spans="2:11" ht="15">
      <c r="B314" s="22"/>
      <c r="C314" s="23"/>
      <c r="D314" s="24"/>
      <c r="E314" s="23"/>
      <c r="F314" s="25"/>
      <c r="G314" s="26"/>
      <c r="H314" s="27"/>
      <c r="I314" s="27"/>
      <c r="J314" s="54">
        <v>0</v>
      </c>
      <c r="K314" s="59"/>
    </row>
    <row r="315" spans="2:11" ht="15">
      <c r="B315" s="22"/>
      <c r="C315" s="23"/>
      <c r="D315" s="24"/>
      <c r="E315" s="23"/>
      <c r="F315" s="25"/>
      <c r="G315" s="26"/>
      <c r="H315" s="27"/>
      <c r="I315" s="27"/>
      <c r="J315" s="54">
        <v>0</v>
      </c>
      <c r="K315" s="59"/>
    </row>
    <row r="316" spans="2:11" ht="15">
      <c r="B316" s="22"/>
      <c r="C316" s="23"/>
      <c r="D316" s="24"/>
      <c r="E316" s="23"/>
      <c r="F316" s="25"/>
      <c r="G316" s="26"/>
      <c r="H316" s="27"/>
      <c r="I316" s="27"/>
      <c r="J316" s="54">
        <v>0</v>
      </c>
      <c r="K316" s="59"/>
    </row>
    <row r="317" spans="2:11" ht="15">
      <c r="B317" s="22"/>
      <c r="C317" s="23"/>
      <c r="D317" s="24"/>
      <c r="E317" s="23"/>
      <c r="F317" s="25"/>
      <c r="G317" s="26"/>
      <c r="H317" s="27"/>
      <c r="I317" s="27"/>
      <c r="J317" s="54">
        <v>0</v>
      </c>
      <c r="K317" s="59"/>
    </row>
    <row r="318" spans="2:11" ht="15">
      <c r="B318" s="22"/>
      <c r="C318" s="23"/>
      <c r="D318" s="24"/>
      <c r="E318" s="23"/>
      <c r="F318" s="25"/>
      <c r="G318" s="26"/>
      <c r="H318" s="27"/>
      <c r="I318" s="27"/>
      <c r="J318" s="54">
        <v>0</v>
      </c>
      <c r="K318" s="59"/>
    </row>
    <row r="319" spans="2:11" ht="15">
      <c r="B319" s="22"/>
      <c r="C319" s="23"/>
      <c r="D319" s="24"/>
      <c r="E319" s="23"/>
      <c r="F319" s="25"/>
      <c r="G319" s="26"/>
      <c r="H319" s="27"/>
      <c r="I319" s="27"/>
      <c r="J319" s="54">
        <v>0</v>
      </c>
      <c r="K319" s="59"/>
    </row>
    <row r="320" spans="2:11" ht="15">
      <c r="B320" s="22"/>
      <c r="C320" s="23"/>
      <c r="D320" s="24"/>
      <c r="E320" s="23"/>
      <c r="F320" s="25"/>
      <c r="G320" s="26"/>
      <c r="H320" s="27"/>
      <c r="I320" s="27"/>
      <c r="J320" s="54">
        <v>0</v>
      </c>
      <c r="K320" s="59"/>
    </row>
    <row r="321" spans="2:11" ht="15">
      <c r="B321" s="22"/>
      <c r="C321" s="23"/>
      <c r="D321" s="24"/>
      <c r="E321" s="23"/>
      <c r="F321" s="25"/>
      <c r="G321" s="26"/>
      <c r="H321" s="27"/>
      <c r="I321" s="27"/>
      <c r="J321" s="54">
        <v>0</v>
      </c>
      <c r="K321" s="59"/>
    </row>
    <row r="322" spans="2:11" ht="15">
      <c r="B322" s="22"/>
      <c r="C322" s="23"/>
      <c r="D322" s="24"/>
      <c r="E322" s="23"/>
      <c r="F322" s="25"/>
      <c r="G322" s="26"/>
      <c r="H322" s="27"/>
      <c r="I322" s="27"/>
      <c r="J322" s="54">
        <v>0</v>
      </c>
      <c r="K322" s="59"/>
    </row>
    <row r="323" spans="2:11" ht="15">
      <c r="B323" s="22"/>
      <c r="C323" s="23"/>
      <c r="D323" s="24"/>
      <c r="E323" s="23"/>
      <c r="F323" s="25"/>
      <c r="G323" s="26"/>
      <c r="H323" s="27"/>
      <c r="I323" s="27"/>
      <c r="J323" s="54">
        <v>0</v>
      </c>
      <c r="K323" s="59"/>
    </row>
    <row r="324" spans="2:11" ht="15">
      <c r="B324" s="22"/>
      <c r="C324" s="23"/>
      <c r="D324" s="24"/>
      <c r="E324" s="23"/>
      <c r="F324" s="25"/>
      <c r="G324" s="26"/>
      <c r="H324" s="27"/>
      <c r="I324" s="27"/>
      <c r="J324" s="54">
        <v>0</v>
      </c>
      <c r="K324" s="59"/>
    </row>
    <row r="325" spans="2:11" ht="15">
      <c r="B325" s="22"/>
      <c r="C325" s="23"/>
      <c r="D325" s="24"/>
      <c r="E325" s="23"/>
      <c r="F325" s="25"/>
      <c r="G325" s="26"/>
      <c r="H325" s="27"/>
      <c r="I325" s="27"/>
      <c r="J325" s="54">
        <v>0</v>
      </c>
      <c r="K325" s="59"/>
    </row>
    <row r="326" spans="2:11" ht="15">
      <c r="B326" s="22"/>
      <c r="C326" s="23"/>
      <c r="D326" s="24"/>
      <c r="E326" s="23"/>
      <c r="F326" s="25"/>
      <c r="G326" s="26"/>
      <c r="H326" s="27"/>
      <c r="I326" s="27"/>
      <c r="J326" s="54">
        <v>0</v>
      </c>
      <c r="K326" s="59"/>
    </row>
    <row r="327" spans="2:11" ht="15">
      <c r="B327" s="22"/>
      <c r="C327" s="23"/>
      <c r="D327" s="24"/>
      <c r="E327" s="23"/>
      <c r="F327" s="25"/>
      <c r="G327" s="26"/>
      <c r="H327" s="27"/>
      <c r="I327" s="27"/>
      <c r="J327" s="54">
        <v>0</v>
      </c>
      <c r="K327" s="59"/>
    </row>
    <row r="328" spans="2:11" ht="15">
      <c r="B328" s="22"/>
      <c r="C328" s="23"/>
      <c r="D328" s="24"/>
      <c r="E328" s="23"/>
      <c r="F328" s="25"/>
      <c r="G328" s="26"/>
      <c r="H328" s="27"/>
      <c r="I328" s="27"/>
      <c r="J328" s="54">
        <v>0</v>
      </c>
      <c r="K328" s="59"/>
    </row>
    <row r="329" spans="2:11" ht="15">
      <c r="B329" s="22"/>
      <c r="C329" s="23"/>
      <c r="D329" s="24"/>
      <c r="E329" s="23"/>
      <c r="F329" s="25"/>
      <c r="G329" s="26"/>
      <c r="H329" s="27"/>
      <c r="I329" s="27"/>
      <c r="J329" s="54">
        <v>0</v>
      </c>
      <c r="K329" s="59"/>
    </row>
    <row r="330" spans="2:11" ht="15">
      <c r="B330" s="22"/>
      <c r="C330" s="23"/>
      <c r="D330" s="24"/>
      <c r="E330" s="23"/>
      <c r="F330" s="25"/>
      <c r="G330" s="26"/>
      <c r="H330" s="27"/>
      <c r="I330" s="27"/>
      <c r="J330" s="54">
        <v>0</v>
      </c>
      <c r="K330" s="59"/>
    </row>
    <row r="331" spans="2:11" ht="15">
      <c r="B331" s="22"/>
      <c r="C331" s="23"/>
      <c r="D331" s="24"/>
      <c r="E331" s="23"/>
      <c r="F331" s="25"/>
      <c r="G331" s="26"/>
      <c r="H331" s="27"/>
      <c r="I331" s="27"/>
      <c r="J331" s="54">
        <v>0</v>
      </c>
      <c r="K331" s="59"/>
    </row>
    <row r="332" spans="2:11" ht="15">
      <c r="B332" s="22"/>
      <c r="C332" s="23"/>
      <c r="D332" s="24"/>
      <c r="E332" s="23"/>
      <c r="F332" s="25"/>
      <c r="G332" s="26"/>
      <c r="H332" s="27"/>
      <c r="I332" s="27"/>
      <c r="J332" s="54">
        <v>0</v>
      </c>
      <c r="K332" s="59"/>
    </row>
    <row r="333" spans="2:11" ht="15">
      <c r="B333" s="22"/>
      <c r="C333" s="23"/>
      <c r="D333" s="24"/>
      <c r="E333" s="23"/>
      <c r="F333" s="25"/>
      <c r="G333" s="26"/>
      <c r="H333" s="27"/>
      <c r="I333" s="27"/>
      <c r="J333" s="54">
        <v>0</v>
      </c>
      <c r="K333" s="59"/>
    </row>
    <row r="334" spans="2:11" ht="15">
      <c r="B334" s="22"/>
      <c r="C334" s="23"/>
      <c r="D334" s="24"/>
      <c r="E334" s="23"/>
      <c r="F334" s="25"/>
      <c r="G334" s="26"/>
      <c r="H334" s="27"/>
      <c r="I334" s="27"/>
      <c r="J334" s="54">
        <v>0</v>
      </c>
      <c r="K334" s="59"/>
    </row>
    <row r="335" spans="2:11" ht="15">
      <c r="B335" s="22"/>
      <c r="C335" s="23"/>
      <c r="D335" s="24"/>
      <c r="E335" s="23"/>
      <c r="F335" s="25"/>
      <c r="G335" s="26"/>
      <c r="H335" s="27"/>
      <c r="I335" s="27"/>
      <c r="J335" s="54">
        <v>0</v>
      </c>
      <c r="K335" s="59"/>
    </row>
    <row r="336" spans="2:11" ht="15">
      <c r="B336" s="22"/>
      <c r="C336" s="23"/>
      <c r="D336" s="24"/>
      <c r="E336" s="23"/>
      <c r="F336" s="25"/>
      <c r="G336" s="26"/>
      <c r="H336" s="27"/>
      <c r="I336" s="27"/>
      <c r="J336" s="54">
        <v>0</v>
      </c>
      <c r="K336" s="75"/>
    </row>
    <row r="337" spans="2:12" ht="15">
      <c r="B337" s="22"/>
      <c r="C337" s="23"/>
      <c r="D337" s="24"/>
      <c r="E337" s="23"/>
      <c r="F337" s="25"/>
      <c r="G337" s="26"/>
      <c r="H337" s="27"/>
      <c r="I337" s="27"/>
      <c r="J337" s="54">
        <v>0</v>
      </c>
      <c r="K337" s="59"/>
    </row>
    <row r="338" spans="2:12" ht="15">
      <c r="B338" s="22"/>
      <c r="C338" s="23"/>
      <c r="D338" s="24"/>
      <c r="E338" s="23"/>
      <c r="F338" s="25"/>
      <c r="G338" s="26"/>
      <c r="H338" s="27"/>
      <c r="I338" s="27"/>
      <c r="J338" s="54">
        <v>0</v>
      </c>
      <c r="K338" s="59"/>
    </row>
    <row r="339" spans="2:12" ht="15">
      <c r="B339" s="22"/>
      <c r="C339" s="23"/>
      <c r="D339" s="24"/>
      <c r="E339" s="23"/>
      <c r="F339" s="25"/>
      <c r="G339" s="26"/>
      <c r="H339" s="27"/>
      <c r="I339" s="27"/>
      <c r="J339" s="54">
        <v>0</v>
      </c>
      <c r="K339" s="59"/>
    </row>
    <row r="340" spans="2:12" ht="15">
      <c r="B340" s="22"/>
      <c r="C340" s="23"/>
      <c r="D340" s="24"/>
      <c r="E340" s="23"/>
      <c r="F340" s="25"/>
      <c r="G340" s="26"/>
      <c r="H340" s="27"/>
      <c r="I340" s="27"/>
      <c r="J340" s="54">
        <v>0</v>
      </c>
      <c r="K340" s="59"/>
    </row>
    <row r="341" spans="2:12" ht="15">
      <c r="B341" s="22"/>
      <c r="C341" s="23"/>
      <c r="D341" s="24"/>
      <c r="E341" s="23"/>
      <c r="F341" s="25"/>
      <c r="G341" s="26"/>
      <c r="H341" s="27"/>
      <c r="I341" s="27"/>
      <c r="J341" s="54">
        <v>0</v>
      </c>
      <c r="K341" s="59"/>
    </row>
    <row r="342" spans="2:12" ht="15">
      <c r="B342" s="22"/>
      <c r="C342" s="23"/>
      <c r="D342" s="24"/>
      <c r="E342" s="23"/>
      <c r="F342" s="25"/>
      <c r="G342" s="26"/>
      <c r="H342" s="27"/>
      <c r="I342" s="27"/>
      <c r="J342" s="54">
        <v>0</v>
      </c>
      <c r="K342" s="75"/>
      <c r="L342" s="76"/>
    </row>
    <row r="343" spans="2:12" ht="15">
      <c r="B343" s="22"/>
      <c r="C343" s="23"/>
      <c r="D343" s="24"/>
      <c r="E343" s="23"/>
      <c r="F343" s="25"/>
      <c r="G343" s="26"/>
      <c r="H343" s="27"/>
      <c r="I343" s="27"/>
      <c r="J343" s="54">
        <v>0</v>
      </c>
      <c r="K343" s="75"/>
      <c r="L343" s="76"/>
    </row>
    <row r="344" spans="2:12" ht="15">
      <c r="B344" s="22"/>
      <c r="C344" s="23"/>
      <c r="D344" s="24"/>
      <c r="E344" s="23"/>
      <c r="F344" s="25"/>
      <c r="G344" s="26"/>
      <c r="H344" s="27"/>
      <c r="I344" s="27"/>
      <c r="J344" s="54">
        <v>0</v>
      </c>
      <c r="K344" s="75"/>
      <c r="L344" s="76"/>
    </row>
    <row r="345" spans="2:12" ht="15">
      <c r="B345" s="22"/>
      <c r="C345" s="23"/>
      <c r="D345" s="24"/>
      <c r="E345" s="23"/>
      <c r="F345" s="25"/>
      <c r="G345" s="26"/>
      <c r="H345" s="27"/>
      <c r="I345" s="27"/>
      <c r="J345" s="54">
        <v>0</v>
      </c>
      <c r="K345" s="75"/>
      <c r="L345" s="76"/>
    </row>
    <row r="346" spans="2:12" ht="15">
      <c r="B346" s="22"/>
      <c r="C346" s="23"/>
      <c r="D346" s="24"/>
      <c r="E346" s="23"/>
      <c r="F346" s="25"/>
      <c r="G346" s="26"/>
      <c r="H346" s="27"/>
      <c r="I346" s="27"/>
      <c r="J346" s="54">
        <v>0</v>
      </c>
      <c r="K346" s="59"/>
    </row>
    <row r="347" spans="2:12" ht="15">
      <c r="B347" s="22"/>
      <c r="C347" s="23"/>
      <c r="D347" s="38"/>
      <c r="E347" s="23"/>
      <c r="F347" s="25"/>
      <c r="G347" s="26"/>
      <c r="H347" s="27"/>
      <c r="I347" s="27"/>
      <c r="J347" s="54">
        <v>0</v>
      </c>
      <c r="K347" s="59"/>
    </row>
    <row r="348" spans="2:12" ht="15">
      <c r="B348" s="22"/>
      <c r="C348" s="23"/>
      <c r="D348" s="38"/>
      <c r="E348" s="23"/>
      <c r="F348" s="25"/>
      <c r="G348" s="26"/>
      <c r="H348" s="27"/>
      <c r="I348" s="27"/>
      <c r="J348" s="54">
        <v>0</v>
      </c>
      <c r="K348" s="59"/>
    </row>
    <row r="349" spans="2:12" ht="15">
      <c r="B349" s="22"/>
      <c r="C349" s="23"/>
      <c r="D349" s="38"/>
      <c r="E349" s="23"/>
      <c r="F349" s="25"/>
      <c r="G349" s="26"/>
      <c r="H349" s="27"/>
      <c r="I349" s="27"/>
      <c r="J349" s="54">
        <v>0</v>
      </c>
      <c r="K349" s="59"/>
    </row>
    <row r="350" spans="2:12" ht="15">
      <c r="B350" s="22"/>
      <c r="C350" s="23"/>
      <c r="D350" s="38"/>
      <c r="E350" s="23"/>
      <c r="F350" s="25"/>
      <c r="G350" s="26"/>
      <c r="H350" s="27"/>
      <c r="I350" s="27"/>
      <c r="J350" s="54">
        <v>0</v>
      </c>
      <c r="K350" s="59"/>
    </row>
    <row r="351" spans="2:12" ht="15">
      <c r="B351" s="22"/>
      <c r="C351" s="23"/>
      <c r="D351" s="38"/>
      <c r="E351" s="23"/>
      <c r="F351" s="25"/>
      <c r="G351" s="26"/>
      <c r="H351" s="27"/>
      <c r="I351" s="27"/>
      <c r="J351" s="54">
        <v>0</v>
      </c>
      <c r="K351" s="59"/>
    </row>
    <row r="352" spans="2:12" ht="15">
      <c r="B352" s="22"/>
      <c r="C352" s="23"/>
      <c r="D352" s="38"/>
      <c r="E352" s="23"/>
      <c r="F352" s="25"/>
      <c r="G352" s="26"/>
      <c r="H352" s="27"/>
      <c r="I352" s="27"/>
      <c r="J352" s="54">
        <v>0</v>
      </c>
      <c r="K352" s="59"/>
    </row>
    <row r="353" spans="2:11" ht="15">
      <c r="B353" s="22"/>
      <c r="C353" s="23"/>
      <c r="D353" s="38"/>
      <c r="E353" s="23"/>
      <c r="F353" s="25"/>
      <c r="G353" s="26"/>
      <c r="H353" s="27"/>
      <c r="I353" s="27"/>
      <c r="J353" s="54">
        <v>0</v>
      </c>
      <c r="K353" s="59"/>
    </row>
    <row r="354" spans="2:11" ht="15">
      <c r="B354" s="22"/>
      <c r="C354" s="23"/>
      <c r="D354" s="38"/>
      <c r="E354" s="23"/>
      <c r="F354" s="25"/>
      <c r="G354" s="26"/>
      <c r="H354" s="27"/>
      <c r="I354" s="27"/>
      <c r="J354" s="54">
        <v>0</v>
      </c>
      <c r="K354" s="59"/>
    </row>
    <row r="355" spans="2:11" ht="15">
      <c r="B355" s="22"/>
      <c r="C355" s="23"/>
      <c r="D355" s="38"/>
      <c r="E355" s="23"/>
      <c r="F355" s="25"/>
      <c r="G355" s="26"/>
      <c r="H355" s="27"/>
      <c r="I355" s="27"/>
      <c r="J355" s="54">
        <v>0</v>
      </c>
      <c r="K355" s="59"/>
    </row>
    <row r="356" spans="2:11" ht="15">
      <c r="B356" s="22"/>
      <c r="C356" s="23"/>
      <c r="D356" s="38"/>
      <c r="E356" s="23"/>
      <c r="F356" s="25"/>
      <c r="G356" s="26"/>
      <c r="H356" s="27"/>
      <c r="I356" s="27"/>
      <c r="J356" s="54">
        <v>0</v>
      </c>
      <c r="K356" s="59"/>
    </row>
    <row r="357" spans="2:11" ht="15">
      <c r="B357" s="22"/>
      <c r="C357" s="23"/>
      <c r="D357" s="38"/>
      <c r="E357" s="23"/>
      <c r="F357" s="25"/>
      <c r="G357" s="26"/>
      <c r="H357" s="27"/>
      <c r="I357" s="27"/>
      <c r="J357" s="54">
        <v>0</v>
      </c>
      <c r="K357" s="59"/>
    </row>
    <row r="358" spans="2:11" ht="15">
      <c r="B358" s="22"/>
      <c r="C358" s="23"/>
      <c r="D358" s="38"/>
      <c r="E358" s="23"/>
      <c r="F358" s="25"/>
      <c r="G358" s="26"/>
      <c r="H358" s="27"/>
      <c r="I358" s="27"/>
      <c r="J358" s="54">
        <v>0</v>
      </c>
      <c r="K358" s="59"/>
    </row>
    <row r="359" spans="2:11" ht="15">
      <c r="B359" s="22"/>
      <c r="C359" s="23"/>
      <c r="D359" s="38"/>
      <c r="E359" s="23"/>
      <c r="F359" s="25"/>
      <c r="G359" s="26"/>
      <c r="H359" s="27"/>
      <c r="I359" s="27"/>
      <c r="J359" s="54">
        <v>0</v>
      </c>
      <c r="K359" s="59"/>
    </row>
    <row r="360" spans="2:11" ht="15">
      <c r="B360" s="22"/>
      <c r="C360" s="23"/>
      <c r="D360" s="38"/>
      <c r="E360" s="23"/>
      <c r="F360" s="25"/>
      <c r="G360" s="26"/>
      <c r="H360" s="27"/>
      <c r="I360" s="27"/>
      <c r="J360" s="54">
        <v>0</v>
      </c>
      <c r="K360" s="59"/>
    </row>
    <row r="361" spans="2:11" ht="15">
      <c r="B361" s="22"/>
      <c r="C361" s="23"/>
      <c r="D361" s="38"/>
      <c r="E361" s="23"/>
      <c r="F361" s="25"/>
      <c r="G361" s="26"/>
      <c r="H361" s="27"/>
      <c r="I361" s="27"/>
      <c r="J361" s="54">
        <v>0</v>
      </c>
      <c r="K361" s="59"/>
    </row>
    <row r="362" spans="2:11" ht="15">
      <c r="B362" s="22"/>
      <c r="C362" s="23"/>
      <c r="D362" s="38"/>
      <c r="E362" s="23"/>
      <c r="F362" s="25"/>
      <c r="G362" s="26"/>
      <c r="H362" s="27"/>
      <c r="I362" s="27"/>
      <c r="J362" s="54">
        <v>0</v>
      </c>
      <c r="K362" s="59"/>
    </row>
    <row r="363" spans="2:11" ht="15">
      <c r="B363" s="22"/>
      <c r="C363" s="23"/>
      <c r="D363" s="38"/>
      <c r="E363" s="23"/>
      <c r="F363" s="25"/>
      <c r="G363" s="26"/>
      <c r="H363" s="27"/>
      <c r="I363" s="27"/>
      <c r="J363" s="54">
        <v>0</v>
      </c>
      <c r="K363" s="59"/>
    </row>
    <row r="364" spans="2:11" ht="15">
      <c r="B364" s="22"/>
      <c r="C364" s="23"/>
      <c r="D364" s="38"/>
      <c r="E364" s="23"/>
      <c r="F364" s="25"/>
      <c r="G364" s="26"/>
      <c r="H364" s="27"/>
      <c r="I364" s="27"/>
      <c r="J364" s="54">
        <v>0</v>
      </c>
      <c r="K364" s="59"/>
    </row>
    <row r="365" spans="2:11" ht="15">
      <c r="B365" s="22"/>
      <c r="C365" s="23"/>
      <c r="D365" s="38"/>
      <c r="E365" s="23"/>
      <c r="F365" s="25"/>
      <c r="G365" s="26"/>
      <c r="H365" s="27"/>
      <c r="I365" s="27"/>
      <c r="J365" s="54">
        <v>0</v>
      </c>
      <c r="K365" s="59"/>
    </row>
    <row r="366" spans="2:11" ht="15">
      <c r="B366" s="22"/>
      <c r="C366" s="23"/>
      <c r="D366" s="38"/>
      <c r="E366" s="23"/>
      <c r="F366" s="25"/>
      <c r="G366" s="26"/>
      <c r="H366" s="27"/>
      <c r="I366" s="27"/>
      <c r="J366" s="54">
        <v>0</v>
      </c>
      <c r="K366" s="59"/>
    </row>
    <row r="367" spans="2:11" ht="15">
      <c r="B367" s="22"/>
      <c r="C367" s="23"/>
      <c r="D367" s="38"/>
      <c r="E367" s="23"/>
      <c r="F367" s="25"/>
      <c r="G367" s="26"/>
      <c r="H367" s="27"/>
      <c r="I367" s="27"/>
      <c r="J367" s="54">
        <v>0</v>
      </c>
      <c r="K367" s="59"/>
    </row>
    <row r="368" spans="2:11" ht="15">
      <c r="B368" s="22"/>
      <c r="C368" s="23"/>
      <c r="D368" s="38"/>
      <c r="E368" s="23"/>
      <c r="F368" s="25"/>
      <c r="G368" s="26"/>
      <c r="H368" s="27"/>
      <c r="I368" s="27"/>
      <c r="J368" s="54">
        <v>0</v>
      </c>
      <c r="K368" s="59"/>
    </row>
    <row r="369" spans="2:12" ht="15">
      <c r="B369" s="22"/>
      <c r="C369" s="23"/>
      <c r="D369" s="38"/>
      <c r="E369" s="23"/>
      <c r="F369" s="25"/>
      <c r="G369" s="26"/>
      <c r="H369" s="27"/>
      <c r="I369" s="27"/>
      <c r="J369" s="54">
        <v>0</v>
      </c>
      <c r="K369" s="59"/>
    </row>
    <row r="370" spans="2:12" ht="15">
      <c r="B370" s="22"/>
      <c r="C370" s="23"/>
      <c r="D370" s="38"/>
      <c r="E370" s="23"/>
      <c r="F370" s="25"/>
      <c r="G370" s="26"/>
      <c r="H370" s="27"/>
      <c r="I370" s="27"/>
      <c r="J370" s="54">
        <v>0</v>
      </c>
      <c r="K370" s="59"/>
    </row>
    <row r="371" spans="2:12" ht="15">
      <c r="B371" s="22"/>
      <c r="C371" s="23"/>
      <c r="D371" s="38"/>
      <c r="E371" s="23"/>
      <c r="F371" s="25"/>
      <c r="G371" s="26"/>
      <c r="H371" s="27"/>
      <c r="I371" s="27"/>
      <c r="J371" s="54">
        <v>0</v>
      </c>
      <c r="K371" s="59"/>
    </row>
    <row r="372" spans="2:12" ht="15">
      <c r="B372" s="22"/>
      <c r="C372" s="23"/>
      <c r="D372" s="38"/>
      <c r="E372" s="23"/>
      <c r="F372" s="25"/>
      <c r="G372" s="26"/>
      <c r="H372" s="27"/>
      <c r="I372" s="27"/>
      <c r="J372" s="54">
        <v>0</v>
      </c>
      <c r="K372" s="59"/>
    </row>
    <row r="373" spans="2:12" ht="15">
      <c r="B373" s="22"/>
      <c r="C373" s="23"/>
      <c r="D373" s="38"/>
      <c r="E373" s="23"/>
      <c r="F373" s="25"/>
      <c r="G373" s="26"/>
      <c r="H373" s="27"/>
      <c r="I373" s="27"/>
      <c r="J373" s="54">
        <v>0</v>
      </c>
      <c r="K373" s="59"/>
    </row>
    <row r="374" spans="2:12" ht="15">
      <c r="B374" s="22"/>
      <c r="C374" s="23"/>
      <c r="D374" s="38"/>
      <c r="E374" s="23"/>
      <c r="F374" s="25"/>
      <c r="G374" s="26"/>
      <c r="H374" s="27"/>
      <c r="I374" s="27"/>
      <c r="J374" s="54">
        <v>0</v>
      </c>
      <c r="K374" s="59"/>
    </row>
    <row r="375" spans="2:12" ht="15">
      <c r="B375" s="22"/>
      <c r="C375" s="23"/>
      <c r="D375" s="38"/>
      <c r="E375" s="23"/>
      <c r="F375" s="25"/>
      <c r="G375" s="26"/>
      <c r="H375" s="27"/>
      <c r="I375" s="27"/>
      <c r="J375" s="54">
        <v>0</v>
      </c>
      <c r="K375" s="59"/>
    </row>
    <row r="376" spans="2:12" ht="15">
      <c r="B376" s="22"/>
      <c r="C376" s="23"/>
      <c r="D376" s="38"/>
      <c r="E376" s="23"/>
      <c r="F376" s="25"/>
      <c r="G376" s="26"/>
      <c r="H376" s="27"/>
      <c r="I376" s="27"/>
      <c r="J376" s="54">
        <v>0</v>
      </c>
      <c r="K376" s="59"/>
    </row>
    <row r="377" spans="2:12" ht="15">
      <c r="B377" s="22"/>
      <c r="C377" s="23"/>
      <c r="D377" s="38"/>
      <c r="E377" s="23"/>
      <c r="F377" s="25"/>
      <c r="G377" s="26"/>
      <c r="H377" s="27"/>
      <c r="I377" s="27"/>
      <c r="J377" s="54">
        <v>0</v>
      </c>
      <c r="K377" s="59"/>
    </row>
    <row r="378" spans="2:12" ht="15">
      <c r="B378" s="22"/>
      <c r="C378" s="23"/>
      <c r="D378" s="38"/>
      <c r="E378" s="23"/>
      <c r="F378" s="25"/>
      <c r="G378" s="26"/>
      <c r="H378" s="27"/>
      <c r="I378" s="27"/>
      <c r="J378" s="54">
        <v>0</v>
      </c>
      <c r="K378" s="59"/>
    </row>
    <row r="379" spans="2:12" ht="15">
      <c r="B379" s="22"/>
      <c r="C379" s="23"/>
      <c r="D379" s="38"/>
      <c r="E379" s="23"/>
      <c r="F379" s="25"/>
      <c r="G379" s="26"/>
      <c r="H379" s="27"/>
      <c r="I379" s="27"/>
      <c r="J379" s="54">
        <v>0</v>
      </c>
      <c r="K379" s="59"/>
    </row>
    <row r="380" spans="2:12" ht="15">
      <c r="B380" s="22"/>
      <c r="C380" s="23"/>
      <c r="D380" s="38"/>
      <c r="E380" s="88"/>
      <c r="F380" s="25"/>
      <c r="G380" s="26"/>
      <c r="H380" s="27"/>
      <c r="I380" s="27"/>
      <c r="J380" s="54">
        <v>0</v>
      </c>
      <c r="K380" s="59"/>
    </row>
    <row r="381" spans="2:12" ht="15">
      <c r="B381" s="22"/>
      <c r="C381" s="23"/>
      <c r="D381" s="38"/>
      <c r="E381" s="23"/>
      <c r="F381" s="25"/>
      <c r="G381" s="26"/>
      <c r="H381" s="27"/>
      <c r="I381" s="27"/>
      <c r="J381" s="54">
        <v>0</v>
      </c>
      <c r="K381" s="75"/>
    </row>
    <row r="382" spans="2:12" ht="15">
      <c r="B382" s="22"/>
      <c r="C382" s="23"/>
      <c r="D382" s="38"/>
      <c r="E382" s="23"/>
      <c r="F382" s="25"/>
      <c r="G382" s="26"/>
      <c r="H382" s="27"/>
      <c r="I382" s="27"/>
      <c r="J382" s="54">
        <v>0</v>
      </c>
      <c r="K382" s="75"/>
    </row>
    <row r="383" spans="2:12" ht="15">
      <c r="B383" s="22"/>
      <c r="C383" s="23"/>
      <c r="D383" s="38"/>
      <c r="E383" s="23"/>
      <c r="F383" s="25"/>
      <c r="G383" s="26"/>
      <c r="H383" s="27"/>
      <c r="I383" s="27"/>
      <c r="J383" s="54">
        <v>0</v>
      </c>
      <c r="K383" s="75"/>
      <c r="L383" s="76"/>
    </row>
    <row r="384" spans="2:12" ht="15">
      <c r="B384" s="22"/>
      <c r="C384" s="23"/>
      <c r="D384" s="38"/>
      <c r="E384" s="23"/>
      <c r="F384" s="25"/>
      <c r="G384" s="26"/>
      <c r="H384" s="27"/>
      <c r="I384" s="27"/>
      <c r="J384" s="54">
        <v>0</v>
      </c>
      <c r="K384" s="59"/>
      <c r="L384" s="76"/>
    </row>
    <row r="385" spans="2:11" ht="15">
      <c r="B385" s="89"/>
      <c r="C385" s="90"/>
      <c r="D385" s="38"/>
      <c r="E385" s="90"/>
      <c r="F385" s="91"/>
      <c r="G385" s="92"/>
      <c r="H385" s="27"/>
      <c r="I385" s="27"/>
      <c r="J385" s="54">
        <v>0</v>
      </c>
      <c r="K385" s="59"/>
    </row>
    <row r="386" spans="2:11" ht="15">
      <c r="B386" s="22"/>
      <c r="C386" s="23"/>
      <c r="D386" s="38"/>
      <c r="E386" s="23"/>
      <c r="F386" s="25"/>
      <c r="G386" s="26"/>
      <c r="H386" s="27"/>
      <c r="I386" s="27"/>
      <c r="J386" s="54">
        <v>0</v>
      </c>
      <c r="K386" s="59"/>
    </row>
    <row r="387" spans="2:11" ht="15">
      <c r="B387" s="22"/>
      <c r="C387" s="23"/>
      <c r="D387" s="38"/>
      <c r="E387" s="23"/>
      <c r="F387" s="25"/>
      <c r="G387" s="26"/>
      <c r="H387" s="27"/>
      <c r="I387" s="27"/>
      <c r="J387" s="54">
        <v>0</v>
      </c>
      <c r="K387" s="59"/>
    </row>
    <row r="388" spans="2:11" ht="15">
      <c r="B388" s="22"/>
      <c r="C388" s="23"/>
      <c r="D388" s="38"/>
      <c r="E388" s="23"/>
      <c r="F388" s="25"/>
      <c r="G388" s="26"/>
      <c r="H388" s="27"/>
      <c r="I388" s="27"/>
      <c r="J388" s="54">
        <v>0</v>
      </c>
      <c r="K388" s="59"/>
    </row>
    <row r="389" spans="2:11" ht="15">
      <c r="B389" s="22"/>
      <c r="C389" s="23"/>
      <c r="D389" s="38"/>
      <c r="E389" s="23"/>
      <c r="F389" s="25"/>
      <c r="G389" s="26"/>
      <c r="H389" s="27"/>
      <c r="I389" s="27"/>
      <c r="J389" s="54">
        <v>0</v>
      </c>
      <c r="K389" s="59"/>
    </row>
    <row r="390" spans="2:11" ht="15">
      <c r="B390" s="22"/>
      <c r="C390" s="23"/>
      <c r="D390" s="38"/>
      <c r="E390" s="23"/>
      <c r="F390" s="25"/>
      <c r="G390" s="26"/>
      <c r="H390" s="27"/>
      <c r="I390" s="27"/>
      <c r="J390" s="54">
        <v>0</v>
      </c>
      <c r="K390" s="59"/>
    </row>
    <row r="391" spans="2:11" ht="15">
      <c r="B391" s="22"/>
      <c r="C391" s="23"/>
      <c r="D391" s="38"/>
      <c r="E391" s="23"/>
      <c r="F391" s="25"/>
      <c r="G391" s="26"/>
      <c r="H391" s="27"/>
      <c r="I391" s="27"/>
      <c r="J391" s="54">
        <v>0</v>
      </c>
      <c r="K391" s="59"/>
    </row>
    <row r="392" spans="2:11" ht="15">
      <c r="B392" s="22"/>
      <c r="C392" s="23"/>
      <c r="D392" s="38"/>
      <c r="E392" s="23"/>
      <c r="F392" s="25"/>
      <c r="G392" s="26"/>
      <c r="H392" s="27"/>
      <c r="I392" s="27"/>
      <c r="J392" s="54">
        <v>0</v>
      </c>
      <c r="K392" s="59"/>
    </row>
    <row r="393" spans="2:11" ht="15">
      <c r="B393" s="22"/>
      <c r="C393" s="23"/>
      <c r="D393" s="38"/>
      <c r="E393" s="23"/>
      <c r="F393" s="25"/>
      <c r="G393" s="26"/>
      <c r="H393" s="27"/>
      <c r="I393" s="27"/>
      <c r="J393" s="54">
        <v>0</v>
      </c>
      <c r="K393" s="59"/>
    </row>
    <row r="394" spans="2:11" ht="15">
      <c r="B394" s="22"/>
      <c r="C394" s="23"/>
      <c r="D394" s="38"/>
      <c r="E394" s="23"/>
      <c r="F394" s="25"/>
      <c r="G394" s="26"/>
      <c r="H394" s="27"/>
      <c r="I394" s="27"/>
      <c r="J394" s="54">
        <v>0</v>
      </c>
      <c r="K394" s="59"/>
    </row>
    <row r="395" spans="2:11" ht="15">
      <c r="B395" s="22"/>
      <c r="C395" s="23"/>
      <c r="D395" s="38"/>
      <c r="E395" s="23"/>
      <c r="F395" s="25"/>
      <c r="G395" s="26"/>
      <c r="H395" s="27"/>
      <c r="I395" s="27"/>
      <c r="J395" s="54">
        <v>0</v>
      </c>
      <c r="K395" s="59"/>
    </row>
    <row r="396" spans="2:11" ht="15">
      <c r="B396" s="22"/>
      <c r="C396" s="23"/>
      <c r="D396" s="38"/>
      <c r="E396" s="23"/>
      <c r="F396" s="25"/>
      <c r="G396" s="26"/>
      <c r="H396" s="27"/>
      <c r="I396" s="27"/>
      <c r="J396" s="54">
        <v>0</v>
      </c>
      <c r="K396" s="59"/>
    </row>
    <row r="397" spans="2:11" ht="15">
      <c r="B397" s="22"/>
      <c r="C397" s="23"/>
      <c r="D397" s="38"/>
      <c r="E397" s="23"/>
      <c r="F397" s="25"/>
      <c r="G397" s="26"/>
      <c r="H397" s="27"/>
      <c r="I397" s="27"/>
      <c r="J397" s="54">
        <v>0</v>
      </c>
      <c r="K397" s="59"/>
    </row>
    <row r="398" spans="2:11" ht="15">
      <c r="B398" s="22"/>
      <c r="C398" s="23"/>
      <c r="D398" s="38"/>
      <c r="E398" s="23"/>
      <c r="F398" s="25"/>
      <c r="G398" s="26"/>
      <c r="H398" s="27"/>
      <c r="I398" s="27"/>
      <c r="J398" s="54">
        <v>0</v>
      </c>
      <c r="K398" s="59"/>
    </row>
    <row r="399" spans="2:11" ht="15">
      <c r="B399" s="22"/>
      <c r="C399" s="23"/>
      <c r="D399" s="38"/>
      <c r="E399" s="23"/>
      <c r="F399" s="25"/>
      <c r="G399" s="26"/>
      <c r="H399" s="27"/>
      <c r="I399" s="27"/>
      <c r="J399" s="54">
        <v>0</v>
      </c>
      <c r="K399" s="59"/>
    </row>
    <row r="400" spans="2:11" ht="15">
      <c r="B400" s="22"/>
      <c r="C400" s="23"/>
      <c r="D400" s="38"/>
      <c r="E400" s="23"/>
      <c r="F400" s="25"/>
      <c r="G400" s="26"/>
      <c r="H400" s="27"/>
      <c r="I400" s="27"/>
      <c r="J400" s="54">
        <v>0</v>
      </c>
      <c r="K400" s="59"/>
    </row>
    <row r="401" spans="2:11" ht="15">
      <c r="B401" s="22"/>
      <c r="C401" s="23"/>
      <c r="D401" s="38"/>
      <c r="E401" s="23"/>
      <c r="F401" s="25"/>
      <c r="G401" s="26"/>
      <c r="H401" s="27"/>
      <c r="I401" s="27"/>
      <c r="J401" s="54">
        <v>0</v>
      </c>
      <c r="K401" s="59"/>
    </row>
    <row r="402" spans="2:11" ht="15">
      <c r="B402" s="22"/>
      <c r="C402" s="23"/>
      <c r="D402" s="38"/>
      <c r="E402" s="23"/>
      <c r="F402" s="25"/>
      <c r="G402" s="26"/>
      <c r="H402" s="27"/>
      <c r="I402" s="27"/>
      <c r="J402" s="54">
        <v>0</v>
      </c>
      <c r="K402" s="59"/>
    </row>
    <row r="403" spans="2:11" ht="15">
      <c r="B403" s="22"/>
      <c r="C403" s="23"/>
      <c r="D403" s="38"/>
      <c r="E403" s="23"/>
      <c r="F403" s="25"/>
      <c r="G403" s="26"/>
      <c r="H403" s="27"/>
      <c r="I403" s="27"/>
      <c r="J403" s="54">
        <v>0</v>
      </c>
      <c r="K403" s="59"/>
    </row>
    <row r="404" spans="2:11" ht="15">
      <c r="B404" s="22"/>
      <c r="C404" s="23"/>
      <c r="D404" s="38"/>
      <c r="E404" s="23"/>
      <c r="F404" s="25"/>
      <c r="G404" s="26"/>
      <c r="H404" s="27"/>
      <c r="I404" s="27"/>
      <c r="J404" s="54">
        <v>0</v>
      </c>
      <c r="K404" s="59"/>
    </row>
    <row r="405" spans="2:11" ht="15">
      <c r="B405" s="22"/>
      <c r="C405" s="23"/>
      <c r="D405" s="38"/>
      <c r="E405" s="23"/>
      <c r="F405" s="25"/>
      <c r="G405" s="26"/>
      <c r="H405" s="27"/>
      <c r="I405" s="27"/>
      <c r="J405" s="54">
        <v>0</v>
      </c>
      <c r="K405" s="59"/>
    </row>
    <row r="406" spans="2:11" ht="15">
      <c r="B406" s="22"/>
      <c r="C406" s="23"/>
      <c r="D406" s="38"/>
      <c r="E406" s="23"/>
      <c r="F406" s="25"/>
      <c r="G406" s="26"/>
      <c r="H406" s="27"/>
      <c r="I406" s="27"/>
      <c r="J406" s="54">
        <v>0</v>
      </c>
      <c r="K406" s="59"/>
    </row>
    <row r="407" spans="2:11" ht="15">
      <c r="B407" s="22"/>
      <c r="C407" s="23"/>
      <c r="D407" s="38"/>
      <c r="E407" s="23"/>
      <c r="F407" s="25"/>
      <c r="G407" s="26"/>
      <c r="H407" s="27"/>
      <c r="I407" s="27"/>
      <c r="J407" s="54">
        <v>0</v>
      </c>
      <c r="K407" s="59"/>
    </row>
    <row r="408" spans="2:11" ht="15">
      <c r="B408" s="22"/>
      <c r="C408" s="23"/>
      <c r="D408" s="38"/>
      <c r="E408" s="23"/>
      <c r="F408" s="25"/>
      <c r="G408" s="26"/>
      <c r="H408" s="27"/>
      <c r="I408" s="27"/>
      <c r="J408" s="54">
        <v>0</v>
      </c>
      <c r="K408" s="59"/>
    </row>
    <row r="409" spans="2:11" ht="15">
      <c r="B409" s="22"/>
      <c r="C409" s="23"/>
      <c r="D409" s="38"/>
      <c r="E409" s="23"/>
      <c r="F409" s="25"/>
      <c r="G409" s="26"/>
      <c r="H409" s="27"/>
      <c r="I409" s="27"/>
      <c r="J409" s="54">
        <v>0</v>
      </c>
      <c r="K409" s="59"/>
    </row>
    <row r="410" spans="2:11" ht="15">
      <c r="B410" s="22"/>
      <c r="C410" s="23"/>
      <c r="D410" s="38"/>
      <c r="E410" s="23"/>
      <c r="F410" s="25"/>
      <c r="G410" s="26"/>
      <c r="H410" s="27"/>
      <c r="I410" s="27"/>
      <c r="J410" s="54">
        <v>0</v>
      </c>
      <c r="K410" s="59"/>
    </row>
    <row r="411" spans="2:11" ht="15">
      <c r="B411" s="22"/>
      <c r="C411" s="23"/>
      <c r="D411" s="38"/>
      <c r="E411" s="23"/>
      <c r="F411" s="25"/>
      <c r="G411" s="26"/>
      <c r="H411" s="27"/>
      <c r="I411" s="27"/>
      <c r="J411" s="54">
        <v>0</v>
      </c>
      <c r="K411" s="59"/>
    </row>
    <row r="412" spans="2:11" ht="15">
      <c r="B412" s="22"/>
      <c r="C412" s="23"/>
      <c r="D412" s="38"/>
      <c r="E412" s="23"/>
      <c r="F412" s="25"/>
      <c r="G412" s="26"/>
      <c r="H412" s="27"/>
      <c r="I412" s="27"/>
      <c r="J412" s="54">
        <v>0</v>
      </c>
      <c r="K412" s="59"/>
    </row>
    <row r="413" spans="2:11" ht="15">
      <c r="B413" s="22"/>
      <c r="C413" s="23"/>
      <c r="D413" s="38"/>
      <c r="E413" s="23"/>
      <c r="F413" s="25"/>
      <c r="G413" s="26"/>
      <c r="H413" s="27"/>
      <c r="I413" s="27"/>
      <c r="J413" s="54">
        <v>0</v>
      </c>
      <c r="K413" s="59"/>
    </row>
    <row r="414" spans="2:11" ht="15">
      <c r="B414" s="22"/>
      <c r="C414" s="23"/>
      <c r="D414" s="38"/>
      <c r="E414" s="23"/>
      <c r="F414" s="25"/>
      <c r="G414" s="26"/>
      <c r="H414" s="27"/>
      <c r="I414" s="27"/>
      <c r="J414" s="54">
        <v>0</v>
      </c>
      <c r="K414" s="59"/>
    </row>
    <row r="415" spans="2:11" ht="15">
      <c r="B415" s="22"/>
      <c r="C415" s="23"/>
      <c r="D415" s="38"/>
      <c r="E415" s="23"/>
      <c r="F415" s="25"/>
      <c r="G415" s="26"/>
      <c r="H415" s="27"/>
      <c r="I415" s="27"/>
      <c r="J415" s="54">
        <v>0</v>
      </c>
      <c r="K415" s="59"/>
    </row>
    <row r="416" spans="2:11" ht="15">
      <c r="B416" s="22"/>
      <c r="C416" s="23"/>
      <c r="D416" s="38"/>
      <c r="E416" s="23"/>
      <c r="F416" s="25"/>
      <c r="G416" s="26"/>
      <c r="H416" s="27"/>
      <c r="I416" s="27"/>
      <c r="J416" s="54">
        <v>0</v>
      </c>
      <c r="K416" s="59"/>
    </row>
    <row r="417" spans="2:11" ht="15">
      <c r="B417" s="22"/>
      <c r="C417" s="23"/>
      <c r="D417" s="38"/>
      <c r="E417" s="23"/>
      <c r="F417" s="25"/>
      <c r="G417" s="26"/>
      <c r="H417" s="27"/>
      <c r="I417" s="27"/>
      <c r="J417" s="54">
        <v>0</v>
      </c>
      <c r="K417" s="59"/>
    </row>
    <row r="418" spans="2:11" ht="15">
      <c r="B418" s="22"/>
      <c r="C418" s="23"/>
      <c r="D418" s="38"/>
      <c r="E418" s="23"/>
      <c r="F418" s="25"/>
      <c r="G418" s="26"/>
      <c r="H418" s="27"/>
      <c r="I418" s="27"/>
      <c r="J418" s="54">
        <v>0</v>
      </c>
      <c r="K418" s="59"/>
    </row>
    <row r="419" spans="2:11" ht="15">
      <c r="B419" s="22"/>
      <c r="C419" s="23"/>
      <c r="D419" s="38"/>
      <c r="E419" s="23"/>
      <c r="F419" s="25"/>
      <c r="G419" s="26"/>
      <c r="H419" s="27"/>
      <c r="I419" s="27"/>
      <c r="J419" s="54">
        <v>0</v>
      </c>
      <c r="K419" s="59"/>
    </row>
    <row r="420" spans="2:11" ht="15">
      <c r="B420" s="22"/>
      <c r="C420" s="23"/>
      <c r="D420" s="38"/>
      <c r="E420" s="23"/>
      <c r="F420" s="25"/>
      <c r="G420" s="26"/>
      <c r="H420" s="27"/>
      <c r="I420" s="27"/>
      <c r="J420" s="54">
        <v>0</v>
      </c>
      <c r="K420" s="59"/>
    </row>
    <row r="421" spans="2:11" ht="15">
      <c r="B421" s="22"/>
      <c r="C421" s="23"/>
      <c r="D421" s="38"/>
      <c r="E421" s="23"/>
      <c r="F421" s="25"/>
      <c r="G421" s="26"/>
      <c r="H421" s="27"/>
      <c r="I421" s="27"/>
      <c r="J421" s="54">
        <v>0</v>
      </c>
      <c r="K421" s="59"/>
    </row>
    <row r="422" spans="2:11" ht="15">
      <c r="B422" s="22"/>
      <c r="C422" s="23"/>
      <c r="D422" s="38"/>
      <c r="E422" s="25"/>
      <c r="F422" s="25"/>
      <c r="G422" s="26"/>
      <c r="H422" s="27"/>
      <c r="I422" s="27"/>
      <c r="J422" s="54">
        <v>0</v>
      </c>
      <c r="K422" s="59"/>
    </row>
    <row r="423" spans="2:11" ht="15">
      <c r="B423" s="22"/>
      <c r="C423" s="23"/>
      <c r="D423" s="38"/>
      <c r="E423" s="25"/>
      <c r="F423" s="25"/>
      <c r="G423" s="26"/>
      <c r="H423" s="27"/>
      <c r="I423" s="27"/>
      <c r="J423" s="54">
        <v>0</v>
      </c>
      <c r="K423" s="59"/>
    </row>
    <row r="424" spans="2:11" ht="15">
      <c r="B424" s="22"/>
      <c r="C424" s="23"/>
      <c r="D424" s="38"/>
      <c r="E424" s="25"/>
      <c r="F424" s="25"/>
      <c r="G424" s="26"/>
      <c r="H424" s="27"/>
      <c r="I424" s="27"/>
      <c r="J424" s="54">
        <v>0</v>
      </c>
      <c r="K424" s="59"/>
    </row>
    <row r="425" spans="2:11" ht="15">
      <c r="B425" s="22"/>
      <c r="C425" s="23"/>
      <c r="D425" s="38"/>
      <c r="E425" s="25"/>
      <c r="F425" s="25"/>
      <c r="G425" s="26"/>
      <c r="H425" s="27"/>
      <c r="I425" s="27"/>
      <c r="J425" s="54">
        <v>0</v>
      </c>
      <c r="K425" s="59"/>
    </row>
    <row r="426" spans="2:11" ht="15">
      <c r="B426" s="22"/>
      <c r="C426" s="23"/>
      <c r="D426" s="38"/>
      <c r="E426" s="23"/>
      <c r="F426" s="25"/>
      <c r="G426" s="26"/>
      <c r="H426" s="27"/>
      <c r="I426" s="27"/>
      <c r="J426" s="54">
        <v>0</v>
      </c>
      <c r="K426" s="59"/>
    </row>
    <row r="427" spans="2:11" ht="15">
      <c r="B427" s="22"/>
      <c r="C427" s="23"/>
      <c r="D427" s="38"/>
      <c r="E427" s="23"/>
      <c r="F427" s="25"/>
      <c r="G427" s="26"/>
      <c r="H427" s="27"/>
      <c r="I427" s="27"/>
      <c r="J427" s="54">
        <v>0</v>
      </c>
      <c r="K427" s="59"/>
    </row>
    <row r="428" spans="2:11" ht="15">
      <c r="B428" s="22"/>
      <c r="C428" s="23"/>
      <c r="D428" s="38"/>
      <c r="E428" s="23"/>
      <c r="F428" s="25"/>
      <c r="G428" s="26"/>
      <c r="H428" s="27"/>
      <c r="I428" s="27"/>
      <c r="J428" s="54">
        <v>0</v>
      </c>
      <c r="K428" s="59"/>
    </row>
    <row r="429" spans="2:11" ht="15">
      <c r="B429" s="22"/>
      <c r="C429" s="23"/>
      <c r="D429" s="38"/>
      <c r="E429" s="25"/>
      <c r="F429" s="25"/>
      <c r="G429" s="26"/>
      <c r="H429" s="27"/>
      <c r="I429" s="27"/>
      <c r="J429" s="54">
        <v>0</v>
      </c>
      <c r="K429" s="59"/>
    </row>
    <row r="430" spans="2:11" ht="15">
      <c r="B430" s="22"/>
      <c r="C430" s="23"/>
      <c r="D430" s="38"/>
      <c r="E430" s="23"/>
      <c r="F430" s="25"/>
      <c r="G430" s="26"/>
      <c r="H430" s="27"/>
      <c r="I430" s="27"/>
      <c r="J430" s="54">
        <v>0</v>
      </c>
    </row>
    <row r="431" spans="2:11" ht="15">
      <c r="B431" s="22"/>
      <c r="C431" s="23"/>
      <c r="D431" s="38"/>
      <c r="E431" s="23"/>
      <c r="F431" s="25"/>
      <c r="G431" s="26"/>
      <c r="H431" s="27"/>
      <c r="I431" s="27"/>
      <c r="J431" s="54">
        <v>0</v>
      </c>
      <c r="K431" s="59"/>
    </row>
    <row r="432" spans="2:11" ht="15">
      <c r="B432" s="22"/>
      <c r="C432" s="23"/>
      <c r="D432" s="38"/>
      <c r="E432" s="23"/>
      <c r="F432" s="25"/>
      <c r="G432" s="26"/>
      <c r="H432" s="27"/>
      <c r="I432" s="27"/>
      <c r="J432" s="54">
        <v>0</v>
      </c>
      <c r="K432" s="59"/>
    </row>
    <row r="433" spans="2:11" ht="15">
      <c r="B433" s="22"/>
      <c r="C433" s="23"/>
      <c r="D433" s="38"/>
      <c r="E433" s="23"/>
      <c r="F433" s="25"/>
      <c r="G433" s="26"/>
      <c r="H433" s="27"/>
      <c r="I433" s="27"/>
      <c r="J433" s="54">
        <v>0</v>
      </c>
      <c r="K433" s="59"/>
    </row>
    <row r="434" spans="2:11" ht="15">
      <c r="B434" s="93"/>
      <c r="C434" s="23"/>
      <c r="D434" s="38"/>
      <c r="E434" s="23"/>
      <c r="F434" s="25"/>
      <c r="G434" s="26"/>
      <c r="H434" s="27"/>
      <c r="I434" s="27"/>
      <c r="J434" s="54">
        <v>0</v>
      </c>
      <c r="K434" s="59"/>
    </row>
    <row r="435" spans="2:11" ht="15">
      <c r="B435" s="93"/>
      <c r="C435" s="23"/>
      <c r="D435" s="38"/>
      <c r="E435" s="23"/>
      <c r="F435" s="25"/>
      <c r="G435" s="26"/>
      <c r="H435" s="27"/>
      <c r="I435" s="27"/>
      <c r="J435" s="54">
        <v>0</v>
      </c>
      <c r="K435" s="59"/>
    </row>
    <row r="436" spans="2:11" ht="15">
      <c r="B436" s="93"/>
      <c r="C436" s="23"/>
      <c r="D436" s="38"/>
      <c r="E436" s="23"/>
      <c r="F436" s="25"/>
      <c r="G436" s="26"/>
      <c r="H436" s="27"/>
      <c r="I436" s="27"/>
      <c r="J436" s="54">
        <v>0</v>
      </c>
    </row>
    <row r="437" spans="2:11" ht="15">
      <c r="B437" s="93"/>
      <c r="C437" s="23"/>
      <c r="D437" s="38"/>
      <c r="E437" s="23"/>
      <c r="F437" s="25"/>
      <c r="G437" s="26"/>
      <c r="H437" s="27"/>
      <c r="I437" s="27"/>
      <c r="J437" s="54">
        <v>0</v>
      </c>
    </row>
    <row r="438" spans="2:11" ht="15">
      <c r="B438" s="93"/>
      <c r="C438" s="23"/>
      <c r="D438" s="38"/>
      <c r="E438" s="25"/>
      <c r="F438" s="25"/>
      <c r="G438" s="26"/>
      <c r="H438" s="27"/>
      <c r="I438" s="27"/>
      <c r="J438" s="54">
        <v>0</v>
      </c>
    </row>
    <row r="439" spans="2:11" ht="15">
      <c r="B439" s="93"/>
      <c r="C439" s="23"/>
      <c r="D439" s="38"/>
      <c r="E439" s="25"/>
      <c r="F439" s="25"/>
      <c r="G439" s="26"/>
      <c r="H439" s="27"/>
      <c r="I439" s="27"/>
      <c r="J439" s="54">
        <v>0</v>
      </c>
    </row>
    <row r="440" spans="2:11" ht="15">
      <c r="B440" s="93"/>
      <c r="C440" s="23"/>
      <c r="D440" s="38"/>
      <c r="E440" s="25"/>
      <c r="F440" s="25"/>
      <c r="G440" s="26"/>
      <c r="H440" s="27"/>
      <c r="I440" s="27"/>
      <c r="J440" s="54">
        <v>0</v>
      </c>
    </row>
    <row r="441" spans="2:11" ht="15">
      <c r="B441" s="93"/>
      <c r="C441" s="23"/>
      <c r="D441" s="38"/>
      <c r="E441" s="23"/>
      <c r="F441" s="25"/>
      <c r="G441" s="26"/>
      <c r="H441" s="27"/>
      <c r="I441" s="27"/>
      <c r="J441" s="54">
        <v>0</v>
      </c>
      <c r="K441" s="59"/>
    </row>
    <row r="442" spans="2:11" ht="15">
      <c r="B442" s="93"/>
      <c r="C442" s="23"/>
      <c r="D442" s="23"/>
      <c r="E442" s="25"/>
      <c r="F442" s="25"/>
      <c r="G442" s="26"/>
      <c r="H442" s="27"/>
      <c r="I442" s="27"/>
      <c r="J442" s="54">
        <v>0</v>
      </c>
    </row>
    <row r="443" spans="2:11" ht="15">
      <c r="B443" s="93"/>
      <c r="C443" s="23"/>
      <c r="D443" s="38"/>
      <c r="E443" s="88"/>
      <c r="F443" s="25"/>
      <c r="G443" s="26"/>
      <c r="H443" s="27"/>
      <c r="I443" s="27"/>
      <c r="J443" s="54">
        <v>0</v>
      </c>
      <c r="K443" s="59"/>
    </row>
    <row r="444" spans="2:11" ht="15">
      <c r="B444" s="93"/>
      <c r="C444" s="23"/>
      <c r="D444" s="38"/>
      <c r="E444" s="25"/>
      <c r="F444" s="25"/>
      <c r="G444" s="26"/>
      <c r="H444" s="27"/>
      <c r="I444" s="27"/>
      <c r="J444" s="54">
        <v>0</v>
      </c>
    </row>
    <row r="445" spans="2:11" ht="15">
      <c r="B445" s="93"/>
      <c r="C445" s="23"/>
      <c r="D445" s="38"/>
      <c r="E445" s="25"/>
      <c r="F445" s="25"/>
      <c r="G445" s="26"/>
      <c r="H445" s="27"/>
      <c r="I445" s="27"/>
      <c r="J445" s="54">
        <v>0</v>
      </c>
    </row>
    <row r="446" spans="2:11" ht="15">
      <c r="B446" s="93"/>
      <c r="C446" s="23"/>
      <c r="D446" s="38"/>
      <c r="E446" s="25"/>
      <c r="F446" s="25"/>
      <c r="G446" s="26"/>
      <c r="H446" s="27"/>
      <c r="I446" s="27"/>
      <c r="J446" s="54">
        <v>0</v>
      </c>
    </row>
    <row r="447" spans="2:11" ht="15">
      <c r="B447" s="93"/>
      <c r="C447" s="23"/>
      <c r="D447" s="38"/>
      <c r="E447" s="25"/>
      <c r="F447" s="25"/>
      <c r="G447" s="26"/>
      <c r="H447" s="27"/>
      <c r="I447" s="27"/>
      <c r="J447" s="54">
        <v>0</v>
      </c>
    </row>
    <row r="448" spans="2:11" ht="15">
      <c r="B448" s="93"/>
      <c r="C448" s="25"/>
      <c r="D448" s="23"/>
      <c r="E448" s="25"/>
      <c r="F448" s="25"/>
      <c r="G448" s="26"/>
      <c r="H448" s="27"/>
      <c r="I448" s="27"/>
      <c r="J448" s="54">
        <v>0</v>
      </c>
    </row>
    <row r="449" spans="2:10" ht="15">
      <c r="B449" s="93"/>
      <c r="C449" s="25"/>
      <c r="D449" s="23"/>
      <c r="E449" s="25"/>
      <c r="F449" s="25"/>
      <c r="G449" s="26"/>
      <c r="H449" s="27"/>
      <c r="I449" s="27"/>
      <c r="J449" s="54">
        <v>0</v>
      </c>
    </row>
    <row r="450" spans="2:10" ht="15">
      <c r="B450" s="93"/>
      <c r="C450" s="25"/>
      <c r="D450" s="23"/>
      <c r="E450" s="25"/>
      <c r="F450" s="25"/>
      <c r="G450" s="26"/>
      <c r="H450" s="27"/>
      <c r="I450" s="27"/>
      <c r="J450" s="54">
        <f>+H450+I450</f>
        <v>0</v>
      </c>
    </row>
    <row r="451" spans="2:10" ht="15">
      <c r="B451" s="94"/>
      <c r="C451"/>
      <c r="D451" s="95"/>
      <c r="E451"/>
      <c r="F451"/>
      <c r="G451" s="96"/>
      <c r="H451" s="97">
        <f>SUM(H86:H450)</f>
        <v>0</v>
      </c>
      <c r="I451" s="97">
        <f>SUM(I86:I450)</f>
        <v>0</v>
      </c>
      <c r="J451" s="103">
        <f>SUM(J86:J450)</f>
        <v>0</v>
      </c>
    </row>
    <row r="452" spans="2:10">
      <c r="B452" s="98"/>
      <c r="C452" s="99"/>
      <c r="D452" s="100"/>
      <c r="E452" s="99"/>
      <c r="F452" s="99"/>
      <c r="G452" s="101"/>
      <c r="H452" s="102"/>
      <c r="I452" s="102"/>
      <c r="J452" s="104"/>
    </row>
  </sheetData>
  <mergeCells count="3">
    <mergeCell ref="B1:J1"/>
    <mergeCell ref="B3:J3"/>
    <mergeCell ref="C5:E5"/>
  </mergeCells>
  <pageMargins left="0.7" right="0.7" top="0.75" bottom="0.75" header="0.3" footer="0.3"/>
  <pageSetup paperSize="9" scale="74" fitToHeight="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M452"/>
  <sheetViews>
    <sheetView workbookViewId="0">
      <selection activeCell="D37" sqref="D37"/>
    </sheetView>
  </sheetViews>
  <sheetFormatPr defaultColWidth="8.5703125" defaultRowHeight="12.75"/>
  <cols>
    <col min="1" max="1" width="3.140625" style="2" customWidth="1"/>
    <col min="2" max="2" width="11.140625" style="3" customWidth="1"/>
    <col min="3" max="3" width="12.42578125" style="2" customWidth="1"/>
    <col min="4" max="4" width="27.5703125" style="4" customWidth="1"/>
    <col min="5" max="5" width="20.42578125" style="2" customWidth="1"/>
    <col min="6" max="6" width="20.5703125" style="2" customWidth="1"/>
    <col min="7" max="7" width="13.5703125" style="5" customWidth="1"/>
    <col min="8" max="10" width="15.42578125" style="6" customWidth="1"/>
    <col min="11" max="11" width="10" style="2" customWidth="1"/>
    <col min="12" max="12" width="23.42578125" style="2" customWidth="1"/>
    <col min="13" max="13" width="9.85546875" style="2" customWidth="1"/>
    <col min="14" max="16384" width="8.5703125" style="2"/>
  </cols>
  <sheetData>
    <row r="1" spans="2:13" ht="9" customHeight="1">
      <c r="B1" s="789"/>
      <c r="C1" s="789"/>
      <c r="D1" s="789"/>
      <c r="E1" s="789"/>
      <c r="F1" s="789"/>
      <c r="G1" s="789"/>
      <c r="H1" s="789"/>
      <c r="I1" s="789"/>
      <c r="J1" s="789"/>
    </row>
    <row r="2" spans="2:13" ht="9" customHeight="1">
      <c r="B2" s="8"/>
      <c r="C2" s="9"/>
      <c r="D2" s="10"/>
      <c r="E2" s="9"/>
      <c r="F2" s="9"/>
      <c r="G2" s="9"/>
      <c r="H2" s="11"/>
      <c r="I2" s="11"/>
      <c r="J2" s="49"/>
    </row>
    <row r="3" spans="2:13" s="1" customFormat="1" ht="18.75">
      <c r="B3" s="790" t="s">
        <v>13</v>
      </c>
      <c r="C3" s="791"/>
      <c r="D3" s="791"/>
      <c r="E3" s="791"/>
      <c r="F3" s="791"/>
      <c r="G3" s="791"/>
      <c r="H3" s="791"/>
      <c r="I3" s="791"/>
      <c r="J3" s="792"/>
    </row>
    <row r="4" spans="2:13" s="1" customFormat="1" ht="15.75">
      <c r="B4" s="12"/>
      <c r="C4" s="7"/>
      <c r="D4" s="13"/>
      <c r="E4" s="7"/>
      <c r="F4" s="7"/>
      <c r="G4" s="7"/>
      <c r="H4" s="14"/>
      <c r="I4" s="14"/>
      <c r="J4" s="50"/>
    </row>
    <row r="5" spans="2:13" s="1" customFormat="1" ht="15.75">
      <c r="B5" s="12" t="s">
        <v>10</v>
      </c>
      <c r="C5" s="793" t="s">
        <v>14</v>
      </c>
      <c r="D5" s="793"/>
      <c r="E5" s="793"/>
      <c r="G5" s="15"/>
      <c r="H5" s="16"/>
      <c r="I5" s="16"/>
      <c r="J5" s="51"/>
    </row>
    <row r="6" spans="2:13" ht="25.5">
      <c r="B6" s="17" t="s">
        <v>1</v>
      </c>
      <c r="C6" s="18" t="s">
        <v>15</v>
      </c>
      <c r="D6" s="19" t="s">
        <v>3</v>
      </c>
      <c r="E6" s="20" t="s">
        <v>4</v>
      </c>
      <c r="F6" s="19" t="s">
        <v>5</v>
      </c>
      <c r="G6" s="19" t="s">
        <v>16</v>
      </c>
      <c r="H6" s="21" t="s">
        <v>6</v>
      </c>
      <c r="I6" s="21" t="s">
        <v>7</v>
      </c>
      <c r="J6" s="52" t="s">
        <v>8</v>
      </c>
      <c r="L6" s="53" t="s">
        <v>5</v>
      </c>
    </row>
    <row r="7" spans="2:13" ht="15">
      <c r="B7" s="22"/>
      <c r="C7" s="23"/>
      <c r="D7" s="24"/>
      <c r="E7" s="23"/>
      <c r="F7" s="25"/>
      <c r="G7" s="26"/>
      <c r="H7" s="27"/>
      <c r="I7" s="27"/>
      <c r="J7" s="54">
        <v>0</v>
      </c>
      <c r="L7" s="55"/>
    </row>
    <row r="8" spans="2:13" ht="15">
      <c r="B8" s="28"/>
      <c r="C8" s="29"/>
      <c r="D8" s="30"/>
      <c r="E8" s="31"/>
      <c r="F8" s="32"/>
      <c r="G8" s="30"/>
      <c r="H8" s="33"/>
      <c r="I8" s="33"/>
      <c r="J8" s="56">
        <v>0</v>
      </c>
      <c r="L8" s="55" t="s">
        <v>26</v>
      </c>
    </row>
    <row r="9" spans="2:13" ht="15">
      <c r="B9" s="28"/>
      <c r="C9" s="29"/>
      <c r="D9" s="30"/>
      <c r="E9" s="31"/>
      <c r="F9" s="32"/>
      <c r="G9" s="30"/>
      <c r="H9" s="33"/>
      <c r="I9" s="33"/>
      <c r="J9" s="56">
        <v>0</v>
      </c>
      <c r="L9" s="55" t="s">
        <v>27</v>
      </c>
    </row>
    <row r="10" spans="2:13" ht="15">
      <c r="B10" s="34"/>
      <c r="C10" s="35"/>
      <c r="D10" s="35"/>
      <c r="E10" s="35"/>
      <c r="F10" s="23"/>
      <c r="G10" s="30"/>
      <c r="H10" s="36"/>
      <c r="I10" s="36"/>
      <c r="J10" s="56">
        <v>0</v>
      </c>
      <c r="K10" s="57"/>
      <c r="L10" s="55" t="s">
        <v>28</v>
      </c>
      <c r="M10" s="55"/>
    </row>
    <row r="11" spans="2:13" ht="15">
      <c r="B11" s="34"/>
      <c r="C11" s="35"/>
      <c r="D11" s="35"/>
      <c r="E11" s="35"/>
      <c r="F11" s="23"/>
      <c r="G11" s="30"/>
      <c r="H11" s="36"/>
      <c r="I11" s="36"/>
      <c r="J11" s="56">
        <v>0</v>
      </c>
      <c r="K11" s="58"/>
      <c r="L11" s="55" t="s">
        <v>29</v>
      </c>
      <c r="M11" s="55"/>
    </row>
    <row r="12" spans="2:13" ht="15">
      <c r="B12" s="37"/>
      <c r="C12" s="23"/>
      <c r="D12" s="38"/>
      <c r="E12" s="23"/>
      <c r="F12" s="23"/>
      <c r="G12" s="30"/>
      <c r="H12" s="39"/>
      <c r="I12" s="39"/>
      <c r="J12" s="56">
        <v>0</v>
      </c>
      <c r="K12" s="58"/>
      <c r="L12" s="55" t="s">
        <v>30</v>
      </c>
      <c r="M12" s="55"/>
    </row>
    <row r="13" spans="2:13" ht="15">
      <c r="B13" s="37"/>
      <c r="C13" s="23"/>
      <c r="D13" s="38"/>
      <c r="E13" s="23"/>
      <c r="F13" s="23"/>
      <c r="G13" s="30"/>
      <c r="H13" s="39"/>
      <c r="I13" s="39"/>
      <c r="J13" s="56">
        <v>0</v>
      </c>
      <c r="K13" s="59"/>
      <c r="L13" s="55"/>
    </row>
    <row r="14" spans="2:13" ht="15">
      <c r="B14" s="40"/>
      <c r="C14" s="24"/>
      <c r="D14" s="24"/>
      <c r="E14" s="24"/>
      <c r="F14" s="41"/>
      <c r="G14" s="30"/>
      <c r="H14" s="42"/>
      <c r="I14" s="42"/>
      <c r="J14" s="60">
        <v>0</v>
      </c>
      <c r="K14" s="59"/>
      <c r="L14" s="55"/>
    </row>
    <row r="15" spans="2:13" ht="15">
      <c r="B15" s="40"/>
      <c r="C15" s="24"/>
      <c r="D15" s="24"/>
      <c r="E15" s="24"/>
      <c r="F15" s="41"/>
      <c r="G15" s="30"/>
      <c r="H15" s="42"/>
      <c r="I15" s="42"/>
      <c r="J15" s="60">
        <v>0</v>
      </c>
      <c r="K15" s="59"/>
    </row>
    <row r="16" spans="2:13" ht="15">
      <c r="B16" s="22"/>
      <c r="C16" s="23"/>
      <c r="D16" s="38"/>
      <c r="E16" s="23"/>
      <c r="F16" s="25"/>
      <c r="G16" s="30"/>
      <c r="H16" s="27"/>
      <c r="I16" s="27"/>
      <c r="J16" s="54">
        <v>0</v>
      </c>
      <c r="K16" s="59"/>
    </row>
    <row r="17" spans="2:11" ht="15">
      <c r="B17" s="22"/>
      <c r="C17" s="23"/>
      <c r="D17" s="38"/>
      <c r="E17" s="23"/>
      <c r="F17" s="25"/>
      <c r="G17" s="30"/>
      <c r="H17" s="27"/>
      <c r="I17" s="27"/>
      <c r="J17" s="54">
        <v>0</v>
      </c>
      <c r="K17" s="59"/>
    </row>
    <row r="18" spans="2:11" ht="15">
      <c r="B18" s="22"/>
      <c r="C18" s="23"/>
      <c r="D18" s="24"/>
      <c r="E18" s="23"/>
      <c r="F18" s="25"/>
      <c r="G18" s="30"/>
      <c r="H18" s="27"/>
      <c r="I18" s="27"/>
      <c r="J18" s="54">
        <v>0</v>
      </c>
      <c r="K18" s="59"/>
    </row>
    <row r="19" spans="2:11" ht="15">
      <c r="B19" s="22"/>
      <c r="C19" s="23"/>
      <c r="D19" s="38"/>
      <c r="E19" s="23"/>
      <c r="F19" s="25"/>
      <c r="G19" s="30"/>
      <c r="H19" s="27"/>
      <c r="I19" s="27"/>
      <c r="J19" s="54">
        <v>0</v>
      </c>
      <c r="K19" s="59"/>
    </row>
    <row r="20" spans="2:11" ht="15">
      <c r="B20" s="22"/>
      <c r="C20" s="23"/>
      <c r="D20" s="24"/>
      <c r="E20" s="23"/>
      <c r="F20" s="25"/>
      <c r="G20" s="30"/>
      <c r="H20" s="27"/>
      <c r="I20" s="27"/>
      <c r="J20" s="54">
        <v>0</v>
      </c>
      <c r="K20" s="59"/>
    </row>
    <row r="21" spans="2:11" ht="15">
      <c r="B21" s="22"/>
      <c r="C21" s="23"/>
      <c r="D21" s="38"/>
      <c r="E21" s="23"/>
      <c r="F21" s="25"/>
      <c r="G21" s="30"/>
      <c r="H21" s="27"/>
      <c r="I21" s="27"/>
      <c r="J21" s="54">
        <v>0</v>
      </c>
      <c r="K21" s="59"/>
    </row>
    <row r="22" spans="2:11" ht="15">
      <c r="B22" s="22"/>
      <c r="C22" s="23"/>
      <c r="D22" s="38"/>
      <c r="E22" s="23"/>
      <c r="F22" s="25"/>
      <c r="G22" s="30"/>
      <c r="H22" s="27"/>
      <c r="I22" s="27"/>
      <c r="J22" s="54">
        <v>0</v>
      </c>
      <c r="K22" s="59"/>
    </row>
    <row r="23" spans="2:11" ht="15">
      <c r="B23" s="22"/>
      <c r="C23" s="23"/>
      <c r="D23" s="38"/>
      <c r="E23" s="23"/>
      <c r="F23" s="25"/>
      <c r="G23" s="30"/>
      <c r="H23" s="27"/>
      <c r="I23" s="27"/>
      <c r="J23" s="54">
        <v>0</v>
      </c>
      <c r="K23" s="59"/>
    </row>
    <row r="24" spans="2:11" ht="15">
      <c r="B24" s="22"/>
      <c r="C24" s="23"/>
      <c r="D24" s="38"/>
      <c r="E24" s="23"/>
      <c r="F24" s="25"/>
      <c r="G24" s="30"/>
      <c r="H24" s="27"/>
      <c r="I24" s="27"/>
      <c r="J24" s="54">
        <v>0</v>
      </c>
      <c r="K24" s="59"/>
    </row>
    <row r="25" spans="2:11" ht="15">
      <c r="B25" s="22"/>
      <c r="C25" s="23"/>
      <c r="D25" s="38"/>
      <c r="E25" s="23"/>
      <c r="F25" s="25"/>
      <c r="G25" s="30"/>
      <c r="H25" s="27"/>
      <c r="I25" s="27"/>
      <c r="J25" s="54">
        <v>0</v>
      </c>
      <c r="K25" s="59"/>
    </row>
    <row r="26" spans="2:11" ht="15">
      <c r="B26" s="22"/>
      <c r="C26" s="23"/>
      <c r="D26" s="38"/>
      <c r="E26" s="23"/>
      <c r="F26" s="25"/>
      <c r="G26" s="30"/>
      <c r="H26" s="27"/>
      <c r="I26" s="27"/>
      <c r="J26" s="54">
        <v>0</v>
      </c>
      <c r="K26" s="59"/>
    </row>
    <row r="27" spans="2:11" ht="15">
      <c r="B27" s="22"/>
      <c r="C27" s="23"/>
      <c r="D27" s="38"/>
      <c r="E27" s="23"/>
      <c r="F27" s="25"/>
      <c r="G27" s="30"/>
      <c r="H27" s="27"/>
      <c r="I27" s="27"/>
      <c r="J27" s="54">
        <v>0</v>
      </c>
      <c r="K27" s="59"/>
    </row>
    <row r="28" spans="2:11" ht="15">
      <c r="B28" s="22"/>
      <c r="C28" s="23"/>
      <c r="D28" s="38"/>
      <c r="E28" s="23"/>
      <c r="F28" s="25"/>
      <c r="G28" s="30"/>
      <c r="H28" s="27"/>
      <c r="I28" s="27"/>
      <c r="J28" s="54">
        <v>0</v>
      </c>
      <c r="K28" s="59"/>
    </row>
    <row r="29" spans="2:11" ht="15">
      <c r="B29" s="22"/>
      <c r="C29" s="23"/>
      <c r="D29" s="38"/>
      <c r="E29" s="23"/>
      <c r="F29" s="25"/>
      <c r="G29" s="30"/>
      <c r="H29" s="27"/>
      <c r="I29" s="27"/>
      <c r="J29" s="54">
        <v>0</v>
      </c>
      <c r="K29" s="59"/>
    </row>
    <row r="30" spans="2:11" ht="15">
      <c r="B30" s="43"/>
      <c r="C30" s="23"/>
      <c r="D30" s="38"/>
      <c r="E30" s="23"/>
      <c r="F30" s="23"/>
      <c r="G30" s="30"/>
      <c r="H30" s="39"/>
      <c r="I30" s="39"/>
      <c r="J30" s="61">
        <v>0</v>
      </c>
      <c r="K30" s="59"/>
    </row>
    <row r="31" spans="2:11" ht="15">
      <c r="B31" s="43"/>
      <c r="C31" s="23"/>
      <c r="D31" s="38"/>
      <c r="E31" s="23"/>
      <c r="F31" s="23"/>
      <c r="G31" s="30"/>
      <c r="H31" s="39"/>
      <c r="I31" s="39"/>
      <c r="J31" s="61">
        <v>0</v>
      </c>
      <c r="K31" s="59"/>
    </row>
    <row r="32" spans="2:11" ht="15">
      <c r="B32" s="43"/>
      <c r="C32" s="23"/>
      <c r="D32" s="38"/>
      <c r="E32" s="23"/>
      <c r="F32" s="23"/>
      <c r="G32" s="30"/>
      <c r="H32" s="39"/>
      <c r="I32" s="39"/>
      <c r="J32" s="61">
        <v>0</v>
      </c>
      <c r="K32" s="59"/>
    </row>
    <row r="33" spans="2:11" ht="15">
      <c r="B33" s="43"/>
      <c r="C33" s="23"/>
      <c r="D33" s="38"/>
      <c r="E33" s="23"/>
      <c r="F33" s="23"/>
      <c r="G33" s="30"/>
      <c r="H33" s="39"/>
      <c r="I33" s="39"/>
      <c r="J33" s="61">
        <v>0</v>
      </c>
      <c r="K33" s="59"/>
    </row>
    <row r="34" spans="2:11" ht="15">
      <c r="B34" s="43"/>
      <c r="C34" s="44"/>
      <c r="D34" s="44"/>
      <c r="E34" s="23"/>
      <c r="F34" s="44"/>
      <c r="G34" s="30"/>
      <c r="H34" s="45"/>
      <c r="I34" s="39"/>
      <c r="J34" s="61">
        <v>0</v>
      </c>
      <c r="K34" s="59"/>
    </row>
    <row r="35" spans="2:11" ht="15">
      <c r="B35" s="43"/>
      <c r="C35" s="44"/>
      <c r="D35" s="44"/>
      <c r="E35" s="23"/>
      <c r="F35" s="44"/>
      <c r="G35" s="30"/>
      <c r="H35" s="45"/>
      <c r="I35" s="39"/>
      <c r="J35" s="61">
        <v>0</v>
      </c>
      <c r="K35" s="59"/>
    </row>
    <row r="36" spans="2:11" ht="15">
      <c r="B36" s="43"/>
      <c r="C36" s="44"/>
      <c r="D36" s="44"/>
      <c r="E36" s="23"/>
      <c r="F36" s="44"/>
      <c r="G36" s="30"/>
      <c r="H36" s="45"/>
      <c r="I36" s="39"/>
      <c r="J36" s="61">
        <v>0</v>
      </c>
      <c r="K36" s="59"/>
    </row>
    <row r="37" spans="2:11" ht="15">
      <c r="B37" s="43"/>
      <c r="C37" s="44"/>
      <c r="D37" s="44"/>
      <c r="E37" s="23"/>
      <c r="F37" s="44"/>
      <c r="G37" s="30"/>
      <c r="H37" s="45"/>
      <c r="I37" s="39"/>
      <c r="J37" s="61">
        <v>0</v>
      </c>
      <c r="K37" s="59"/>
    </row>
    <row r="38" spans="2:11" ht="15">
      <c r="B38" s="43"/>
      <c r="C38" s="44"/>
      <c r="D38" s="44"/>
      <c r="E38" s="23"/>
      <c r="F38" s="44"/>
      <c r="G38" s="30"/>
      <c r="H38" s="45"/>
      <c r="I38" s="39"/>
      <c r="J38" s="61">
        <v>0</v>
      </c>
      <c r="K38" s="59"/>
    </row>
    <row r="39" spans="2:11" ht="15">
      <c r="B39" s="43"/>
      <c r="C39" s="44"/>
      <c r="D39" s="44"/>
      <c r="E39" s="23"/>
      <c r="F39" s="44"/>
      <c r="G39" s="30"/>
      <c r="H39" s="45"/>
      <c r="I39" s="39"/>
      <c r="J39" s="61">
        <v>0</v>
      </c>
      <c r="K39" s="59"/>
    </row>
    <row r="40" spans="2:11" ht="15">
      <c r="B40" s="43"/>
      <c r="C40" s="23"/>
      <c r="D40" s="38"/>
      <c r="E40" s="23"/>
      <c r="F40" s="23"/>
      <c r="G40" s="30"/>
      <c r="H40" s="39"/>
      <c r="I40" s="39"/>
      <c r="J40" s="61">
        <v>0</v>
      </c>
      <c r="K40" s="59"/>
    </row>
    <row r="41" spans="2:11" ht="15">
      <c r="B41" s="37"/>
      <c r="C41" s="44"/>
      <c r="D41" s="44"/>
      <c r="E41" s="44"/>
      <c r="F41" s="44"/>
      <c r="G41" s="30"/>
      <c r="H41" s="46"/>
      <c r="I41" s="39"/>
      <c r="J41" s="56">
        <v>0</v>
      </c>
      <c r="K41" s="59"/>
    </row>
    <row r="42" spans="2:11" customFormat="1" ht="15">
      <c r="B42" s="43"/>
      <c r="C42" s="23"/>
      <c r="D42" s="23"/>
      <c r="E42" s="23"/>
      <c r="F42" s="23"/>
      <c r="G42" s="30"/>
      <c r="H42" s="47"/>
      <c r="I42" s="47"/>
      <c r="J42" s="56">
        <v>0</v>
      </c>
    </row>
    <row r="43" spans="2:11" ht="15">
      <c r="B43" s="43"/>
      <c r="C43" s="44"/>
      <c r="D43" s="44"/>
      <c r="E43" s="23"/>
      <c r="F43" s="44"/>
      <c r="G43" s="30"/>
      <c r="H43" s="45"/>
      <c r="I43" s="39"/>
      <c r="J43" s="61">
        <v>0</v>
      </c>
      <c r="K43" s="59"/>
    </row>
    <row r="44" spans="2:11" ht="15">
      <c r="B44" s="37"/>
      <c r="C44" s="44"/>
      <c r="D44" s="44"/>
      <c r="E44" s="23"/>
      <c r="F44" s="44"/>
      <c r="G44" s="30"/>
      <c r="H44" s="46"/>
      <c r="I44" s="39"/>
      <c r="J44" s="56">
        <v>0</v>
      </c>
      <c r="K44" s="59"/>
    </row>
    <row r="45" spans="2:11" ht="15">
      <c r="B45" s="37"/>
      <c r="C45" s="44"/>
      <c r="D45" s="44"/>
      <c r="E45" s="23"/>
      <c r="F45" s="44"/>
      <c r="G45" s="30"/>
      <c r="H45" s="46"/>
      <c r="I45" s="39"/>
      <c r="J45" s="56">
        <v>0</v>
      </c>
      <c r="K45" s="59"/>
    </row>
    <row r="46" spans="2:11" ht="15">
      <c r="B46" s="37"/>
      <c r="C46" s="44"/>
      <c r="D46" s="44"/>
      <c r="E46" s="23"/>
      <c r="F46" s="44"/>
      <c r="G46" s="44"/>
      <c r="H46" s="46"/>
      <c r="I46" s="39"/>
      <c r="J46" s="56">
        <v>0</v>
      </c>
      <c r="K46" s="59"/>
    </row>
    <row r="47" spans="2:11" ht="15">
      <c r="B47" s="37"/>
      <c r="C47" s="44"/>
      <c r="D47" s="44"/>
      <c r="E47" s="23"/>
      <c r="F47" s="44"/>
      <c r="G47" s="44"/>
      <c r="H47" s="46"/>
      <c r="I47" s="39"/>
      <c r="J47" s="56">
        <v>0</v>
      </c>
      <c r="K47" s="59"/>
    </row>
    <row r="48" spans="2:11" ht="15">
      <c r="B48" s="37"/>
      <c r="C48" s="44"/>
      <c r="D48" s="44"/>
      <c r="E48" s="23"/>
      <c r="F48" s="44"/>
      <c r="G48" s="44"/>
      <c r="H48" s="46"/>
      <c r="I48" s="39"/>
      <c r="J48" s="56">
        <v>0</v>
      </c>
      <c r="K48" s="59"/>
    </row>
    <row r="49" spans="2:11" ht="15">
      <c r="B49" s="37"/>
      <c r="C49" s="44"/>
      <c r="D49" s="44"/>
      <c r="E49" s="23"/>
      <c r="F49" s="44"/>
      <c r="G49" s="44"/>
      <c r="H49" s="46"/>
      <c r="I49" s="39"/>
      <c r="J49" s="56">
        <v>0</v>
      </c>
      <c r="K49" s="59"/>
    </row>
    <row r="50" spans="2:11" ht="15">
      <c r="B50" s="37"/>
      <c r="C50" s="44"/>
      <c r="D50" s="44"/>
      <c r="E50" s="23"/>
      <c r="F50" s="44"/>
      <c r="G50" s="44"/>
      <c r="H50" s="46"/>
      <c r="I50" s="39"/>
      <c r="J50" s="56">
        <v>0</v>
      </c>
      <c r="K50" s="59"/>
    </row>
    <row r="51" spans="2:11" ht="15">
      <c r="B51" s="37"/>
      <c r="C51" s="44"/>
      <c r="D51" s="44"/>
      <c r="E51" s="23"/>
      <c r="F51" s="44"/>
      <c r="G51" s="44"/>
      <c r="H51" s="46"/>
      <c r="I51" s="39"/>
      <c r="J51" s="56">
        <v>0</v>
      </c>
      <c r="K51" s="59"/>
    </row>
    <row r="52" spans="2:11" ht="15">
      <c r="B52" s="37"/>
      <c r="C52" s="44"/>
      <c r="D52" s="44"/>
      <c r="E52" s="23"/>
      <c r="F52" s="44"/>
      <c r="G52" s="44"/>
      <c r="H52" s="46"/>
      <c r="I52" s="39"/>
      <c r="J52" s="56">
        <v>0</v>
      </c>
      <c r="K52" s="59"/>
    </row>
    <row r="53" spans="2:11" ht="15">
      <c r="B53" s="37"/>
      <c r="C53" s="44"/>
      <c r="D53" s="44"/>
      <c r="E53" s="23"/>
      <c r="F53" s="44"/>
      <c r="G53" s="44"/>
      <c r="H53" s="46"/>
      <c r="I53" s="39"/>
      <c r="J53" s="56">
        <v>0</v>
      </c>
      <c r="K53" s="59"/>
    </row>
    <row r="54" spans="2:11" ht="15">
      <c r="B54" s="37"/>
      <c r="C54" s="44"/>
      <c r="D54" s="44"/>
      <c r="E54" s="23"/>
      <c r="F54" s="44"/>
      <c r="G54" s="44"/>
      <c r="H54" s="46"/>
      <c r="I54" s="39"/>
      <c r="J54" s="56">
        <v>0</v>
      </c>
      <c r="K54" s="59"/>
    </row>
    <row r="55" spans="2:11" ht="15">
      <c r="B55" s="37"/>
      <c r="C55" s="44"/>
      <c r="D55" s="44"/>
      <c r="E55" s="23"/>
      <c r="F55" s="44"/>
      <c r="G55" s="44"/>
      <c r="H55" s="46"/>
      <c r="I55" s="39"/>
      <c r="J55" s="56">
        <v>0</v>
      </c>
      <c r="K55" s="59"/>
    </row>
    <row r="56" spans="2:11" ht="15">
      <c r="B56" s="37"/>
      <c r="C56" s="44"/>
      <c r="D56" s="44"/>
      <c r="E56" s="23"/>
      <c r="F56" s="44"/>
      <c r="G56" s="44"/>
      <c r="H56" s="46"/>
      <c r="I56" s="39"/>
      <c r="J56" s="56">
        <v>0</v>
      </c>
      <c r="K56" s="59"/>
    </row>
    <row r="57" spans="2:11" ht="15">
      <c r="B57" s="37"/>
      <c r="C57" s="44"/>
      <c r="D57" s="44"/>
      <c r="E57" s="23"/>
      <c r="F57" s="44"/>
      <c r="G57" s="44"/>
      <c r="H57" s="46"/>
      <c r="I57" s="39"/>
      <c r="J57" s="56">
        <v>0</v>
      </c>
      <c r="K57" s="59"/>
    </row>
    <row r="58" spans="2:11" ht="15">
      <c r="B58" s="37"/>
      <c r="C58" s="44"/>
      <c r="D58" s="44"/>
      <c r="E58" s="44"/>
      <c r="F58" s="44"/>
      <c r="G58" s="45"/>
      <c r="H58" s="46"/>
      <c r="I58" s="39"/>
      <c r="J58" s="56">
        <v>0</v>
      </c>
      <c r="K58" s="59"/>
    </row>
    <row r="59" spans="2:11" ht="15">
      <c r="B59" s="37"/>
      <c r="C59" s="44"/>
      <c r="D59" s="44"/>
      <c r="E59" s="23"/>
      <c r="F59" s="44"/>
      <c r="G59" s="45"/>
      <c r="H59" s="46"/>
      <c r="I59" s="39"/>
      <c r="J59" s="56">
        <v>0</v>
      </c>
      <c r="K59" s="59"/>
    </row>
    <row r="60" spans="2:11" ht="15">
      <c r="B60" s="37"/>
      <c r="C60" s="44"/>
      <c r="D60" s="44"/>
      <c r="E60" s="23"/>
      <c r="F60" s="44"/>
      <c r="G60" s="44"/>
      <c r="H60" s="46"/>
      <c r="I60" s="39"/>
      <c r="J60" s="56">
        <v>0</v>
      </c>
      <c r="K60" s="59"/>
    </row>
    <row r="61" spans="2:11" ht="15">
      <c r="B61" s="37"/>
      <c r="C61" s="44"/>
      <c r="D61" s="44"/>
      <c r="E61" s="23"/>
      <c r="F61" s="44"/>
      <c r="G61" s="44"/>
      <c r="H61" s="46"/>
      <c r="I61" s="39"/>
      <c r="J61" s="56">
        <v>0</v>
      </c>
      <c r="K61" s="59"/>
    </row>
    <row r="62" spans="2:11" ht="15">
      <c r="B62" s="37"/>
      <c r="C62" s="44"/>
      <c r="D62" s="44"/>
      <c r="E62" s="23"/>
      <c r="F62" s="48"/>
      <c r="G62" s="23"/>
      <c r="H62" s="46"/>
      <c r="I62" s="39"/>
      <c r="J62" s="56">
        <v>0</v>
      </c>
      <c r="K62" s="59"/>
    </row>
    <row r="63" spans="2:11" ht="15">
      <c r="B63" s="37"/>
      <c r="C63" s="44"/>
      <c r="D63" s="44"/>
      <c r="E63" s="23"/>
      <c r="F63" s="44"/>
      <c r="G63" s="44"/>
      <c r="H63" s="46"/>
      <c r="I63" s="39"/>
      <c r="J63" s="56">
        <v>0</v>
      </c>
      <c r="K63" s="59"/>
    </row>
    <row r="64" spans="2:11" ht="15">
      <c r="B64" s="37"/>
      <c r="C64" s="44"/>
      <c r="D64" s="44"/>
      <c r="E64" s="23"/>
      <c r="F64" s="44"/>
      <c r="G64" s="44"/>
      <c r="H64" s="46"/>
      <c r="I64" s="39"/>
      <c r="J64" s="56">
        <v>0</v>
      </c>
      <c r="K64" s="59"/>
    </row>
    <row r="65" spans="2:11" ht="15">
      <c r="B65" s="37"/>
      <c r="C65" s="44"/>
      <c r="D65" s="44"/>
      <c r="E65" s="23"/>
      <c r="F65" s="44"/>
      <c r="G65" s="44"/>
      <c r="H65" s="46"/>
      <c r="I65" s="39"/>
      <c r="J65" s="56">
        <v>0</v>
      </c>
      <c r="K65" s="59"/>
    </row>
    <row r="66" spans="2:11" ht="15">
      <c r="B66" s="37"/>
      <c r="C66" s="44"/>
      <c r="D66" s="44"/>
      <c r="E66" s="23"/>
      <c r="F66" s="44"/>
      <c r="G66" s="44"/>
      <c r="H66" s="46"/>
      <c r="I66" s="39"/>
      <c r="J66" s="56">
        <v>0</v>
      </c>
      <c r="K66" s="59"/>
    </row>
    <row r="67" spans="2:11" ht="15">
      <c r="B67" s="37"/>
      <c r="C67" s="44"/>
      <c r="D67" s="44"/>
      <c r="E67" s="23"/>
      <c r="F67" s="44"/>
      <c r="G67" s="44"/>
      <c r="H67" s="46"/>
      <c r="I67" s="39"/>
      <c r="J67" s="56">
        <v>0</v>
      </c>
      <c r="K67" s="59"/>
    </row>
    <row r="68" spans="2:11" ht="15">
      <c r="B68" s="37"/>
      <c r="C68" s="44"/>
      <c r="D68" s="44"/>
      <c r="E68" s="23"/>
      <c r="F68" s="44"/>
      <c r="G68" s="44"/>
      <c r="H68" s="46"/>
      <c r="I68" s="39"/>
      <c r="J68" s="56">
        <v>0</v>
      </c>
      <c r="K68" s="59"/>
    </row>
    <row r="69" spans="2:11" ht="15">
      <c r="B69" s="37"/>
      <c r="C69" s="44"/>
      <c r="D69" s="44"/>
      <c r="E69" s="23"/>
      <c r="F69" s="44"/>
      <c r="G69" s="44"/>
      <c r="H69" s="46"/>
      <c r="I69" s="39"/>
      <c r="J69" s="56">
        <v>0</v>
      </c>
      <c r="K69" s="59"/>
    </row>
    <row r="70" spans="2:11" ht="15">
      <c r="B70" s="37"/>
      <c r="C70" s="44"/>
      <c r="D70" s="44"/>
      <c r="E70" s="23"/>
      <c r="F70" s="44"/>
      <c r="G70" s="44"/>
      <c r="H70" s="46"/>
      <c r="I70" s="39"/>
      <c r="J70" s="56">
        <v>0</v>
      </c>
      <c r="K70" s="59"/>
    </row>
    <row r="71" spans="2:11" ht="15">
      <c r="B71" s="37"/>
      <c r="C71" s="44"/>
      <c r="D71" s="44"/>
      <c r="E71" s="23"/>
      <c r="F71" s="44"/>
      <c r="G71" s="44"/>
      <c r="H71" s="46"/>
      <c r="I71" s="39"/>
      <c r="J71" s="56">
        <v>0</v>
      </c>
      <c r="K71" s="59"/>
    </row>
    <row r="72" spans="2:11" ht="15">
      <c r="B72" s="37"/>
      <c r="C72" s="44"/>
      <c r="D72" s="44"/>
      <c r="E72" s="23"/>
      <c r="F72" s="44"/>
      <c r="G72" s="44"/>
      <c r="H72" s="46"/>
      <c r="I72" s="39"/>
      <c r="J72" s="56">
        <v>0</v>
      </c>
      <c r="K72" s="59"/>
    </row>
    <row r="73" spans="2:11" ht="15">
      <c r="B73" s="37"/>
      <c r="C73" s="44"/>
      <c r="D73" s="44"/>
      <c r="E73" s="23"/>
      <c r="F73" s="44"/>
      <c r="G73" s="44"/>
      <c r="H73" s="46"/>
      <c r="I73" s="39"/>
      <c r="J73" s="56">
        <v>0</v>
      </c>
      <c r="K73" s="59"/>
    </row>
    <row r="74" spans="2:11" ht="15">
      <c r="B74" s="37"/>
      <c r="C74" s="44"/>
      <c r="D74" s="44"/>
      <c r="E74" s="44"/>
      <c r="F74" s="44"/>
      <c r="G74" s="44"/>
      <c r="H74" s="46"/>
      <c r="I74" s="39"/>
      <c r="J74" s="56">
        <v>0</v>
      </c>
      <c r="K74" s="59"/>
    </row>
    <row r="75" spans="2:11" ht="15">
      <c r="B75" s="37"/>
      <c r="C75" s="44"/>
      <c r="D75" s="44"/>
      <c r="E75" s="23"/>
      <c r="F75" s="44"/>
      <c r="G75" s="44"/>
      <c r="H75" s="46"/>
      <c r="I75" s="39"/>
      <c r="J75" s="56">
        <v>0</v>
      </c>
      <c r="K75" s="59"/>
    </row>
    <row r="76" spans="2:11" ht="15">
      <c r="B76" s="37"/>
      <c r="C76" s="44"/>
      <c r="D76" s="62"/>
      <c r="E76" s="62"/>
      <c r="F76" s="62"/>
      <c r="G76" s="62"/>
      <c r="H76" s="63"/>
      <c r="I76" s="73"/>
      <c r="J76" s="56">
        <v>0</v>
      </c>
      <c r="K76" s="59"/>
    </row>
    <row r="77" spans="2:11" ht="15">
      <c r="B77" s="64"/>
      <c r="C77" s="62"/>
      <c r="D77" s="62"/>
      <c r="E77" s="65"/>
      <c r="F77" s="62"/>
      <c r="G77" s="62"/>
      <c r="H77" s="63"/>
      <c r="I77" s="73"/>
      <c r="J77" s="56">
        <v>0</v>
      </c>
      <c r="K77" s="59"/>
    </row>
    <row r="78" spans="2:11" ht="15">
      <c r="B78" s="64"/>
      <c r="C78" s="62"/>
      <c r="D78" s="62"/>
      <c r="E78" s="65"/>
      <c r="F78" s="62"/>
      <c r="G78" s="62"/>
      <c r="H78" s="63"/>
      <c r="I78" s="73"/>
      <c r="J78" s="56">
        <v>0</v>
      </c>
      <c r="K78" s="59"/>
    </row>
    <row r="79" spans="2:11" ht="15">
      <c r="B79" s="37"/>
      <c r="C79" s="44"/>
      <c r="D79" s="44"/>
      <c r="E79" s="44"/>
      <c r="F79" s="44"/>
      <c r="G79" s="44"/>
      <c r="H79" s="46"/>
      <c r="I79" s="39"/>
      <c r="J79" s="56">
        <v>0</v>
      </c>
      <c r="K79" s="59"/>
    </row>
    <row r="80" spans="2:11" ht="15">
      <c r="B80" s="37"/>
      <c r="C80" s="44"/>
      <c r="D80" s="44"/>
      <c r="E80" s="23"/>
      <c r="F80" s="44"/>
      <c r="G80" s="44"/>
      <c r="H80" s="46"/>
      <c r="I80" s="39"/>
      <c r="J80" s="56">
        <v>0</v>
      </c>
      <c r="K80" s="59"/>
    </row>
    <row r="81" spans="2:11" ht="15">
      <c r="B81" s="37"/>
      <c r="C81" s="44"/>
      <c r="D81" s="44"/>
      <c r="E81" s="23"/>
      <c r="F81" s="44"/>
      <c r="G81" s="44"/>
      <c r="H81" s="46"/>
      <c r="I81" s="39"/>
      <c r="J81" s="56">
        <v>0</v>
      </c>
      <c r="K81" s="59"/>
    </row>
    <row r="82" spans="2:11" ht="15">
      <c r="B82" s="37"/>
      <c r="C82" s="44"/>
      <c r="D82" s="44"/>
      <c r="E82" s="23"/>
      <c r="F82" s="44"/>
      <c r="G82" s="44"/>
      <c r="H82" s="46"/>
      <c r="I82" s="39"/>
      <c r="J82" s="56">
        <v>0</v>
      </c>
      <c r="K82" s="59"/>
    </row>
    <row r="83" spans="2:11" ht="15">
      <c r="B83" s="37"/>
      <c r="C83" s="44"/>
      <c r="D83" s="44"/>
      <c r="E83" s="23"/>
      <c r="F83" s="44"/>
      <c r="G83" s="44"/>
      <c r="H83" s="46"/>
      <c r="I83" s="39"/>
      <c r="J83" s="56">
        <v>0</v>
      </c>
      <c r="K83" s="59"/>
    </row>
    <row r="84" spans="2:11" ht="15">
      <c r="B84" s="37"/>
      <c r="C84" s="44"/>
      <c r="D84" s="44"/>
      <c r="E84" s="44"/>
      <c r="F84" s="44"/>
      <c r="G84" s="44"/>
      <c r="H84" s="46"/>
      <c r="I84" s="39"/>
      <c r="J84" s="56">
        <v>0</v>
      </c>
      <c r="K84" s="59"/>
    </row>
    <row r="85" spans="2:11" ht="15">
      <c r="B85" s="37"/>
      <c r="C85" s="44"/>
      <c r="D85" s="44"/>
      <c r="E85" s="44"/>
      <c r="F85" s="44"/>
      <c r="G85" s="44"/>
      <c r="H85" s="46"/>
      <c r="I85" s="39"/>
      <c r="J85" s="56">
        <v>0</v>
      </c>
      <c r="K85" s="59"/>
    </row>
    <row r="86" spans="2:11" ht="15">
      <c r="B86" s="37"/>
      <c r="C86" s="44"/>
      <c r="D86" s="44"/>
      <c r="E86" s="23"/>
      <c r="F86" s="44"/>
      <c r="G86" s="44"/>
      <c r="H86" s="46"/>
      <c r="I86" s="39"/>
      <c r="J86" s="56">
        <v>0</v>
      </c>
      <c r="K86" s="59"/>
    </row>
    <row r="87" spans="2:11" ht="15">
      <c r="B87" s="37"/>
      <c r="C87" s="44"/>
      <c r="D87" s="44"/>
      <c r="E87" s="23"/>
      <c r="F87" s="44"/>
      <c r="G87" s="44"/>
      <c r="H87" s="46"/>
      <c r="I87" s="39"/>
      <c r="J87" s="56">
        <v>0</v>
      </c>
      <c r="K87" s="59"/>
    </row>
    <row r="88" spans="2:11" ht="15">
      <c r="B88" s="37"/>
      <c r="C88" s="44"/>
      <c r="D88" s="44"/>
      <c r="E88" s="23"/>
      <c r="F88" s="44"/>
      <c r="G88" s="44"/>
      <c r="H88" s="46"/>
      <c r="I88" s="39"/>
      <c r="J88" s="56">
        <v>0</v>
      </c>
      <c r="K88" s="59"/>
    </row>
    <row r="89" spans="2:11" ht="15">
      <c r="B89" s="37"/>
      <c r="C89" s="44"/>
      <c r="D89" s="44"/>
      <c r="E89" s="23"/>
      <c r="F89" s="44"/>
      <c r="G89" s="44"/>
      <c r="H89" s="46"/>
      <c r="I89" s="39"/>
      <c r="J89" s="56">
        <v>0</v>
      </c>
      <c r="K89" s="59"/>
    </row>
    <row r="90" spans="2:11" ht="15">
      <c r="B90" s="37"/>
      <c r="C90" s="44"/>
      <c r="D90" s="44"/>
      <c r="E90" s="23"/>
      <c r="F90" s="44"/>
      <c r="G90" s="44"/>
      <c r="H90" s="46"/>
      <c r="I90" s="39"/>
      <c r="J90" s="56">
        <v>0</v>
      </c>
      <c r="K90" s="59"/>
    </row>
    <row r="91" spans="2:11" ht="15">
      <c r="B91" s="37"/>
      <c r="C91" s="44"/>
      <c r="D91" s="44"/>
      <c r="E91" s="23"/>
      <c r="F91" s="44"/>
      <c r="G91" s="44"/>
      <c r="H91" s="46"/>
      <c r="I91" s="39"/>
      <c r="J91" s="56">
        <v>0</v>
      </c>
      <c r="K91" s="59"/>
    </row>
    <row r="92" spans="2:11" ht="15">
      <c r="B92" s="37"/>
      <c r="C92" s="44"/>
      <c r="D92" s="44"/>
      <c r="E92" s="23"/>
      <c r="F92" s="44"/>
      <c r="G92" s="44"/>
      <c r="H92" s="46"/>
      <c r="I92" s="39"/>
      <c r="J92" s="56">
        <v>0</v>
      </c>
      <c r="K92" s="59"/>
    </row>
    <row r="93" spans="2:11" ht="15">
      <c r="B93" s="37"/>
      <c r="C93" s="44"/>
      <c r="D93" s="44"/>
      <c r="E93" s="23"/>
      <c r="F93" s="44"/>
      <c r="G93" s="44"/>
      <c r="H93" s="46"/>
      <c r="I93" s="39"/>
      <c r="J93" s="56">
        <v>0</v>
      </c>
      <c r="K93" s="59"/>
    </row>
    <row r="94" spans="2:11" ht="15">
      <c r="B94" s="37"/>
      <c r="C94" s="44"/>
      <c r="D94" s="44"/>
      <c r="E94" s="23"/>
      <c r="F94" s="44"/>
      <c r="G94" s="44"/>
      <c r="H94" s="46"/>
      <c r="I94" s="39"/>
      <c r="J94" s="56">
        <v>0</v>
      </c>
      <c r="K94" s="59"/>
    </row>
    <row r="95" spans="2:11" ht="15">
      <c r="B95" s="64"/>
      <c r="C95" s="62"/>
      <c r="D95" s="62"/>
      <c r="E95" s="62"/>
      <c r="F95" s="62"/>
      <c r="G95" s="62"/>
      <c r="H95" s="63"/>
      <c r="I95" s="73"/>
      <c r="J95" s="56">
        <v>0</v>
      </c>
      <c r="K95" s="59"/>
    </row>
    <row r="96" spans="2:11" ht="15">
      <c r="B96" s="66"/>
      <c r="C96" s="67"/>
      <c r="D96" s="68"/>
      <c r="E96" s="67"/>
      <c r="F96" s="69"/>
      <c r="G96" s="67"/>
      <c r="H96" s="67"/>
      <c r="I96" s="74"/>
      <c r="J96" s="56">
        <v>0</v>
      </c>
      <c r="K96" s="59"/>
    </row>
    <row r="97" spans="2:13" ht="15">
      <c r="B97" s="66"/>
      <c r="C97" s="67"/>
      <c r="D97" s="68"/>
      <c r="E97" s="67"/>
      <c r="F97" s="69"/>
      <c r="G97" s="67"/>
      <c r="H97" s="67"/>
      <c r="I97" s="74"/>
      <c r="J97" s="56">
        <v>0</v>
      </c>
      <c r="K97" s="59"/>
    </row>
    <row r="98" spans="2:13" ht="15">
      <c r="B98" s="64"/>
      <c r="C98" s="62"/>
      <c r="D98" s="62"/>
      <c r="E98" s="65"/>
      <c r="F98" s="62"/>
      <c r="G98" s="62"/>
      <c r="H98" s="63"/>
      <c r="I98" s="73"/>
      <c r="J98" s="56">
        <v>0</v>
      </c>
      <c r="K98" s="59"/>
    </row>
    <row r="99" spans="2:13" ht="15">
      <c r="B99" s="64"/>
      <c r="C99" s="62"/>
      <c r="D99" s="62"/>
      <c r="E99" s="65"/>
      <c r="F99" s="62"/>
      <c r="G99" s="62"/>
      <c r="H99" s="63"/>
      <c r="I99" s="73"/>
      <c r="J99" s="56">
        <v>0</v>
      </c>
      <c r="K99" s="59"/>
    </row>
    <row r="100" spans="2:13" ht="15">
      <c r="B100" s="64"/>
      <c r="C100" s="62"/>
      <c r="D100" s="62"/>
      <c r="E100" s="65"/>
      <c r="F100" s="62"/>
      <c r="G100" s="62"/>
      <c r="H100" s="63"/>
      <c r="I100" s="73"/>
      <c r="J100" s="56">
        <v>0</v>
      </c>
      <c r="K100" s="59"/>
    </row>
    <row r="101" spans="2:13" ht="15">
      <c r="B101" s="64"/>
      <c r="C101" s="62"/>
      <c r="D101" s="62"/>
      <c r="E101" s="65"/>
      <c r="F101" s="62"/>
      <c r="G101" s="62"/>
      <c r="H101" s="63"/>
      <c r="I101" s="73"/>
      <c r="J101" s="56">
        <v>0</v>
      </c>
      <c r="K101" s="59"/>
    </row>
    <row r="102" spans="2:13" ht="15">
      <c r="B102" s="37"/>
      <c r="C102" s="44"/>
      <c r="D102" s="44"/>
      <c r="E102" s="23"/>
      <c r="F102" s="44"/>
      <c r="G102" s="44"/>
      <c r="H102" s="46"/>
      <c r="I102" s="39"/>
      <c r="J102" s="56">
        <v>0</v>
      </c>
      <c r="K102" s="75"/>
      <c r="M102" s="76"/>
    </row>
    <row r="103" spans="2:13" ht="15">
      <c r="B103" s="37"/>
      <c r="C103" s="44"/>
      <c r="D103" s="44"/>
      <c r="E103" s="23"/>
      <c r="F103" s="44"/>
      <c r="G103" s="44"/>
      <c r="H103" s="46"/>
      <c r="I103" s="39"/>
      <c r="J103" s="56">
        <v>0</v>
      </c>
      <c r="K103" s="75"/>
      <c r="M103" s="76"/>
    </row>
    <row r="104" spans="2:13" ht="15">
      <c r="B104" s="37"/>
      <c r="C104" s="44"/>
      <c r="D104" s="44"/>
      <c r="E104" s="23"/>
      <c r="F104" s="44"/>
      <c r="G104" s="44"/>
      <c r="H104" s="46"/>
      <c r="I104" s="39"/>
      <c r="J104" s="56">
        <v>0</v>
      </c>
      <c r="K104" s="59"/>
    </row>
    <row r="105" spans="2:13" ht="15">
      <c r="B105" s="37"/>
      <c r="C105" s="44"/>
      <c r="D105" s="44"/>
      <c r="E105" s="67"/>
      <c r="F105" s="44"/>
      <c r="G105" s="44"/>
      <c r="H105" s="46"/>
      <c r="I105" s="39"/>
      <c r="J105" s="56">
        <v>0</v>
      </c>
      <c r="K105" s="59"/>
    </row>
    <row r="106" spans="2:13" ht="15">
      <c r="B106" s="37"/>
      <c r="C106" s="44"/>
      <c r="D106" s="44"/>
      <c r="E106" s="67"/>
      <c r="F106" s="44"/>
      <c r="G106" s="44"/>
      <c r="H106" s="46"/>
      <c r="I106" s="39"/>
      <c r="J106" s="56">
        <v>0</v>
      </c>
      <c r="K106" s="59"/>
    </row>
    <row r="107" spans="2:13" ht="15">
      <c r="B107" s="37"/>
      <c r="C107" s="44"/>
      <c r="D107" s="44"/>
      <c r="E107" s="67"/>
      <c r="F107" s="44"/>
      <c r="G107" s="44"/>
      <c r="H107" s="46"/>
      <c r="I107" s="39"/>
      <c r="J107" s="56">
        <v>0</v>
      </c>
      <c r="K107" s="59"/>
    </row>
    <row r="108" spans="2:13" ht="15">
      <c r="B108" s="37"/>
      <c r="C108" s="44"/>
      <c r="D108" s="44"/>
      <c r="E108" s="67"/>
      <c r="F108" s="44"/>
      <c r="G108" s="44"/>
      <c r="H108" s="46"/>
      <c r="I108" s="39"/>
      <c r="J108" s="56">
        <v>0</v>
      </c>
      <c r="K108" s="59"/>
    </row>
    <row r="109" spans="2:13" ht="15">
      <c r="B109" s="37"/>
      <c r="C109" s="44"/>
      <c r="D109" s="44"/>
      <c r="E109" s="67"/>
      <c r="F109" s="44"/>
      <c r="G109" s="44"/>
      <c r="H109" s="46"/>
      <c r="I109" s="39"/>
      <c r="J109" s="56">
        <v>0</v>
      </c>
      <c r="K109" s="59"/>
    </row>
    <row r="110" spans="2:13" ht="15">
      <c r="B110" s="37"/>
      <c r="C110" s="44"/>
      <c r="D110" s="44"/>
      <c r="E110" s="67"/>
      <c r="F110" s="44"/>
      <c r="G110" s="44"/>
      <c r="H110" s="46"/>
      <c r="I110" s="39"/>
      <c r="J110" s="56">
        <v>0</v>
      </c>
      <c r="K110" s="59"/>
    </row>
    <row r="111" spans="2:13" ht="15">
      <c r="B111" s="37"/>
      <c r="C111" s="44"/>
      <c r="D111" s="44"/>
      <c r="E111" s="67"/>
      <c r="F111" s="44"/>
      <c r="G111" s="44"/>
      <c r="H111" s="46"/>
      <c r="I111" s="39"/>
      <c r="J111" s="56">
        <v>0</v>
      </c>
      <c r="K111" s="59"/>
    </row>
    <row r="112" spans="2:13" ht="15">
      <c r="B112" s="37"/>
      <c r="C112" s="44"/>
      <c r="D112" s="44"/>
      <c r="E112" s="67"/>
      <c r="F112" s="44"/>
      <c r="G112" s="44"/>
      <c r="H112" s="46"/>
      <c r="I112" s="39"/>
      <c r="J112" s="56">
        <v>0</v>
      </c>
      <c r="K112" s="59"/>
    </row>
    <row r="113" spans="2:11" ht="15">
      <c r="B113" s="37"/>
      <c r="C113" s="44"/>
      <c r="D113" s="44"/>
      <c r="E113" s="67"/>
      <c r="F113" s="44"/>
      <c r="G113" s="44"/>
      <c r="H113" s="46"/>
      <c r="I113" s="39"/>
      <c r="J113" s="56">
        <v>0</v>
      </c>
      <c r="K113" s="59"/>
    </row>
    <row r="114" spans="2:11" ht="15">
      <c r="B114" s="37"/>
      <c r="C114" s="44"/>
      <c r="D114" s="44"/>
      <c r="E114" s="67"/>
      <c r="F114" s="44"/>
      <c r="G114" s="44"/>
      <c r="H114" s="46"/>
      <c r="I114" s="39"/>
      <c r="J114" s="56">
        <v>0</v>
      </c>
      <c r="K114" s="59"/>
    </row>
    <row r="115" spans="2:11" ht="15">
      <c r="B115" s="37"/>
      <c r="C115" s="44"/>
      <c r="D115" s="44"/>
      <c r="E115" s="67"/>
      <c r="F115" s="44"/>
      <c r="G115" s="44"/>
      <c r="H115" s="46"/>
      <c r="I115" s="39"/>
      <c r="J115" s="56">
        <v>0</v>
      </c>
      <c r="K115" s="59"/>
    </row>
    <row r="116" spans="2:11" ht="15">
      <c r="B116" s="37"/>
      <c r="C116" s="44"/>
      <c r="D116" s="44"/>
      <c r="E116" s="67"/>
      <c r="F116" s="44"/>
      <c r="G116" s="44"/>
      <c r="H116" s="46"/>
      <c r="I116" s="39"/>
      <c r="J116" s="56">
        <v>0</v>
      </c>
      <c r="K116" s="59"/>
    </row>
    <row r="117" spans="2:11" ht="15">
      <c r="B117" s="37"/>
      <c r="C117" s="44"/>
      <c r="D117" s="44"/>
      <c r="E117" s="67"/>
      <c r="F117" s="44"/>
      <c r="G117" s="44"/>
      <c r="H117" s="46"/>
      <c r="I117" s="39"/>
      <c r="J117" s="56">
        <v>0</v>
      </c>
      <c r="K117" s="59"/>
    </row>
    <row r="118" spans="2:11" ht="15">
      <c r="B118" s="37"/>
      <c r="C118" s="44"/>
      <c r="D118" s="44"/>
      <c r="E118" s="67"/>
      <c r="F118" s="44"/>
      <c r="G118" s="44"/>
      <c r="H118" s="46"/>
      <c r="I118" s="39"/>
      <c r="J118" s="56">
        <v>0</v>
      </c>
      <c r="K118" s="59"/>
    </row>
    <row r="119" spans="2:11" ht="15">
      <c r="B119" s="37"/>
      <c r="C119" s="44"/>
      <c r="D119" s="44"/>
      <c r="E119" s="67"/>
      <c r="F119" s="44"/>
      <c r="G119" s="44"/>
      <c r="H119" s="46"/>
      <c r="I119" s="39"/>
      <c r="J119" s="56">
        <v>0</v>
      </c>
      <c r="K119" s="59"/>
    </row>
    <row r="120" spans="2:11" ht="15">
      <c r="B120" s="37"/>
      <c r="C120" s="23"/>
      <c r="D120" s="38"/>
      <c r="E120" s="67"/>
      <c r="F120" s="23"/>
      <c r="G120" s="23"/>
      <c r="H120" s="70"/>
      <c r="I120" s="39"/>
      <c r="J120" s="56">
        <v>0</v>
      </c>
      <c r="K120" s="59"/>
    </row>
    <row r="121" spans="2:11" ht="15">
      <c r="B121" s="37"/>
      <c r="C121" s="23"/>
      <c r="D121" s="38"/>
      <c r="E121" s="67"/>
      <c r="F121" s="23"/>
      <c r="G121" s="23"/>
      <c r="H121" s="70"/>
      <c r="I121" s="39"/>
      <c r="J121" s="56">
        <v>0</v>
      </c>
      <c r="K121" s="59"/>
    </row>
    <row r="122" spans="2:11" ht="15">
      <c r="B122" s="37"/>
      <c r="C122" s="23"/>
      <c r="D122" s="38"/>
      <c r="E122" s="67"/>
      <c r="F122" s="23"/>
      <c r="G122" s="23"/>
      <c r="H122" s="39"/>
      <c r="I122" s="39"/>
      <c r="J122" s="56">
        <v>0</v>
      </c>
      <c r="K122" s="59"/>
    </row>
    <row r="123" spans="2:11" ht="15">
      <c r="B123" s="37"/>
      <c r="C123" s="23"/>
      <c r="D123" s="38"/>
      <c r="E123" s="67"/>
      <c r="F123" s="23"/>
      <c r="G123" s="23"/>
      <c r="H123" s="39"/>
      <c r="I123" s="39"/>
      <c r="J123" s="56">
        <v>0</v>
      </c>
      <c r="K123" s="59"/>
    </row>
    <row r="124" spans="2:11" ht="15">
      <c r="B124" s="37"/>
      <c r="C124" s="23"/>
      <c r="D124" s="38"/>
      <c r="E124" s="67"/>
      <c r="F124" s="23"/>
      <c r="G124" s="23"/>
      <c r="H124" s="39"/>
      <c r="I124" s="39"/>
      <c r="J124" s="56">
        <v>0</v>
      </c>
      <c r="K124" s="59"/>
    </row>
    <row r="125" spans="2:11" ht="15">
      <c r="B125" s="37"/>
      <c r="C125" s="23"/>
      <c r="D125" s="38"/>
      <c r="E125" s="67"/>
      <c r="F125" s="23"/>
      <c r="G125" s="23"/>
      <c r="H125" s="39"/>
      <c r="I125" s="39"/>
      <c r="J125" s="56">
        <v>0</v>
      </c>
      <c r="K125" s="59"/>
    </row>
    <row r="126" spans="2:11" ht="15">
      <c r="B126" s="37"/>
      <c r="C126" s="23"/>
      <c r="D126" s="38"/>
      <c r="E126" s="67"/>
      <c r="F126" s="23"/>
      <c r="G126" s="23"/>
      <c r="H126" s="39"/>
      <c r="I126" s="39"/>
      <c r="J126" s="56">
        <v>0</v>
      </c>
      <c r="K126" s="59"/>
    </row>
    <row r="127" spans="2:11" ht="15">
      <c r="B127" s="37"/>
      <c r="C127" s="23"/>
      <c r="D127" s="38"/>
      <c r="E127" s="67"/>
      <c r="F127" s="23"/>
      <c r="G127" s="23"/>
      <c r="H127" s="39"/>
      <c r="I127" s="39"/>
      <c r="J127" s="56">
        <v>0</v>
      </c>
      <c r="K127" s="59"/>
    </row>
    <row r="128" spans="2:11" ht="15">
      <c r="B128" s="71"/>
      <c r="C128" s="29"/>
      <c r="D128" s="30"/>
      <c r="E128" s="67"/>
      <c r="F128" s="30"/>
      <c r="G128" s="30"/>
      <c r="H128" s="72"/>
      <c r="I128" s="72"/>
      <c r="J128" s="56">
        <v>0</v>
      </c>
    </row>
    <row r="129" spans="2:13" ht="15">
      <c r="B129" s="37"/>
      <c r="C129" s="44"/>
      <c r="D129" s="44"/>
      <c r="E129" s="67"/>
      <c r="F129" s="44"/>
      <c r="G129" s="44"/>
      <c r="H129" s="39"/>
      <c r="I129" s="39"/>
      <c r="J129" s="56">
        <v>0</v>
      </c>
    </row>
    <row r="130" spans="2:13" ht="15">
      <c r="B130" s="37"/>
      <c r="C130" s="44"/>
      <c r="D130" s="44"/>
      <c r="E130" s="67"/>
      <c r="F130" s="44"/>
      <c r="G130" s="44"/>
      <c r="H130" s="39"/>
      <c r="I130" s="39"/>
      <c r="J130" s="56">
        <v>0</v>
      </c>
    </row>
    <row r="131" spans="2:13" ht="15">
      <c r="B131" s="37"/>
      <c r="C131" s="44"/>
      <c r="D131" s="44"/>
      <c r="E131" s="67"/>
      <c r="F131" s="44"/>
      <c r="G131" s="44"/>
      <c r="H131" s="39"/>
      <c r="I131" s="39"/>
      <c r="J131" s="56">
        <v>0</v>
      </c>
    </row>
    <row r="132" spans="2:13" ht="15">
      <c r="B132" s="37"/>
      <c r="C132" s="44"/>
      <c r="D132" s="44"/>
      <c r="E132" s="67"/>
      <c r="F132" s="44"/>
      <c r="G132" s="44"/>
      <c r="H132" s="39"/>
      <c r="I132" s="39"/>
      <c r="J132" s="56">
        <v>0</v>
      </c>
    </row>
    <row r="133" spans="2:13" ht="15">
      <c r="B133" s="71"/>
      <c r="C133" s="29"/>
      <c r="D133" s="30"/>
      <c r="E133" s="67"/>
      <c r="F133" s="30"/>
      <c r="G133" s="30"/>
      <c r="H133" s="72"/>
      <c r="I133" s="72"/>
      <c r="J133" s="56">
        <v>0</v>
      </c>
    </row>
    <row r="134" spans="2:13" ht="15">
      <c r="B134" s="37"/>
      <c r="C134" s="23"/>
      <c r="D134" s="38"/>
      <c r="E134" s="67"/>
      <c r="F134" s="23"/>
      <c r="G134" s="23"/>
      <c r="H134" s="39"/>
      <c r="I134" s="39"/>
      <c r="J134" s="56">
        <v>0</v>
      </c>
      <c r="K134" s="59"/>
    </row>
    <row r="135" spans="2:13" ht="15">
      <c r="B135" s="71"/>
      <c r="C135" s="29"/>
      <c r="D135" s="30"/>
      <c r="E135" s="67"/>
      <c r="F135" s="30"/>
      <c r="G135" s="30"/>
      <c r="H135" s="72"/>
      <c r="I135" s="72"/>
      <c r="J135" s="56">
        <v>0</v>
      </c>
    </row>
    <row r="136" spans="2:13" ht="15">
      <c r="B136" s="37"/>
      <c r="C136" s="23"/>
      <c r="D136" s="38"/>
      <c r="E136" s="67"/>
      <c r="F136" s="23"/>
      <c r="G136" s="23"/>
      <c r="H136" s="39"/>
      <c r="I136" s="39"/>
      <c r="J136" s="56">
        <v>0</v>
      </c>
      <c r="K136" s="59"/>
      <c r="M136" s="77"/>
    </row>
    <row r="137" spans="2:13" ht="15">
      <c r="B137" s="37"/>
      <c r="C137" s="23"/>
      <c r="D137" s="38"/>
      <c r="E137" s="67"/>
      <c r="F137" s="23"/>
      <c r="G137" s="23"/>
      <c r="H137" s="39"/>
      <c r="I137" s="39"/>
      <c r="J137" s="56">
        <v>0</v>
      </c>
      <c r="K137" s="59"/>
    </row>
    <row r="138" spans="2:13" ht="15">
      <c r="B138" s="37"/>
      <c r="C138" s="23"/>
      <c r="D138" s="38"/>
      <c r="E138" s="67"/>
      <c r="F138" s="23"/>
      <c r="G138" s="23"/>
      <c r="H138" s="39"/>
      <c r="I138" s="39"/>
      <c r="J138" s="56">
        <v>0</v>
      </c>
      <c r="K138" s="59"/>
      <c r="M138" s="77"/>
    </row>
    <row r="139" spans="2:13" ht="15">
      <c r="B139" s="37"/>
      <c r="C139" s="23"/>
      <c r="D139" s="38"/>
      <c r="E139" s="67"/>
      <c r="F139" s="23"/>
      <c r="G139" s="23"/>
      <c r="H139" s="39"/>
      <c r="I139" s="39"/>
      <c r="J139" s="56">
        <v>0</v>
      </c>
      <c r="K139" s="59"/>
    </row>
    <row r="140" spans="2:13" ht="15">
      <c r="B140" s="37"/>
      <c r="C140" s="23"/>
      <c r="D140" s="38"/>
      <c r="E140" s="67"/>
      <c r="F140" s="23"/>
      <c r="G140" s="23"/>
      <c r="H140" s="39"/>
      <c r="I140" s="39"/>
      <c r="J140" s="56">
        <v>0</v>
      </c>
      <c r="K140" s="59"/>
    </row>
    <row r="141" spans="2:13" ht="15">
      <c r="B141" s="37"/>
      <c r="C141" s="23"/>
      <c r="D141" s="38"/>
      <c r="E141" s="67"/>
      <c r="F141" s="23"/>
      <c r="G141" s="23"/>
      <c r="H141" s="39"/>
      <c r="I141" s="39"/>
      <c r="J141" s="56">
        <v>0</v>
      </c>
      <c r="K141" s="59"/>
    </row>
    <row r="142" spans="2:13" ht="15">
      <c r="B142" s="37"/>
      <c r="C142" s="23"/>
      <c r="D142" s="38"/>
      <c r="E142" s="67"/>
      <c r="F142" s="23"/>
      <c r="G142" s="23"/>
      <c r="H142" s="39"/>
      <c r="I142" s="39"/>
      <c r="J142" s="56">
        <v>0</v>
      </c>
      <c r="K142" s="59"/>
    </row>
    <row r="143" spans="2:13" ht="15">
      <c r="B143" s="37"/>
      <c r="C143" s="23"/>
      <c r="D143" s="38"/>
      <c r="E143" s="23"/>
      <c r="F143" s="23"/>
      <c r="G143" s="23"/>
      <c r="H143" s="39"/>
      <c r="I143" s="39"/>
      <c r="J143" s="56">
        <v>0</v>
      </c>
      <c r="K143" s="59"/>
    </row>
    <row r="144" spans="2:13" ht="15">
      <c r="B144" s="37"/>
      <c r="C144" s="23"/>
      <c r="D144" s="38"/>
      <c r="E144" s="23"/>
      <c r="F144" s="23"/>
      <c r="G144" s="23"/>
      <c r="H144" s="39"/>
      <c r="I144" s="39"/>
      <c r="J144" s="56">
        <v>0</v>
      </c>
      <c r="K144" s="59"/>
    </row>
    <row r="145" spans="2:11" ht="15">
      <c r="B145" s="37"/>
      <c r="C145" s="23"/>
      <c r="D145" s="38"/>
      <c r="E145" s="23"/>
      <c r="F145" s="23"/>
      <c r="G145" s="23"/>
      <c r="H145" s="39"/>
      <c r="I145" s="39"/>
      <c r="J145" s="56">
        <v>0</v>
      </c>
      <c r="K145" s="59"/>
    </row>
    <row r="146" spans="2:11" ht="15">
      <c r="B146" s="37"/>
      <c r="C146" s="23"/>
      <c r="D146" s="38"/>
      <c r="E146" s="23"/>
      <c r="F146" s="23"/>
      <c r="G146" s="23"/>
      <c r="H146" s="39"/>
      <c r="I146" s="39"/>
      <c r="J146" s="56">
        <v>0</v>
      </c>
      <c r="K146" s="59"/>
    </row>
    <row r="147" spans="2:11" ht="15">
      <c r="B147" s="37"/>
      <c r="C147" s="23"/>
      <c r="D147" s="38"/>
      <c r="E147" s="23"/>
      <c r="F147" s="23"/>
      <c r="G147" s="23"/>
      <c r="H147" s="39"/>
      <c r="I147" s="39"/>
      <c r="J147" s="56">
        <v>0</v>
      </c>
      <c r="K147" s="59"/>
    </row>
    <row r="148" spans="2:11" ht="15">
      <c r="B148" s="37"/>
      <c r="C148" s="23"/>
      <c r="D148" s="38"/>
      <c r="E148" s="23"/>
      <c r="F148" s="23"/>
      <c r="G148" s="23"/>
      <c r="H148" s="39"/>
      <c r="I148" s="39"/>
      <c r="J148" s="56">
        <v>0</v>
      </c>
      <c r="K148" s="59"/>
    </row>
    <row r="149" spans="2:11" ht="15">
      <c r="B149" s="37"/>
      <c r="C149" s="23"/>
      <c r="D149" s="38"/>
      <c r="E149" s="23"/>
      <c r="F149" s="23"/>
      <c r="G149" s="23"/>
      <c r="H149" s="39"/>
      <c r="I149" s="39"/>
      <c r="J149" s="56">
        <v>0</v>
      </c>
      <c r="K149" s="59"/>
    </row>
    <row r="150" spans="2:11" ht="15">
      <c r="B150" s="37"/>
      <c r="C150" s="23"/>
      <c r="D150" s="38"/>
      <c r="E150" s="23"/>
      <c r="F150" s="23"/>
      <c r="G150" s="23"/>
      <c r="H150" s="39"/>
      <c r="I150" s="39"/>
      <c r="J150" s="56">
        <v>0</v>
      </c>
      <c r="K150" s="59"/>
    </row>
    <row r="151" spans="2:11" ht="15">
      <c r="B151" s="37"/>
      <c r="C151" s="23"/>
      <c r="D151" s="38"/>
      <c r="E151" s="23"/>
      <c r="F151" s="23"/>
      <c r="G151" s="23"/>
      <c r="H151" s="39"/>
      <c r="I151" s="39"/>
      <c r="J151" s="56">
        <v>0</v>
      </c>
      <c r="K151" s="59"/>
    </row>
    <row r="152" spans="2:11" ht="15">
      <c r="B152" s="22"/>
      <c r="C152" s="23"/>
      <c r="D152" s="38"/>
      <c r="E152" s="23"/>
      <c r="F152" s="25"/>
      <c r="G152" s="26"/>
      <c r="H152" s="27"/>
      <c r="I152" s="27"/>
      <c r="J152" s="54">
        <v>0</v>
      </c>
      <c r="K152" s="59"/>
    </row>
    <row r="153" spans="2:11" ht="15">
      <c r="B153" s="22"/>
      <c r="C153" s="23"/>
      <c r="D153" s="38"/>
      <c r="E153" s="23"/>
      <c r="F153" s="25"/>
      <c r="G153" s="26"/>
      <c r="H153" s="27"/>
      <c r="I153" s="27"/>
      <c r="J153" s="54">
        <v>0</v>
      </c>
      <c r="K153" s="59"/>
    </row>
    <row r="154" spans="2:11" ht="15">
      <c r="B154" s="22"/>
      <c r="C154" s="23"/>
      <c r="D154" s="24"/>
      <c r="E154" s="23"/>
      <c r="F154" s="25"/>
      <c r="G154" s="26"/>
      <c r="H154" s="27"/>
      <c r="I154" s="27"/>
      <c r="J154" s="54">
        <v>0</v>
      </c>
      <c r="K154" s="59"/>
    </row>
    <row r="155" spans="2:11" ht="15">
      <c r="B155" s="22"/>
      <c r="C155" s="23"/>
      <c r="D155" s="24"/>
      <c r="E155" s="23"/>
      <c r="F155" s="25"/>
      <c r="G155" s="26"/>
      <c r="H155" s="27"/>
      <c r="I155" s="27"/>
      <c r="J155" s="54">
        <v>0</v>
      </c>
      <c r="K155" s="59"/>
    </row>
    <row r="156" spans="2:11" ht="15">
      <c r="B156" s="22"/>
      <c r="C156" s="23"/>
      <c r="D156" s="38"/>
      <c r="E156" s="23"/>
      <c r="F156" s="25"/>
      <c r="G156" s="26"/>
      <c r="H156" s="27"/>
      <c r="I156" s="27"/>
      <c r="J156" s="54">
        <v>0</v>
      </c>
      <c r="K156" s="59"/>
    </row>
    <row r="157" spans="2:11" ht="15">
      <c r="B157" s="22"/>
      <c r="C157" s="23"/>
      <c r="D157" s="38"/>
      <c r="E157" s="23"/>
      <c r="F157" s="25"/>
      <c r="G157" s="26"/>
      <c r="H157" s="27"/>
      <c r="I157" s="27"/>
      <c r="J157" s="54">
        <v>0</v>
      </c>
      <c r="K157" s="59"/>
    </row>
    <row r="158" spans="2:11" ht="15">
      <c r="B158" s="22"/>
      <c r="C158" s="23"/>
      <c r="D158" s="38"/>
      <c r="E158" s="23"/>
      <c r="F158" s="25"/>
      <c r="G158" s="26"/>
      <c r="H158" s="27"/>
      <c r="I158" s="27"/>
      <c r="J158" s="54">
        <v>0</v>
      </c>
      <c r="K158" s="59"/>
    </row>
    <row r="159" spans="2:11" ht="15">
      <c r="B159" s="22"/>
      <c r="C159" s="23"/>
      <c r="D159" s="38"/>
      <c r="E159" s="23"/>
      <c r="F159" s="25"/>
      <c r="G159" s="26"/>
      <c r="H159" s="27"/>
      <c r="I159" s="27"/>
      <c r="J159" s="54">
        <v>0</v>
      </c>
      <c r="K159" s="59"/>
    </row>
    <row r="160" spans="2:11" ht="15">
      <c r="B160" s="22"/>
      <c r="C160" s="23"/>
      <c r="D160" s="38"/>
      <c r="E160" s="23"/>
      <c r="F160" s="25"/>
      <c r="G160" s="26"/>
      <c r="H160" s="27"/>
      <c r="I160" s="27"/>
      <c r="J160" s="54">
        <v>0</v>
      </c>
      <c r="K160" s="59"/>
    </row>
    <row r="161" spans="2:11" ht="15">
      <c r="B161" s="22"/>
      <c r="C161" s="23"/>
      <c r="D161" s="38"/>
      <c r="E161" s="23"/>
      <c r="F161" s="25"/>
      <c r="G161" s="26"/>
      <c r="H161" s="27"/>
      <c r="I161" s="27"/>
      <c r="J161" s="54">
        <v>0</v>
      </c>
      <c r="K161" s="59"/>
    </row>
    <row r="162" spans="2:11" ht="15">
      <c r="B162" s="22"/>
      <c r="C162" s="23"/>
      <c r="D162" s="38"/>
      <c r="E162" s="23"/>
      <c r="F162" s="25"/>
      <c r="G162" s="26"/>
      <c r="H162" s="27"/>
      <c r="I162" s="27"/>
      <c r="J162" s="54">
        <v>0</v>
      </c>
      <c r="K162" s="59"/>
    </row>
    <row r="163" spans="2:11" ht="15">
      <c r="B163" s="22"/>
      <c r="C163" s="23"/>
      <c r="D163" s="38"/>
      <c r="E163" s="23"/>
      <c r="F163" s="25"/>
      <c r="G163" s="26"/>
      <c r="H163" s="27"/>
      <c r="I163" s="27"/>
      <c r="J163" s="54">
        <v>0</v>
      </c>
      <c r="K163" s="59"/>
    </row>
    <row r="164" spans="2:11" ht="15">
      <c r="B164" s="22"/>
      <c r="C164" s="23"/>
      <c r="D164" s="38"/>
      <c r="E164" s="23"/>
      <c r="F164" s="25"/>
      <c r="G164" s="26"/>
      <c r="H164" s="27"/>
      <c r="I164" s="27"/>
      <c r="J164" s="54">
        <v>0</v>
      </c>
      <c r="K164" s="59"/>
    </row>
    <row r="165" spans="2:11" ht="15">
      <c r="B165" s="22"/>
      <c r="C165" s="23"/>
      <c r="D165" s="38"/>
      <c r="E165" s="23"/>
      <c r="F165" s="25"/>
      <c r="G165" s="26"/>
      <c r="H165" s="27"/>
      <c r="I165" s="27"/>
      <c r="J165" s="54">
        <v>0</v>
      </c>
      <c r="K165" s="59"/>
    </row>
    <row r="166" spans="2:11" ht="15">
      <c r="B166" s="22"/>
      <c r="C166" s="23"/>
      <c r="D166" s="38"/>
      <c r="E166" s="23"/>
      <c r="F166" s="25"/>
      <c r="G166" s="26"/>
      <c r="H166" s="27"/>
      <c r="I166" s="27"/>
      <c r="J166" s="54">
        <v>0</v>
      </c>
      <c r="K166" s="59"/>
    </row>
    <row r="167" spans="2:11" ht="15">
      <c r="B167" s="22"/>
      <c r="C167" s="23"/>
      <c r="D167" s="38"/>
      <c r="E167" s="23"/>
      <c r="F167" s="25"/>
      <c r="G167" s="26"/>
      <c r="H167" s="27"/>
      <c r="I167" s="27"/>
      <c r="J167" s="54">
        <v>0</v>
      </c>
      <c r="K167" s="59"/>
    </row>
    <row r="168" spans="2:11" ht="15">
      <c r="B168" s="22"/>
      <c r="C168" s="23"/>
      <c r="D168" s="38"/>
      <c r="E168" s="23"/>
      <c r="F168" s="25"/>
      <c r="G168" s="26"/>
      <c r="H168" s="27"/>
      <c r="I168" s="27"/>
      <c r="J168" s="54">
        <v>0</v>
      </c>
      <c r="K168" s="59"/>
    </row>
    <row r="169" spans="2:11" ht="15">
      <c r="B169" s="22"/>
      <c r="C169" s="23"/>
      <c r="D169" s="38"/>
      <c r="E169" s="23"/>
      <c r="F169" s="25"/>
      <c r="G169" s="26"/>
      <c r="H169" s="27"/>
      <c r="I169" s="27"/>
      <c r="J169" s="54">
        <v>0</v>
      </c>
      <c r="K169" s="59"/>
    </row>
    <row r="170" spans="2:11" ht="15">
      <c r="B170" s="22"/>
      <c r="C170" s="23"/>
      <c r="D170" s="38"/>
      <c r="E170" s="23"/>
      <c r="F170" s="25"/>
      <c r="G170" s="26"/>
      <c r="H170" s="27"/>
      <c r="I170" s="27"/>
      <c r="J170" s="54">
        <v>0</v>
      </c>
      <c r="K170" s="59"/>
    </row>
    <row r="171" spans="2:11" ht="15">
      <c r="B171" s="22"/>
      <c r="C171" s="23"/>
      <c r="D171" s="38"/>
      <c r="E171" s="23"/>
      <c r="F171" s="25"/>
      <c r="G171" s="26"/>
      <c r="H171" s="27"/>
      <c r="I171" s="27"/>
      <c r="J171" s="54">
        <v>0</v>
      </c>
      <c r="K171" s="59"/>
    </row>
    <row r="172" spans="2:11" ht="15">
      <c r="B172" s="22"/>
      <c r="C172" s="23"/>
      <c r="D172" s="38"/>
      <c r="E172" s="23"/>
      <c r="F172" s="25"/>
      <c r="G172" s="26"/>
      <c r="H172" s="27"/>
      <c r="I172" s="27"/>
      <c r="J172" s="54">
        <v>0</v>
      </c>
      <c r="K172" s="59"/>
    </row>
    <row r="173" spans="2:11" ht="15">
      <c r="B173" s="22"/>
      <c r="C173" s="23"/>
      <c r="D173" s="38"/>
      <c r="E173" s="23"/>
      <c r="F173" s="25"/>
      <c r="G173" s="26"/>
      <c r="H173" s="27"/>
      <c r="I173" s="27"/>
      <c r="J173" s="54">
        <v>0</v>
      </c>
      <c r="K173" s="59"/>
    </row>
    <row r="174" spans="2:11" ht="15">
      <c r="B174" s="22"/>
      <c r="C174" s="23"/>
      <c r="D174" s="38"/>
      <c r="E174" s="23"/>
      <c r="F174" s="25"/>
      <c r="G174" s="26"/>
      <c r="H174" s="27"/>
      <c r="I174" s="27"/>
      <c r="J174" s="54">
        <v>0</v>
      </c>
      <c r="K174" s="59"/>
    </row>
    <row r="175" spans="2:11" ht="15">
      <c r="B175" s="22"/>
      <c r="C175" s="23"/>
      <c r="D175" s="38"/>
      <c r="E175" s="23"/>
      <c r="F175" s="25"/>
      <c r="G175" s="26"/>
      <c r="H175" s="27"/>
      <c r="I175" s="27"/>
      <c r="J175" s="54">
        <v>0</v>
      </c>
      <c r="K175" s="59"/>
    </row>
    <row r="176" spans="2:11" ht="15">
      <c r="B176" s="22"/>
      <c r="C176" s="23"/>
      <c r="D176" s="38"/>
      <c r="E176" s="23"/>
      <c r="F176" s="25"/>
      <c r="G176" s="26"/>
      <c r="H176" s="27"/>
      <c r="I176" s="27"/>
      <c r="J176" s="54">
        <v>0</v>
      </c>
      <c r="K176" s="59"/>
    </row>
    <row r="177" spans="2:11" ht="15">
      <c r="B177" s="22"/>
      <c r="C177" s="23"/>
      <c r="D177" s="38"/>
      <c r="E177" s="23"/>
      <c r="F177" s="25"/>
      <c r="G177" s="26"/>
      <c r="H177" s="27"/>
      <c r="I177" s="27"/>
      <c r="J177" s="54">
        <v>0</v>
      </c>
      <c r="K177" s="59"/>
    </row>
    <row r="178" spans="2:11" ht="15">
      <c r="B178" s="22"/>
      <c r="C178" s="23"/>
      <c r="D178" s="38"/>
      <c r="E178" s="23"/>
      <c r="F178" s="25"/>
      <c r="G178" s="26"/>
      <c r="H178" s="27"/>
      <c r="I178" s="27"/>
      <c r="J178" s="54">
        <v>0</v>
      </c>
      <c r="K178" s="59"/>
    </row>
    <row r="179" spans="2:11" ht="15">
      <c r="B179" s="22"/>
      <c r="C179" s="23"/>
      <c r="D179" s="24"/>
      <c r="E179" s="23"/>
      <c r="F179" s="25"/>
      <c r="G179" s="26"/>
      <c r="H179" s="27"/>
      <c r="I179" s="27"/>
      <c r="J179" s="54">
        <v>0</v>
      </c>
      <c r="K179" s="59"/>
    </row>
    <row r="180" spans="2:11" ht="15">
      <c r="B180" s="22"/>
      <c r="C180" s="23"/>
      <c r="D180" s="38"/>
      <c r="E180" s="23"/>
      <c r="F180" s="25"/>
      <c r="G180" s="26"/>
      <c r="H180" s="27"/>
      <c r="I180" s="27"/>
      <c r="J180" s="54">
        <v>0</v>
      </c>
      <c r="K180" s="59"/>
    </row>
    <row r="181" spans="2:11" ht="15">
      <c r="B181" s="22"/>
      <c r="C181" s="23"/>
      <c r="D181" s="38"/>
      <c r="E181" s="23"/>
      <c r="F181" s="25"/>
      <c r="G181" s="26"/>
      <c r="H181" s="27"/>
      <c r="I181" s="27"/>
      <c r="J181" s="54">
        <v>0</v>
      </c>
      <c r="K181" s="59"/>
    </row>
    <row r="182" spans="2:11" ht="15">
      <c r="B182" s="22"/>
      <c r="C182" s="23"/>
      <c r="D182" s="24"/>
      <c r="E182" s="23"/>
      <c r="F182" s="25"/>
      <c r="G182" s="26"/>
      <c r="H182" s="27"/>
      <c r="I182" s="27"/>
      <c r="J182" s="54">
        <v>0</v>
      </c>
      <c r="K182" s="59"/>
    </row>
    <row r="183" spans="2:11" ht="15">
      <c r="B183" s="22"/>
      <c r="C183" s="23"/>
      <c r="D183" s="38"/>
      <c r="E183" s="23"/>
      <c r="F183" s="25"/>
      <c r="G183" s="26"/>
      <c r="H183" s="27"/>
      <c r="I183" s="27"/>
      <c r="J183" s="54">
        <v>0</v>
      </c>
      <c r="K183" s="59"/>
    </row>
    <row r="184" spans="2:11" ht="15">
      <c r="B184" s="22"/>
      <c r="C184" s="23"/>
      <c r="D184" s="38"/>
      <c r="E184" s="23"/>
      <c r="F184" s="25"/>
      <c r="G184" s="26"/>
      <c r="H184" s="27"/>
      <c r="I184" s="27"/>
      <c r="J184" s="54">
        <v>0</v>
      </c>
      <c r="K184" s="59"/>
    </row>
    <row r="185" spans="2:11" ht="15">
      <c r="B185" s="22"/>
      <c r="C185" s="23"/>
      <c r="D185" s="24"/>
      <c r="E185" s="23"/>
      <c r="F185" s="25"/>
      <c r="G185" s="26"/>
      <c r="H185" s="27"/>
      <c r="I185" s="27"/>
      <c r="J185" s="54">
        <v>0</v>
      </c>
      <c r="K185" s="59"/>
    </row>
    <row r="186" spans="2:11" ht="15">
      <c r="B186" s="22"/>
      <c r="C186" s="23"/>
      <c r="D186" s="24"/>
      <c r="E186" s="23"/>
      <c r="F186" s="25"/>
      <c r="G186" s="26"/>
      <c r="H186" s="27"/>
      <c r="I186" s="27"/>
      <c r="J186" s="54">
        <v>0</v>
      </c>
      <c r="K186" s="59"/>
    </row>
    <row r="187" spans="2:11" ht="15">
      <c r="B187" s="22"/>
      <c r="C187" s="23"/>
      <c r="D187" s="24"/>
      <c r="E187" s="23"/>
      <c r="F187" s="25"/>
      <c r="G187" s="26"/>
      <c r="H187" s="27"/>
      <c r="I187" s="27"/>
      <c r="J187" s="54">
        <v>0</v>
      </c>
      <c r="K187" s="59"/>
    </row>
    <row r="188" spans="2:11" ht="15">
      <c r="B188" s="22"/>
      <c r="C188" s="23"/>
      <c r="D188" s="24"/>
      <c r="E188" s="23"/>
      <c r="F188" s="25"/>
      <c r="G188" s="26"/>
      <c r="H188" s="27"/>
      <c r="I188" s="27"/>
      <c r="J188" s="54">
        <v>0</v>
      </c>
      <c r="K188" s="59"/>
    </row>
    <row r="189" spans="2:11" ht="15">
      <c r="B189" s="22"/>
      <c r="C189" s="23"/>
      <c r="D189" s="24"/>
      <c r="E189" s="23"/>
      <c r="F189" s="25"/>
      <c r="G189" s="26"/>
      <c r="H189" s="27"/>
      <c r="I189" s="27"/>
      <c r="J189" s="54">
        <v>0</v>
      </c>
      <c r="K189" s="59"/>
    </row>
    <row r="190" spans="2:11" ht="15">
      <c r="B190" s="22"/>
      <c r="C190" s="23"/>
      <c r="D190" s="24"/>
      <c r="E190" s="23"/>
      <c r="F190" s="25"/>
      <c r="G190" s="26"/>
      <c r="H190" s="27"/>
      <c r="I190" s="27"/>
      <c r="J190" s="54">
        <v>0</v>
      </c>
      <c r="K190" s="59"/>
    </row>
    <row r="191" spans="2:11" ht="15">
      <c r="B191" s="22"/>
      <c r="C191" s="23"/>
      <c r="D191" s="24"/>
      <c r="E191" s="23"/>
      <c r="F191" s="25"/>
      <c r="G191" s="26"/>
      <c r="H191" s="27"/>
      <c r="I191" s="27"/>
      <c r="J191" s="54">
        <v>0</v>
      </c>
      <c r="K191" s="59"/>
    </row>
    <row r="192" spans="2:11" ht="15">
      <c r="B192" s="22"/>
      <c r="C192" s="23"/>
      <c r="D192" s="24"/>
      <c r="E192" s="23"/>
      <c r="F192" s="25"/>
      <c r="G192" s="26"/>
      <c r="H192" s="27"/>
      <c r="I192" s="27"/>
      <c r="J192" s="54">
        <v>0</v>
      </c>
      <c r="K192" s="59"/>
    </row>
    <row r="193" spans="2:11" ht="15">
      <c r="B193" s="22"/>
      <c r="C193" s="23"/>
      <c r="D193" s="24"/>
      <c r="E193" s="23"/>
      <c r="F193" s="25"/>
      <c r="G193" s="26"/>
      <c r="H193" s="27"/>
      <c r="I193" s="27"/>
      <c r="J193" s="54">
        <v>0</v>
      </c>
      <c r="K193" s="59"/>
    </row>
    <row r="194" spans="2:11" ht="15">
      <c r="B194" s="22"/>
      <c r="C194" s="23"/>
      <c r="D194" s="24"/>
      <c r="E194" s="23"/>
      <c r="F194" s="25"/>
      <c r="G194" s="26"/>
      <c r="H194" s="27"/>
      <c r="I194" s="27"/>
      <c r="J194" s="54">
        <v>0</v>
      </c>
      <c r="K194" s="59"/>
    </row>
    <row r="195" spans="2:11" ht="15">
      <c r="B195" s="22"/>
      <c r="C195" s="23"/>
      <c r="D195" s="24"/>
      <c r="E195" s="23"/>
      <c r="F195" s="25"/>
      <c r="G195" s="26"/>
      <c r="H195" s="27"/>
      <c r="I195" s="27"/>
      <c r="J195" s="54">
        <v>0</v>
      </c>
      <c r="K195" s="59"/>
    </row>
    <row r="196" spans="2:11" ht="15">
      <c r="B196" s="22"/>
      <c r="C196" s="23"/>
      <c r="D196" s="24"/>
      <c r="E196" s="23"/>
      <c r="F196" s="25"/>
      <c r="G196" s="26"/>
      <c r="H196" s="27"/>
      <c r="I196" s="27"/>
      <c r="J196" s="54">
        <v>0</v>
      </c>
      <c r="K196" s="59"/>
    </row>
    <row r="197" spans="2:11" ht="15">
      <c r="B197" s="22"/>
      <c r="C197" s="23"/>
      <c r="D197" s="24"/>
      <c r="E197" s="23"/>
      <c r="F197" s="25"/>
      <c r="G197" s="26"/>
      <c r="H197" s="27"/>
      <c r="I197" s="27"/>
      <c r="J197" s="54">
        <v>0</v>
      </c>
      <c r="K197" s="59"/>
    </row>
    <row r="198" spans="2:11" ht="15">
      <c r="B198" s="22"/>
      <c r="C198" s="23"/>
      <c r="D198" s="38"/>
      <c r="E198" s="23"/>
      <c r="F198" s="25"/>
      <c r="G198" s="26"/>
      <c r="H198" s="27"/>
      <c r="I198" s="27"/>
      <c r="J198" s="54">
        <v>0</v>
      </c>
      <c r="K198" s="59"/>
    </row>
    <row r="199" spans="2:11" ht="15">
      <c r="B199" s="22"/>
      <c r="C199" s="23"/>
      <c r="D199" s="38"/>
      <c r="E199" s="23"/>
      <c r="F199" s="25"/>
      <c r="G199" s="26"/>
      <c r="H199" s="27"/>
      <c r="I199" s="27"/>
      <c r="J199" s="54">
        <v>0</v>
      </c>
      <c r="K199" s="59"/>
    </row>
    <row r="200" spans="2:11" ht="15">
      <c r="B200" s="22"/>
      <c r="C200" s="23"/>
      <c r="D200" s="38"/>
      <c r="E200" s="23"/>
      <c r="F200" s="25"/>
      <c r="G200" s="26"/>
      <c r="H200" s="27"/>
      <c r="I200" s="27"/>
      <c r="J200" s="54">
        <v>0</v>
      </c>
      <c r="K200" s="59"/>
    </row>
    <row r="201" spans="2:11" ht="15">
      <c r="B201" s="22"/>
      <c r="C201" s="23"/>
      <c r="D201" s="38"/>
      <c r="E201" s="23"/>
      <c r="F201" s="25"/>
      <c r="G201" s="26"/>
      <c r="H201" s="27"/>
      <c r="I201" s="27"/>
      <c r="J201" s="54">
        <v>0</v>
      </c>
      <c r="K201" s="59"/>
    </row>
    <row r="202" spans="2:11" ht="15">
      <c r="B202" s="22"/>
      <c r="C202" s="23"/>
      <c r="D202" s="38"/>
      <c r="E202" s="23"/>
      <c r="F202" s="25"/>
      <c r="G202" s="26"/>
      <c r="H202" s="27"/>
      <c r="I202" s="27"/>
      <c r="J202" s="54">
        <v>0</v>
      </c>
      <c r="K202" s="59"/>
    </row>
    <row r="203" spans="2:11" ht="15">
      <c r="B203" s="22"/>
      <c r="C203" s="23"/>
      <c r="D203" s="38"/>
      <c r="E203" s="23"/>
      <c r="F203" s="25"/>
      <c r="G203" s="26"/>
      <c r="H203" s="27"/>
      <c r="I203" s="27"/>
      <c r="J203" s="54">
        <v>0</v>
      </c>
      <c r="K203" s="75"/>
    </row>
    <row r="204" spans="2:11" ht="15">
      <c r="B204" s="22"/>
      <c r="C204" s="23"/>
      <c r="D204" s="38"/>
      <c r="E204" s="23"/>
      <c r="F204" s="25"/>
      <c r="G204" s="26"/>
      <c r="H204" s="27"/>
      <c r="I204" s="27"/>
      <c r="J204" s="54">
        <v>0</v>
      </c>
      <c r="K204" s="59"/>
    </row>
    <row r="205" spans="2:11" ht="15">
      <c r="B205" s="22"/>
      <c r="C205" s="23"/>
      <c r="D205" s="38"/>
      <c r="E205" s="23"/>
      <c r="F205" s="25"/>
      <c r="G205" s="26"/>
      <c r="H205" s="27"/>
      <c r="I205" s="27"/>
      <c r="J205" s="54">
        <v>0</v>
      </c>
      <c r="K205" s="59"/>
    </row>
    <row r="206" spans="2:11" ht="15">
      <c r="B206" s="22"/>
      <c r="C206" s="23"/>
      <c r="D206" s="38"/>
      <c r="E206" s="23"/>
      <c r="F206" s="25"/>
      <c r="G206" s="26"/>
      <c r="H206" s="27"/>
      <c r="I206" s="27"/>
      <c r="J206" s="54">
        <v>0</v>
      </c>
      <c r="K206" s="59"/>
    </row>
    <row r="207" spans="2:11" ht="15">
      <c r="B207" s="22"/>
      <c r="C207" s="23"/>
      <c r="D207" s="38"/>
      <c r="E207" s="23"/>
      <c r="F207" s="25"/>
      <c r="G207" s="26"/>
      <c r="H207" s="27"/>
      <c r="I207" s="27"/>
      <c r="J207" s="54">
        <v>0</v>
      </c>
      <c r="K207" s="59"/>
    </row>
    <row r="208" spans="2:11" ht="15">
      <c r="B208" s="22"/>
      <c r="C208" s="23"/>
      <c r="D208" s="38"/>
      <c r="E208" s="23"/>
      <c r="F208" s="25"/>
      <c r="G208" s="26"/>
      <c r="H208" s="27"/>
      <c r="I208" s="27"/>
      <c r="J208" s="54">
        <v>0</v>
      </c>
      <c r="K208" s="59"/>
    </row>
    <row r="209" spans="2:11" ht="15">
      <c r="B209" s="22"/>
      <c r="C209" s="23"/>
      <c r="D209" s="38"/>
      <c r="E209" s="23"/>
      <c r="F209" s="25"/>
      <c r="G209" s="78"/>
      <c r="H209" s="27"/>
      <c r="I209" s="27"/>
      <c r="J209" s="54">
        <v>0</v>
      </c>
      <c r="K209" s="59"/>
    </row>
    <row r="210" spans="2:11" ht="15">
      <c r="B210" s="22"/>
      <c r="C210" s="23"/>
      <c r="D210" s="38"/>
      <c r="E210" s="23"/>
      <c r="F210" s="25"/>
      <c r="G210" s="78"/>
      <c r="H210" s="27"/>
      <c r="I210" s="27"/>
      <c r="J210" s="54">
        <v>0</v>
      </c>
      <c r="K210" s="59"/>
    </row>
    <row r="211" spans="2:11" ht="15">
      <c r="B211" s="22"/>
      <c r="C211" s="23"/>
      <c r="D211" s="38"/>
      <c r="E211" s="23"/>
      <c r="F211" s="25"/>
      <c r="G211" s="78"/>
      <c r="H211" s="27"/>
      <c r="I211" s="27"/>
      <c r="J211" s="54">
        <v>0</v>
      </c>
      <c r="K211" s="85"/>
    </row>
    <row r="212" spans="2:11" ht="15">
      <c r="B212" s="22"/>
      <c r="C212" s="23"/>
      <c r="D212" s="38"/>
      <c r="E212" s="23"/>
      <c r="F212" s="25"/>
      <c r="G212" s="26"/>
      <c r="H212" s="27"/>
      <c r="I212" s="27"/>
      <c r="J212" s="86">
        <v>0</v>
      </c>
      <c r="K212" s="59"/>
    </row>
    <row r="213" spans="2:11" ht="15">
      <c r="B213" s="22"/>
      <c r="C213" s="23"/>
      <c r="D213" s="38"/>
      <c r="E213" s="23"/>
      <c r="F213" s="25"/>
      <c r="G213" s="26"/>
      <c r="H213" s="27"/>
      <c r="I213" s="27"/>
      <c r="J213" s="86">
        <v>0</v>
      </c>
      <c r="K213" s="59"/>
    </row>
    <row r="214" spans="2:11" ht="15">
      <c r="B214" s="22"/>
      <c r="C214" s="23"/>
      <c r="D214" s="38"/>
      <c r="E214" s="23"/>
      <c r="F214" s="25"/>
      <c r="G214" s="26"/>
      <c r="H214" s="27"/>
      <c r="I214" s="27"/>
      <c r="J214" s="86">
        <v>0</v>
      </c>
      <c r="K214" s="59"/>
    </row>
    <row r="215" spans="2:11" ht="15">
      <c r="B215" s="22"/>
      <c r="C215" s="23"/>
      <c r="D215" s="38"/>
      <c r="E215" s="23"/>
      <c r="F215" s="25"/>
      <c r="G215" s="26"/>
      <c r="H215" s="27"/>
      <c r="I215" s="27"/>
      <c r="J215" s="86">
        <v>0</v>
      </c>
      <c r="K215" s="75">
        <f>SUM(J209:J215)</f>
        <v>0</v>
      </c>
    </row>
    <row r="216" spans="2:11" ht="15">
      <c r="B216" s="22"/>
      <c r="C216" s="23"/>
      <c r="D216" s="38"/>
      <c r="E216" s="23"/>
      <c r="F216" s="25"/>
      <c r="G216" s="26"/>
      <c r="H216" s="27"/>
      <c r="I216" s="27"/>
      <c r="J216" s="54">
        <v>0</v>
      </c>
      <c r="K216" s="59"/>
    </row>
    <row r="217" spans="2:11" ht="15">
      <c r="B217" s="22"/>
      <c r="C217" s="23"/>
      <c r="D217" s="38"/>
      <c r="E217" s="23"/>
      <c r="F217" s="25"/>
      <c r="G217" s="26"/>
      <c r="H217" s="27"/>
      <c r="I217" s="27"/>
      <c r="J217" s="54">
        <v>0</v>
      </c>
      <c r="K217" s="59"/>
    </row>
    <row r="218" spans="2:11" ht="15">
      <c r="B218" s="22"/>
      <c r="C218" s="23"/>
      <c r="D218" s="38"/>
      <c r="E218" s="23"/>
      <c r="F218" s="25"/>
      <c r="G218" s="26"/>
      <c r="H218" s="27"/>
      <c r="I218" s="27"/>
      <c r="J218" s="54">
        <v>0</v>
      </c>
      <c r="K218" s="59"/>
    </row>
    <row r="219" spans="2:11" ht="15">
      <c r="B219" s="22"/>
      <c r="C219" s="23"/>
      <c r="D219" s="38"/>
      <c r="E219" s="23"/>
      <c r="F219" s="25"/>
      <c r="G219" s="26"/>
      <c r="H219" s="27"/>
      <c r="I219" s="27"/>
      <c r="J219" s="54">
        <v>0</v>
      </c>
      <c r="K219" s="59"/>
    </row>
    <row r="220" spans="2:11" ht="15">
      <c r="B220" s="79"/>
      <c r="C220" s="80"/>
      <c r="D220" s="81"/>
      <c r="E220" s="80"/>
      <c r="F220" s="82"/>
      <c r="G220" s="83"/>
      <c r="H220" s="84"/>
      <c r="I220" s="84"/>
      <c r="J220" s="87">
        <v>0</v>
      </c>
      <c r="K220" s="59"/>
    </row>
    <row r="221" spans="2:11" ht="15">
      <c r="B221" s="22"/>
      <c r="C221" s="23"/>
      <c r="D221" s="24"/>
      <c r="E221" s="23"/>
      <c r="F221" s="25"/>
      <c r="G221" s="26"/>
      <c r="H221" s="27"/>
      <c r="I221" s="27"/>
      <c r="J221" s="54">
        <v>0</v>
      </c>
      <c r="K221" s="59"/>
    </row>
    <row r="222" spans="2:11" ht="15">
      <c r="B222" s="22"/>
      <c r="C222" s="23"/>
      <c r="D222" s="24"/>
      <c r="E222" s="23"/>
      <c r="F222" s="25"/>
      <c r="G222" s="26"/>
      <c r="H222" s="27"/>
      <c r="I222" s="27"/>
      <c r="J222" s="54">
        <v>0</v>
      </c>
      <c r="K222" s="59"/>
    </row>
    <row r="223" spans="2:11" ht="15">
      <c r="B223" s="22"/>
      <c r="C223" s="23"/>
      <c r="D223" s="24"/>
      <c r="E223" s="23"/>
      <c r="F223" s="25"/>
      <c r="G223" s="26"/>
      <c r="H223" s="27"/>
      <c r="I223" s="27"/>
      <c r="J223" s="54">
        <v>0</v>
      </c>
      <c r="K223" s="59"/>
    </row>
    <row r="224" spans="2:11" ht="15">
      <c r="B224" s="22"/>
      <c r="C224" s="23"/>
      <c r="D224" s="24"/>
      <c r="E224" s="23"/>
      <c r="F224" s="25"/>
      <c r="G224" s="26"/>
      <c r="H224" s="27"/>
      <c r="I224" s="27"/>
      <c r="J224" s="54">
        <v>0</v>
      </c>
      <c r="K224" s="59"/>
    </row>
    <row r="225" spans="2:11" ht="15">
      <c r="B225" s="22"/>
      <c r="C225" s="23"/>
      <c r="D225" s="24"/>
      <c r="E225" s="23"/>
      <c r="F225" s="25"/>
      <c r="G225" s="26"/>
      <c r="H225" s="27"/>
      <c r="I225" s="27"/>
      <c r="J225" s="54">
        <v>0</v>
      </c>
      <c r="K225" s="59"/>
    </row>
    <row r="226" spans="2:11" ht="15">
      <c r="B226" s="22"/>
      <c r="C226" s="23"/>
      <c r="D226" s="24"/>
      <c r="E226" s="23"/>
      <c r="F226" s="25"/>
      <c r="G226" s="26"/>
      <c r="H226" s="27"/>
      <c r="I226" s="27"/>
      <c r="J226" s="54">
        <v>0</v>
      </c>
      <c r="K226" s="59"/>
    </row>
    <row r="227" spans="2:11" ht="15">
      <c r="B227" s="22"/>
      <c r="C227" s="23"/>
      <c r="D227" s="24"/>
      <c r="E227" s="23"/>
      <c r="F227" s="25"/>
      <c r="G227" s="26"/>
      <c r="H227" s="27"/>
      <c r="I227" s="27"/>
      <c r="J227" s="54">
        <v>0</v>
      </c>
      <c r="K227" s="59"/>
    </row>
    <row r="228" spans="2:11" ht="15">
      <c r="B228" s="22"/>
      <c r="C228" s="23"/>
      <c r="D228" s="24"/>
      <c r="E228" s="23"/>
      <c r="F228" s="25"/>
      <c r="G228" s="26"/>
      <c r="H228" s="27"/>
      <c r="I228" s="27"/>
      <c r="J228" s="54">
        <v>0</v>
      </c>
      <c r="K228" s="59"/>
    </row>
    <row r="229" spans="2:11" ht="15">
      <c r="B229" s="22"/>
      <c r="C229" s="23"/>
      <c r="D229" s="24"/>
      <c r="E229" s="23"/>
      <c r="F229" s="25"/>
      <c r="G229" s="26"/>
      <c r="H229" s="27"/>
      <c r="I229" s="27"/>
      <c r="J229" s="54">
        <v>0</v>
      </c>
      <c r="K229" s="59"/>
    </row>
    <row r="230" spans="2:11" ht="15">
      <c r="B230" s="22"/>
      <c r="C230" s="23"/>
      <c r="D230" s="24"/>
      <c r="E230" s="23"/>
      <c r="F230" s="25"/>
      <c r="G230" s="26"/>
      <c r="H230" s="27"/>
      <c r="I230" s="27"/>
      <c r="J230" s="54">
        <v>0</v>
      </c>
      <c r="K230" s="59"/>
    </row>
    <row r="231" spans="2:11" ht="15">
      <c r="B231" s="22"/>
      <c r="C231" s="23"/>
      <c r="D231" s="24"/>
      <c r="E231" s="23"/>
      <c r="F231" s="25"/>
      <c r="G231" s="26"/>
      <c r="H231" s="27"/>
      <c r="I231" s="27"/>
      <c r="J231" s="54">
        <v>0</v>
      </c>
      <c r="K231" s="59"/>
    </row>
    <row r="232" spans="2:11" ht="15">
      <c r="B232" s="22"/>
      <c r="C232" s="23"/>
      <c r="D232" s="38"/>
      <c r="E232" s="23"/>
      <c r="F232" s="25"/>
      <c r="G232" s="26"/>
      <c r="H232" s="27"/>
      <c r="I232" s="27"/>
      <c r="J232" s="54">
        <v>0</v>
      </c>
      <c r="K232" s="59"/>
    </row>
    <row r="233" spans="2:11" ht="15">
      <c r="B233" s="22"/>
      <c r="C233" s="23"/>
      <c r="D233" s="38"/>
      <c r="E233" s="23"/>
      <c r="F233" s="25"/>
      <c r="G233" s="26"/>
      <c r="H233" s="27"/>
      <c r="I233" s="27"/>
      <c r="J233" s="54">
        <v>0</v>
      </c>
      <c r="K233" s="59"/>
    </row>
    <row r="234" spans="2:11" ht="15">
      <c r="B234" s="22"/>
      <c r="C234" s="23"/>
      <c r="D234" s="38"/>
      <c r="E234" s="23"/>
      <c r="F234" s="25"/>
      <c r="G234" s="26"/>
      <c r="H234" s="27"/>
      <c r="I234" s="27"/>
      <c r="J234" s="54">
        <v>0</v>
      </c>
      <c r="K234" s="59"/>
    </row>
    <row r="235" spans="2:11" ht="15">
      <c r="B235" s="22"/>
      <c r="C235" s="23"/>
      <c r="D235" s="24"/>
      <c r="E235" s="23"/>
      <c r="F235" s="25"/>
      <c r="G235" s="26"/>
      <c r="H235" s="27"/>
      <c r="I235" s="27"/>
      <c r="J235" s="54">
        <v>0</v>
      </c>
      <c r="K235" s="59"/>
    </row>
    <row r="236" spans="2:11" ht="15">
      <c r="B236" s="22"/>
      <c r="C236" s="23"/>
      <c r="D236" s="24"/>
      <c r="E236" s="23"/>
      <c r="F236" s="25"/>
      <c r="G236" s="26"/>
      <c r="H236" s="27"/>
      <c r="I236" s="27"/>
      <c r="J236" s="54">
        <v>0</v>
      </c>
      <c r="K236" s="59"/>
    </row>
    <row r="237" spans="2:11" ht="15">
      <c r="B237" s="22"/>
      <c r="C237" s="23"/>
      <c r="D237" s="24"/>
      <c r="E237" s="23"/>
      <c r="F237" s="25"/>
      <c r="G237" s="26"/>
      <c r="H237" s="27"/>
      <c r="I237" s="27"/>
      <c r="J237" s="54">
        <v>0</v>
      </c>
      <c r="K237" s="59"/>
    </row>
    <row r="238" spans="2:11" ht="15">
      <c r="B238" s="22"/>
      <c r="C238" s="23"/>
      <c r="D238" s="24"/>
      <c r="E238" s="23"/>
      <c r="F238" s="25"/>
      <c r="G238" s="26"/>
      <c r="H238" s="27"/>
      <c r="I238" s="27"/>
      <c r="J238" s="54">
        <v>0</v>
      </c>
      <c r="K238" s="59"/>
    </row>
    <row r="239" spans="2:11" ht="15">
      <c r="B239" s="22"/>
      <c r="C239" s="23"/>
      <c r="D239" s="24"/>
      <c r="E239" s="23"/>
      <c r="F239" s="25"/>
      <c r="G239" s="26"/>
      <c r="H239" s="27"/>
      <c r="I239" s="27"/>
      <c r="J239" s="54">
        <v>0</v>
      </c>
      <c r="K239" s="59"/>
    </row>
    <row r="240" spans="2:11" ht="15">
      <c r="B240" s="22"/>
      <c r="C240" s="23"/>
      <c r="D240" s="24"/>
      <c r="E240" s="23"/>
      <c r="F240" s="25"/>
      <c r="G240" s="26"/>
      <c r="H240" s="27"/>
      <c r="I240" s="27"/>
      <c r="J240" s="54">
        <v>0</v>
      </c>
      <c r="K240" s="59"/>
    </row>
    <row r="241" spans="2:11" ht="15">
      <c r="B241" s="22"/>
      <c r="C241" s="23"/>
      <c r="D241" s="24"/>
      <c r="E241" s="23"/>
      <c r="F241" s="25"/>
      <c r="G241" s="26"/>
      <c r="H241" s="27"/>
      <c r="I241" s="27"/>
      <c r="J241" s="54">
        <v>0</v>
      </c>
      <c r="K241" s="59"/>
    </row>
    <row r="242" spans="2:11" ht="15">
      <c r="B242" s="22"/>
      <c r="C242" s="23"/>
      <c r="D242" s="24"/>
      <c r="E242" s="23"/>
      <c r="F242" s="25"/>
      <c r="G242" s="26"/>
      <c r="H242" s="27"/>
      <c r="I242" s="27"/>
      <c r="J242" s="54">
        <v>0</v>
      </c>
      <c r="K242" s="59"/>
    </row>
    <row r="243" spans="2:11" ht="15">
      <c r="B243" s="22"/>
      <c r="C243" s="23"/>
      <c r="D243" s="24"/>
      <c r="E243" s="23"/>
      <c r="F243" s="25"/>
      <c r="G243" s="26"/>
      <c r="H243" s="27"/>
      <c r="I243" s="27"/>
      <c r="J243" s="54">
        <v>0</v>
      </c>
      <c r="K243" s="59"/>
    </row>
    <row r="244" spans="2:11" ht="15">
      <c r="B244" s="22"/>
      <c r="C244" s="23"/>
      <c r="D244" s="24"/>
      <c r="E244" s="23"/>
      <c r="F244" s="25"/>
      <c r="G244" s="26"/>
      <c r="H244" s="27"/>
      <c r="I244" s="27"/>
      <c r="J244" s="54">
        <v>0</v>
      </c>
      <c r="K244" s="59"/>
    </row>
    <row r="245" spans="2:11" ht="15">
      <c r="B245" s="22"/>
      <c r="C245" s="23"/>
      <c r="D245" s="24"/>
      <c r="E245" s="23"/>
      <c r="F245" s="25"/>
      <c r="G245" s="26"/>
      <c r="H245" s="27"/>
      <c r="I245" s="27"/>
      <c r="J245" s="54">
        <v>0</v>
      </c>
      <c r="K245" s="59"/>
    </row>
    <row r="246" spans="2:11" ht="15">
      <c r="B246" s="22"/>
      <c r="C246" s="23"/>
      <c r="D246" s="24"/>
      <c r="E246" s="23"/>
      <c r="F246" s="25"/>
      <c r="G246" s="26"/>
      <c r="H246" s="27"/>
      <c r="I246" s="27"/>
      <c r="J246" s="54">
        <v>0</v>
      </c>
      <c r="K246" s="59"/>
    </row>
    <row r="247" spans="2:11" ht="15">
      <c r="B247" s="22"/>
      <c r="C247" s="23"/>
      <c r="D247" s="24"/>
      <c r="E247" s="23"/>
      <c r="F247" s="25"/>
      <c r="G247" s="26"/>
      <c r="H247" s="27"/>
      <c r="I247" s="27"/>
      <c r="J247" s="54">
        <v>0</v>
      </c>
      <c r="K247" s="59"/>
    </row>
    <row r="248" spans="2:11" ht="15">
      <c r="B248" s="22"/>
      <c r="C248" s="23"/>
      <c r="D248" s="24"/>
      <c r="E248" s="23"/>
      <c r="F248" s="25"/>
      <c r="G248" s="26"/>
      <c r="H248" s="27"/>
      <c r="I248" s="27"/>
      <c r="J248" s="54">
        <v>0</v>
      </c>
      <c r="K248" s="59"/>
    </row>
    <row r="249" spans="2:11" ht="15">
      <c r="B249" s="22"/>
      <c r="C249" s="23"/>
      <c r="D249" s="24"/>
      <c r="E249" s="23"/>
      <c r="F249" s="25"/>
      <c r="G249" s="26"/>
      <c r="H249" s="27"/>
      <c r="I249" s="27"/>
      <c r="J249" s="54">
        <v>0</v>
      </c>
      <c r="K249" s="59"/>
    </row>
    <row r="250" spans="2:11" ht="15">
      <c r="B250" s="22"/>
      <c r="C250" s="23"/>
      <c r="D250" s="24"/>
      <c r="E250" s="23"/>
      <c r="F250" s="25"/>
      <c r="G250" s="26"/>
      <c r="H250" s="27"/>
      <c r="I250" s="27"/>
      <c r="J250" s="54">
        <v>0</v>
      </c>
      <c r="K250" s="59"/>
    </row>
    <row r="251" spans="2:11" ht="15">
      <c r="B251" s="22"/>
      <c r="C251" s="23"/>
      <c r="D251" s="24"/>
      <c r="E251" s="23"/>
      <c r="F251" s="25"/>
      <c r="G251" s="26"/>
      <c r="H251" s="27"/>
      <c r="I251" s="27"/>
      <c r="J251" s="54">
        <v>0</v>
      </c>
      <c r="K251" s="59"/>
    </row>
    <row r="252" spans="2:11" ht="15">
      <c r="B252" s="22"/>
      <c r="C252" s="23"/>
      <c r="D252" s="24"/>
      <c r="E252" s="23"/>
      <c r="F252" s="25"/>
      <c r="G252" s="26"/>
      <c r="H252" s="27"/>
      <c r="I252" s="27"/>
      <c r="J252" s="54">
        <v>0</v>
      </c>
      <c r="K252" s="59"/>
    </row>
    <row r="253" spans="2:11" ht="15">
      <c r="B253" s="22"/>
      <c r="C253" s="23"/>
      <c r="D253" s="24"/>
      <c r="E253" s="23"/>
      <c r="F253" s="25"/>
      <c r="G253" s="26"/>
      <c r="H253" s="27"/>
      <c r="I253" s="27"/>
      <c r="J253" s="54">
        <v>0</v>
      </c>
      <c r="K253" s="59"/>
    </row>
    <row r="254" spans="2:11" ht="15">
      <c r="B254" s="22"/>
      <c r="C254" s="23"/>
      <c r="D254" s="24"/>
      <c r="E254" s="23"/>
      <c r="F254" s="25"/>
      <c r="G254" s="26"/>
      <c r="H254" s="27"/>
      <c r="I254" s="27"/>
      <c r="J254" s="54">
        <v>0</v>
      </c>
      <c r="K254" s="59"/>
    </row>
    <row r="255" spans="2:11" ht="15">
      <c r="B255" s="22"/>
      <c r="C255" s="23"/>
      <c r="D255" s="24"/>
      <c r="E255" s="23"/>
      <c r="F255" s="25"/>
      <c r="G255" s="26"/>
      <c r="H255" s="27"/>
      <c r="I255" s="27"/>
      <c r="J255" s="54">
        <v>0</v>
      </c>
      <c r="K255" s="59"/>
    </row>
    <row r="256" spans="2:11" ht="15">
      <c r="B256" s="22"/>
      <c r="C256" s="23"/>
      <c r="D256" s="24"/>
      <c r="E256" s="23"/>
      <c r="F256" s="25"/>
      <c r="G256" s="26"/>
      <c r="H256" s="27"/>
      <c r="I256" s="27"/>
      <c r="J256" s="54">
        <v>0</v>
      </c>
      <c r="K256" s="75">
        <f>SUM(J253:J256)</f>
        <v>0</v>
      </c>
    </row>
    <row r="257" spans="2:11" ht="15">
      <c r="B257" s="22"/>
      <c r="C257" s="23"/>
      <c r="D257" s="24"/>
      <c r="E257" s="23"/>
      <c r="F257" s="25"/>
      <c r="G257" s="26"/>
      <c r="H257" s="27"/>
      <c r="I257" s="27"/>
      <c r="J257" s="54">
        <v>0</v>
      </c>
      <c r="K257" s="59"/>
    </row>
    <row r="258" spans="2:11" ht="15">
      <c r="B258" s="22"/>
      <c r="C258" s="23"/>
      <c r="D258" s="38"/>
      <c r="E258" s="23"/>
      <c r="F258" s="25"/>
      <c r="G258" s="26"/>
      <c r="H258" s="27"/>
      <c r="I258" s="27"/>
      <c r="J258" s="54">
        <v>0</v>
      </c>
      <c r="K258" s="59"/>
    </row>
    <row r="259" spans="2:11" ht="15">
      <c r="B259" s="22"/>
      <c r="C259" s="23"/>
      <c r="D259" s="38"/>
      <c r="E259" s="23"/>
      <c r="F259" s="25"/>
      <c r="G259" s="26"/>
      <c r="H259" s="27"/>
      <c r="I259" s="27"/>
      <c r="J259" s="54">
        <v>0</v>
      </c>
      <c r="K259" s="59"/>
    </row>
    <row r="260" spans="2:11" ht="15">
      <c r="B260" s="22"/>
      <c r="C260" s="23"/>
      <c r="D260" s="38"/>
      <c r="E260" s="23"/>
      <c r="F260" s="25"/>
      <c r="G260" s="26"/>
      <c r="H260" s="27"/>
      <c r="I260" s="27"/>
      <c r="J260" s="54">
        <v>0</v>
      </c>
      <c r="K260" s="59"/>
    </row>
    <row r="261" spans="2:11" ht="15">
      <c r="B261" s="22"/>
      <c r="C261" s="23"/>
      <c r="D261" s="24"/>
      <c r="E261" s="23"/>
      <c r="F261" s="25"/>
      <c r="G261" s="26"/>
      <c r="H261" s="27"/>
      <c r="I261" s="27"/>
      <c r="J261" s="54">
        <v>0</v>
      </c>
      <c r="K261" s="59"/>
    </row>
    <row r="262" spans="2:11" ht="15">
      <c r="B262" s="22"/>
      <c r="C262" s="23"/>
      <c r="D262" s="24"/>
      <c r="E262" s="23"/>
      <c r="F262" s="25"/>
      <c r="G262" s="26"/>
      <c r="H262" s="27"/>
      <c r="I262" s="27"/>
      <c r="J262" s="54">
        <v>0</v>
      </c>
      <c r="K262" s="59"/>
    </row>
    <row r="263" spans="2:11" ht="15">
      <c r="B263" s="22"/>
      <c r="C263" s="23"/>
      <c r="D263" s="24"/>
      <c r="E263" s="23"/>
      <c r="F263" s="25"/>
      <c r="G263" s="26"/>
      <c r="H263" s="27"/>
      <c r="I263" s="27"/>
      <c r="J263" s="54">
        <v>0</v>
      </c>
      <c r="K263" s="59"/>
    </row>
    <row r="264" spans="2:11" ht="15">
      <c r="B264" s="22"/>
      <c r="C264" s="23"/>
      <c r="D264" s="24"/>
      <c r="E264" s="23"/>
      <c r="F264" s="25"/>
      <c r="G264" s="26"/>
      <c r="H264" s="27"/>
      <c r="I264" s="27"/>
      <c r="J264" s="54">
        <v>0</v>
      </c>
      <c r="K264" s="59"/>
    </row>
    <row r="265" spans="2:11" ht="15">
      <c r="B265" s="22"/>
      <c r="C265" s="23"/>
      <c r="D265" s="24"/>
      <c r="E265" s="23"/>
      <c r="F265" s="25"/>
      <c r="G265" s="26"/>
      <c r="H265" s="27"/>
      <c r="I265" s="27"/>
      <c r="J265" s="54">
        <v>0</v>
      </c>
      <c r="K265" s="59"/>
    </row>
    <row r="266" spans="2:11" ht="15">
      <c r="B266" s="22"/>
      <c r="C266" s="23"/>
      <c r="D266" s="24"/>
      <c r="E266" s="23"/>
      <c r="F266" s="25"/>
      <c r="G266" s="26"/>
      <c r="H266" s="27"/>
      <c r="I266" s="27"/>
      <c r="J266" s="54">
        <v>0</v>
      </c>
      <c r="K266" s="59"/>
    </row>
    <row r="267" spans="2:11" ht="15">
      <c r="B267" s="22"/>
      <c r="C267" s="23"/>
      <c r="D267" s="24"/>
      <c r="E267" s="23"/>
      <c r="F267" s="25"/>
      <c r="G267" s="26"/>
      <c r="H267" s="27"/>
      <c r="I267" s="27"/>
      <c r="J267" s="54">
        <v>0</v>
      </c>
      <c r="K267" s="59"/>
    </row>
    <row r="268" spans="2:11" ht="15">
      <c r="B268" s="22"/>
      <c r="C268" s="23"/>
      <c r="D268" s="24"/>
      <c r="E268" s="23"/>
      <c r="F268" s="25"/>
      <c r="G268" s="26"/>
      <c r="H268" s="27"/>
      <c r="I268" s="27"/>
      <c r="J268" s="54">
        <v>0</v>
      </c>
      <c r="K268" s="59"/>
    </row>
    <row r="269" spans="2:11" ht="15">
      <c r="B269" s="22"/>
      <c r="C269" s="23"/>
      <c r="D269" s="24"/>
      <c r="E269" s="23"/>
      <c r="F269" s="25"/>
      <c r="G269" s="26"/>
      <c r="H269" s="27"/>
      <c r="I269" s="27"/>
      <c r="J269" s="54">
        <v>0</v>
      </c>
      <c r="K269" s="59"/>
    </row>
    <row r="270" spans="2:11" ht="15">
      <c r="B270" s="22"/>
      <c r="C270" s="23"/>
      <c r="D270" s="24"/>
      <c r="E270" s="23"/>
      <c r="F270" s="25"/>
      <c r="G270" s="26"/>
      <c r="H270" s="27"/>
      <c r="I270" s="27"/>
      <c r="J270" s="54">
        <v>0</v>
      </c>
      <c r="K270" s="59"/>
    </row>
    <row r="271" spans="2:11" ht="15">
      <c r="B271" s="22"/>
      <c r="C271" s="23"/>
      <c r="D271" s="24"/>
      <c r="E271" s="23"/>
      <c r="F271" s="25"/>
      <c r="G271" s="26"/>
      <c r="H271" s="27"/>
      <c r="I271" s="27"/>
      <c r="J271" s="54">
        <v>0</v>
      </c>
      <c r="K271" s="59"/>
    </row>
    <row r="272" spans="2:11" ht="15">
      <c r="B272" s="22"/>
      <c r="C272" s="23"/>
      <c r="D272" s="24"/>
      <c r="E272" s="23"/>
      <c r="F272" s="25"/>
      <c r="G272" s="26"/>
      <c r="H272" s="27"/>
      <c r="I272" s="27"/>
      <c r="J272" s="54">
        <v>0</v>
      </c>
    </row>
    <row r="273" spans="2:12" ht="15">
      <c r="B273" s="22"/>
      <c r="C273" s="23"/>
      <c r="D273" s="24"/>
      <c r="E273" s="23"/>
      <c r="F273" s="25"/>
      <c r="G273" s="26"/>
      <c r="H273" s="27"/>
      <c r="I273" s="27"/>
      <c r="J273" s="54">
        <v>0</v>
      </c>
    </row>
    <row r="274" spans="2:12" ht="15">
      <c r="B274" s="22"/>
      <c r="C274" s="23"/>
      <c r="D274" s="24"/>
      <c r="E274" s="23"/>
      <c r="F274" s="25"/>
      <c r="G274" s="26"/>
      <c r="H274" s="27"/>
      <c r="I274" s="27"/>
      <c r="J274" s="54">
        <v>0</v>
      </c>
    </row>
    <row r="275" spans="2:12" ht="15">
      <c r="B275" s="22"/>
      <c r="C275" s="23"/>
      <c r="D275" s="24"/>
      <c r="E275" s="23"/>
      <c r="F275" s="25"/>
      <c r="G275" s="26"/>
      <c r="H275" s="27"/>
      <c r="I275" s="27"/>
      <c r="J275" s="54">
        <v>0</v>
      </c>
    </row>
    <row r="276" spans="2:12" ht="15">
      <c r="B276" s="22"/>
      <c r="C276" s="23"/>
      <c r="D276" s="24"/>
      <c r="E276" s="23"/>
      <c r="F276" s="25"/>
      <c r="G276" s="26"/>
      <c r="H276" s="27"/>
      <c r="I276" s="27"/>
      <c r="J276" s="54">
        <v>0</v>
      </c>
    </row>
    <row r="277" spans="2:12" ht="15">
      <c r="B277" s="22"/>
      <c r="C277" s="23"/>
      <c r="D277" s="24"/>
      <c r="E277" s="23"/>
      <c r="F277" s="25"/>
      <c r="G277" s="26"/>
      <c r="H277" s="27"/>
      <c r="I277" s="27"/>
      <c r="J277" s="54">
        <v>0</v>
      </c>
    </row>
    <row r="278" spans="2:12" ht="15">
      <c r="B278" s="22"/>
      <c r="C278" s="23"/>
      <c r="D278" s="24"/>
      <c r="E278" s="23"/>
      <c r="F278" s="25"/>
      <c r="G278" s="26"/>
      <c r="H278" s="27"/>
      <c r="I278" s="27"/>
      <c r="J278" s="54">
        <v>0</v>
      </c>
    </row>
    <row r="279" spans="2:12" ht="15">
      <c r="B279" s="22"/>
      <c r="C279" s="23"/>
      <c r="D279" s="24"/>
      <c r="E279" s="23"/>
      <c r="F279" s="25"/>
      <c r="G279" s="26"/>
      <c r="H279" s="27"/>
      <c r="I279" s="27"/>
      <c r="J279" s="54">
        <v>0</v>
      </c>
    </row>
    <row r="280" spans="2:12" ht="15">
      <c r="B280" s="22"/>
      <c r="C280" s="23"/>
      <c r="D280" s="24"/>
      <c r="E280" s="23"/>
      <c r="F280" s="25"/>
      <c r="G280" s="26"/>
      <c r="H280" s="27"/>
      <c r="I280" s="27"/>
      <c r="J280" s="54">
        <v>0</v>
      </c>
    </row>
    <row r="281" spans="2:12" ht="15">
      <c r="B281" s="22"/>
      <c r="C281" s="23"/>
      <c r="D281" s="38"/>
      <c r="E281" s="23"/>
      <c r="F281" s="25"/>
      <c r="G281" s="26"/>
      <c r="H281" s="27"/>
      <c r="I281" s="27"/>
      <c r="J281" s="54">
        <v>0</v>
      </c>
      <c r="K281" s="59"/>
    </row>
    <row r="282" spans="2:12" ht="15">
      <c r="B282" s="22"/>
      <c r="C282" s="23"/>
      <c r="D282" s="38"/>
      <c r="E282" s="23"/>
      <c r="F282" s="25"/>
      <c r="G282" s="26"/>
      <c r="H282" s="27"/>
      <c r="I282" s="27"/>
      <c r="J282" s="54">
        <v>0</v>
      </c>
      <c r="K282" s="59"/>
    </row>
    <row r="283" spans="2:12" ht="15">
      <c r="B283" s="22"/>
      <c r="C283" s="23"/>
      <c r="D283" s="38"/>
      <c r="E283" s="23"/>
      <c r="F283" s="25"/>
      <c r="G283" s="26"/>
      <c r="H283" s="27"/>
      <c r="I283" s="27"/>
      <c r="J283" s="54">
        <v>0</v>
      </c>
      <c r="K283" s="59"/>
    </row>
    <row r="284" spans="2:12" ht="15">
      <c r="B284" s="22"/>
      <c r="C284" s="23"/>
      <c r="D284" s="38"/>
      <c r="E284" s="23"/>
      <c r="F284" s="25"/>
      <c r="G284" s="26"/>
      <c r="H284" s="27"/>
      <c r="I284" s="27"/>
      <c r="J284" s="54">
        <v>0</v>
      </c>
      <c r="K284" s="75"/>
      <c r="L284" s="76"/>
    </row>
    <row r="285" spans="2:12" ht="15">
      <c r="B285" s="22"/>
      <c r="C285" s="23"/>
      <c r="D285" s="38"/>
      <c r="E285" s="23"/>
      <c r="F285" s="25"/>
      <c r="G285" s="26"/>
      <c r="H285" s="27"/>
      <c r="I285" s="27"/>
      <c r="J285" s="54">
        <v>0</v>
      </c>
      <c r="K285" s="59"/>
    </row>
    <row r="286" spans="2:12" ht="15">
      <c r="B286" s="22"/>
      <c r="C286" s="23"/>
      <c r="D286" s="38"/>
      <c r="E286" s="23"/>
      <c r="F286" s="25"/>
      <c r="G286" s="26"/>
      <c r="H286" s="27"/>
      <c r="I286" s="27"/>
      <c r="J286" s="54">
        <v>0</v>
      </c>
      <c r="K286" s="59"/>
    </row>
    <row r="287" spans="2:12" ht="15">
      <c r="B287" s="22"/>
      <c r="C287" s="23"/>
      <c r="D287" s="24"/>
      <c r="E287" s="23"/>
      <c r="F287" s="25"/>
      <c r="G287" s="26"/>
      <c r="H287" s="27"/>
      <c r="I287" s="27"/>
      <c r="J287" s="54">
        <v>0</v>
      </c>
      <c r="K287" s="59"/>
    </row>
    <row r="288" spans="2:12" ht="15">
      <c r="B288" s="22"/>
      <c r="C288" s="23"/>
      <c r="D288" s="24"/>
      <c r="E288" s="23"/>
      <c r="F288" s="25"/>
      <c r="G288" s="26"/>
      <c r="H288" s="27"/>
      <c r="I288" s="27"/>
      <c r="J288" s="54">
        <v>0</v>
      </c>
      <c r="K288" s="59"/>
    </row>
    <row r="289" spans="2:11" ht="15">
      <c r="B289" s="22"/>
      <c r="C289" s="23"/>
      <c r="D289" s="24"/>
      <c r="E289" s="23"/>
      <c r="F289" s="25"/>
      <c r="G289" s="26"/>
      <c r="H289" s="27"/>
      <c r="I289" s="27"/>
      <c r="J289" s="54">
        <v>0</v>
      </c>
      <c r="K289" s="59"/>
    </row>
    <row r="290" spans="2:11" ht="15">
      <c r="B290" s="22"/>
      <c r="C290" s="23"/>
      <c r="D290" s="24"/>
      <c r="E290" s="23"/>
      <c r="F290" s="25"/>
      <c r="G290" s="26"/>
      <c r="H290" s="27"/>
      <c r="I290" s="27"/>
      <c r="J290" s="54">
        <v>0</v>
      </c>
      <c r="K290" s="59"/>
    </row>
    <row r="291" spans="2:11" ht="15">
      <c r="B291" s="22"/>
      <c r="C291" s="23"/>
      <c r="D291" s="24"/>
      <c r="E291" s="23"/>
      <c r="F291" s="25"/>
      <c r="G291" s="26"/>
      <c r="H291" s="27"/>
      <c r="I291" s="27"/>
      <c r="J291" s="54">
        <v>0</v>
      </c>
      <c r="K291" s="59"/>
    </row>
    <row r="292" spans="2:11" ht="15">
      <c r="B292" s="22"/>
      <c r="C292" s="23"/>
      <c r="D292" s="24"/>
      <c r="E292" s="23"/>
      <c r="F292" s="25"/>
      <c r="G292" s="26"/>
      <c r="H292" s="27"/>
      <c r="I292" s="27"/>
      <c r="J292" s="54">
        <v>0</v>
      </c>
      <c r="K292" s="59"/>
    </row>
    <row r="293" spans="2:11" ht="15">
      <c r="B293" s="22"/>
      <c r="C293" s="23"/>
      <c r="D293" s="24"/>
      <c r="E293" s="23"/>
      <c r="F293" s="25"/>
      <c r="G293" s="26"/>
      <c r="H293" s="27"/>
      <c r="I293" s="27"/>
      <c r="J293" s="54">
        <v>0</v>
      </c>
      <c r="K293" s="59"/>
    </row>
    <row r="294" spans="2:11" ht="15">
      <c r="B294" s="22"/>
      <c r="C294" s="23"/>
      <c r="D294" s="24"/>
      <c r="E294" s="23"/>
      <c r="F294" s="25"/>
      <c r="G294" s="26"/>
      <c r="H294" s="27"/>
      <c r="I294" s="27"/>
      <c r="J294" s="54">
        <v>0</v>
      </c>
      <c r="K294" s="59"/>
    </row>
    <row r="295" spans="2:11" ht="15">
      <c r="B295" s="22"/>
      <c r="C295" s="23"/>
      <c r="D295" s="24"/>
      <c r="E295" s="23"/>
      <c r="F295" s="25"/>
      <c r="G295" s="26"/>
      <c r="H295" s="27"/>
      <c r="I295" s="27"/>
      <c r="J295" s="54">
        <v>0</v>
      </c>
      <c r="K295" s="59"/>
    </row>
    <row r="296" spans="2:11" ht="15">
      <c r="B296" s="22"/>
      <c r="C296" s="23"/>
      <c r="D296" s="24"/>
      <c r="E296" s="23"/>
      <c r="F296" s="25"/>
      <c r="G296" s="26"/>
      <c r="H296" s="27"/>
      <c r="I296" s="27"/>
      <c r="J296" s="54">
        <v>0</v>
      </c>
      <c r="K296" s="59"/>
    </row>
    <row r="297" spans="2:11" ht="15">
      <c r="B297" s="22"/>
      <c r="C297" s="23"/>
      <c r="D297" s="24"/>
      <c r="E297" s="23"/>
      <c r="F297" s="25"/>
      <c r="G297" s="26"/>
      <c r="H297" s="27"/>
      <c r="I297" s="27"/>
      <c r="J297" s="54">
        <v>0</v>
      </c>
      <c r="K297" s="59"/>
    </row>
    <row r="298" spans="2:11" ht="15">
      <c r="B298" s="22"/>
      <c r="C298" s="23"/>
      <c r="D298" s="24"/>
      <c r="E298" s="23"/>
      <c r="F298" s="25"/>
      <c r="G298" s="26"/>
      <c r="H298" s="27"/>
      <c r="I298" s="27"/>
      <c r="J298" s="54">
        <v>0</v>
      </c>
      <c r="K298" s="59"/>
    </row>
    <row r="299" spans="2:11" ht="15">
      <c r="B299" s="22"/>
      <c r="C299" s="23"/>
      <c r="D299" s="24"/>
      <c r="E299" s="23"/>
      <c r="F299" s="25"/>
      <c r="G299" s="26"/>
      <c r="H299" s="27"/>
      <c r="I299" s="27"/>
      <c r="J299" s="54">
        <v>0</v>
      </c>
      <c r="K299" s="59"/>
    </row>
    <row r="300" spans="2:11" ht="15">
      <c r="B300" s="22"/>
      <c r="C300" s="23"/>
      <c r="D300" s="24"/>
      <c r="E300" s="23"/>
      <c r="F300" s="25"/>
      <c r="G300" s="26"/>
      <c r="H300" s="27"/>
      <c r="I300" s="27"/>
      <c r="J300" s="54">
        <v>0</v>
      </c>
      <c r="K300" s="59"/>
    </row>
    <row r="301" spans="2:11" ht="15">
      <c r="B301" s="22"/>
      <c r="C301" s="23"/>
      <c r="D301" s="38"/>
      <c r="E301" s="23"/>
      <c r="F301" s="25"/>
      <c r="G301" s="26"/>
      <c r="H301" s="27"/>
      <c r="I301" s="27"/>
      <c r="J301" s="54">
        <v>0</v>
      </c>
      <c r="K301" s="59"/>
    </row>
    <row r="302" spans="2:11" ht="15">
      <c r="B302" s="22"/>
      <c r="C302" s="23"/>
      <c r="D302" s="38"/>
      <c r="E302" s="23"/>
      <c r="F302" s="25"/>
      <c r="G302" s="26"/>
      <c r="H302" s="27"/>
      <c r="I302" s="27"/>
      <c r="J302" s="54">
        <v>0</v>
      </c>
      <c r="K302" s="59"/>
    </row>
    <row r="303" spans="2:11" ht="15">
      <c r="B303" s="22"/>
      <c r="C303" s="23"/>
      <c r="D303" s="24"/>
      <c r="E303" s="23"/>
      <c r="F303" s="25"/>
      <c r="G303" s="26"/>
      <c r="H303" s="27"/>
      <c r="I303" s="27"/>
      <c r="J303" s="54">
        <v>0</v>
      </c>
      <c r="K303" s="59"/>
    </row>
    <row r="304" spans="2:11" ht="15">
      <c r="B304" s="22"/>
      <c r="C304" s="23"/>
      <c r="D304" s="24"/>
      <c r="E304" s="23"/>
      <c r="F304" s="25"/>
      <c r="G304" s="26"/>
      <c r="H304" s="27"/>
      <c r="I304" s="27"/>
      <c r="J304" s="54">
        <v>0</v>
      </c>
      <c r="K304" s="59"/>
    </row>
    <row r="305" spans="2:11" ht="15">
      <c r="B305" s="22"/>
      <c r="C305" s="23"/>
      <c r="D305" s="24"/>
      <c r="E305" s="23"/>
      <c r="F305" s="25"/>
      <c r="G305" s="26"/>
      <c r="H305" s="27"/>
      <c r="I305" s="27"/>
      <c r="J305" s="54">
        <v>0</v>
      </c>
      <c r="K305" s="59"/>
    </row>
    <row r="306" spans="2:11" ht="15">
      <c r="B306" s="22"/>
      <c r="C306" s="23"/>
      <c r="D306" s="24"/>
      <c r="E306" s="23"/>
      <c r="F306" s="25"/>
      <c r="G306" s="26"/>
      <c r="H306" s="27"/>
      <c r="I306" s="27"/>
      <c r="J306" s="54">
        <v>0</v>
      </c>
      <c r="K306" s="59"/>
    </row>
    <row r="307" spans="2:11" ht="15">
      <c r="B307" s="22"/>
      <c r="C307" s="23"/>
      <c r="D307" s="24"/>
      <c r="E307" s="23"/>
      <c r="F307" s="25"/>
      <c r="G307" s="26"/>
      <c r="H307" s="27"/>
      <c r="I307" s="27"/>
      <c r="J307" s="54">
        <v>0</v>
      </c>
      <c r="K307" s="59"/>
    </row>
    <row r="308" spans="2:11" ht="15">
      <c r="B308" s="22"/>
      <c r="C308" s="23"/>
      <c r="D308" s="24"/>
      <c r="E308" s="23"/>
      <c r="F308" s="25"/>
      <c r="G308" s="26"/>
      <c r="H308" s="27"/>
      <c r="I308" s="27"/>
      <c r="J308" s="54">
        <v>0</v>
      </c>
      <c r="K308" s="59"/>
    </row>
    <row r="309" spans="2:11" ht="15">
      <c r="B309" s="22"/>
      <c r="C309" s="23"/>
      <c r="D309" s="24"/>
      <c r="E309" s="23"/>
      <c r="F309" s="25"/>
      <c r="G309" s="26"/>
      <c r="H309" s="27"/>
      <c r="I309" s="27"/>
      <c r="J309" s="54">
        <v>0</v>
      </c>
      <c r="K309" s="59"/>
    </row>
    <row r="310" spans="2:11" ht="15">
      <c r="B310" s="22"/>
      <c r="C310" s="23"/>
      <c r="D310" s="24"/>
      <c r="E310" s="23"/>
      <c r="F310" s="25"/>
      <c r="G310" s="26"/>
      <c r="H310" s="27"/>
      <c r="I310" s="27"/>
      <c r="J310" s="54">
        <v>0</v>
      </c>
      <c r="K310" s="59"/>
    </row>
    <row r="311" spans="2:11" ht="15">
      <c r="B311" s="22"/>
      <c r="C311" s="23"/>
      <c r="D311" s="24"/>
      <c r="E311" s="23"/>
      <c r="F311" s="25"/>
      <c r="G311" s="26"/>
      <c r="H311" s="27"/>
      <c r="I311" s="27"/>
      <c r="J311" s="54">
        <v>0</v>
      </c>
      <c r="K311" s="59"/>
    </row>
    <row r="312" spans="2:11" ht="15">
      <c r="B312" s="22"/>
      <c r="C312" s="23"/>
      <c r="D312" s="24"/>
      <c r="E312" s="23"/>
      <c r="F312" s="25"/>
      <c r="G312" s="26"/>
      <c r="H312" s="27"/>
      <c r="I312" s="27"/>
      <c r="J312" s="54">
        <v>0</v>
      </c>
      <c r="K312" s="59"/>
    </row>
    <row r="313" spans="2:11" ht="15">
      <c r="B313" s="22"/>
      <c r="C313" s="23"/>
      <c r="D313" s="24"/>
      <c r="E313" s="23"/>
      <c r="F313" s="25"/>
      <c r="G313" s="26"/>
      <c r="H313" s="27"/>
      <c r="I313" s="27"/>
      <c r="J313" s="54">
        <v>0</v>
      </c>
      <c r="K313" s="59"/>
    </row>
    <row r="314" spans="2:11" ht="15">
      <c r="B314" s="22"/>
      <c r="C314" s="23"/>
      <c r="D314" s="24"/>
      <c r="E314" s="23"/>
      <c r="F314" s="25"/>
      <c r="G314" s="26"/>
      <c r="H314" s="27"/>
      <c r="I314" s="27"/>
      <c r="J314" s="54">
        <v>0</v>
      </c>
      <c r="K314" s="59"/>
    </row>
    <row r="315" spans="2:11" ht="15">
      <c r="B315" s="22"/>
      <c r="C315" s="23"/>
      <c r="D315" s="24"/>
      <c r="E315" s="23"/>
      <c r="F315" s="25"/>
      <c r="G315" s="26"/>
      <c r="H315" s="27"/>
      <c r="I315" s="27"/>
      <c r="J315" s="54">
        <v>0</v>
      </c>
      <c r="K315" s="59"/>
    </row>
    <row r="316" spans="2:11" ht="15">
      <c r="B316" s="22"/>
      <c r="C316" s="23"/>
      <c r="D316" s="24"/>
      <c r="E316" s="23"/>
      <c r="F316" s="25"/>
      <c r="G316" s="26"/>
      <c r="H316" s="27"/>
      <c r="I316" s="27"/>
      <c r="J316" s="54">
        <v>0</v>
      </c>
      <c r="K316" s="59"/>
    </row>
    <row r="317" spans="2:11" ht="15">
      <c r="B317" s="22"/>
      <c r="C317" s="23"/>
      <c r="D317" s="24"/>
      <c r="E317" s="23"/>
      <c r="F317" s="25"/>
      <c r="G317" s="26"/>
      <c r="H317" s="27"/>
      <c r="I317" s="27"/>
      <c r="J317" s="54">
        <v>0</v>
      </c>
      <c r="K317" s="59"/>
    </row>
    <row r="318" spans="2:11" ht="15">
      <c r="B318" s="22"/>
      <c r="C318" s="23"/>
      <c r="D318" s="24"/>
      <c r="E318" s="23"/>
      <c r="F318" s="25"/>
      <c r="G318" s="26"/>
      <c r="H318" s="27"/>
      <c r="I318" s="27"/>
      <c r="J318" s="54">
        <v>0</v>
      </c>
      <c r="K318" s="59"/>
    </row>
    <row r="319" spans="2:11" ht="15">
      <c r="B319" s="22"/>
      <c r="C319" s="23"/>
      <c r="D319" s="24"/>
      <c r="E319" s="23"/>
      <c r="F319" s="25"/>
      <c r="G319" s="26"/>
      <c r="H319" s="27"/>
      <c r="I319" s="27"/>
      <c r="J319" s="54">
        <v>0</v>
      </c>
      <c r="K319" s="59"/>
    </row>
    <row r="320" spans="2:11" ht="15">
      <c r="B320" s="22"/>
      <c r="C320" s="23"/>
      <c r="D320" s="24"/>
      <c r="E320" s="23"/>
      <c r="F320" s="25"/>
      <c r="G320" s="26"/>
      <c r="H320" s="27"/>
      <c r="I320" s="27"/>
      <c r="J320" s="54">
        <v>0</v>
      </c>
      <c r="K320" s="59"/>
    </row>
    <row r="321" spans="2:11" ht="15">
      <c r="B321" s="22"/>
      <c r="C321" s="23"/>
      <c r="D321" s="24"/>
      <c r="E321" s="23"/>
      <c r="F321" s="25"/>
      <c r="G321" s="26"/>
      <c r="H321" s="27"/>
      <c r="I321" s="27"/>
      <c r="J321" s="54">
        <v>0</v>
      </c>
      <c r="K321" s="59"/>
    </row>
    <row r="322" spans="2:11" ht="15">
      <c r="B322" s="22"/>
      <c r="C322" s="23"/>
      <c r="D322" s="24"/>
      <c r="E322" s="23"/>
      <c r="F322" s="25"/>
      <c r="G322" s="26"/>
      <c r="H322" s="27"/>
      <c r="I322" s="27"/>
      <c r="J322" s="54">
        <v>0</v>
      </c>
      <c r="K322" s="59"/>
    </row>
    <row r="323" spans="2:11" ht="15">
      <c r="B323" s="22"/>
      <c r="C323" s="23"/>
      <c r="D323" s="24"/>
      <c r="E323" s="23"/>
      <c r="F323" s="25"/>
      <c r="G323" s="26"/>
      <c r="H323" s="27"/>
      <c r="I323" s="27"/>
      <c r="J323" s="54">
        <v>0</v>
      </c>
      <c r="K323" s="59"/>
    </row>
    <row r="324" spans="2:11" ht="15">
      <c r="B324" s="22"/>
      <c r="C324" s="23"/>
      <c r="D324" s="24"/>
      <c r="E324" s="23"/>
      <c r="F324" s="25"/>
      <c r="G324" s="26"/>
      <c r="H324" s="27"/>
      <c r="I324" s="27"/>
      <c r="J324" s="54">
        <v>0</v>
      </c>
      <c r="K324" s="59"/>
    </row>
    <row r="325" spans="2:11" ht="15">
      <c r="B325" s="22"/>
      <c r="C325" s="23"/>
      <c r="D325" s="24"/>
      <c r="E325" s="23"/>
      <c r="F325" s="25"/>
      <c r="G325" s="26"/>
      <c r="H325" s="27"/>
      <c r="I325" s="27"/>
      <c r="J325" s="54">
        <v>0</v>
      </c>
      <c r="K325" s="59"/>
    </row>
    <row r="326" spans="2:11" ht="15">
      <c r="B326" s="22"/>
      <c r="C326" s="23"/>
      <c r="D326" s="24"/>
      <c r="E326" s="23"/>
      <c r="F326" s="25"/>
      <c r="G326" s="26"/>
      <c r="H326" s="27"/>
      <c r="I326" s="27"/>
      <c r="J326" s="54">
        <v>0</v>
      </c>
      <c r="K326" s="59"/>
    </row>
    <row r="327" spans="2:11" ht="15">
      <c r="B327" s="22"/>
      <c r="C327" s="23"/>
      <c r="D327" s="24"/>
      <c r="E327" s="23"/>
      <c r="F327" s="25"/>
      <c r="G327" s="26"/>
      <c r="H327" s="27"/>
      <c r="I327" s="27"/>
      <c r="J327" s="54">
        <v>0</v>
      </c>
      <c r="K327" s="59"/>
    </row>
    <row r="328" spans="2:11" ht="15">
      <c r="B328" s="22"/>
      <c r="C328" s="23"/>
      <c r="D328" s="24"/>
      <c r="E328" s="23"/>
      <c r="F328" s="25"/>
      <c r="G328" s="26"/>
      <c r="H328" s="27"/>
      <c r="I328" s="27"/>
      <c r="J328" s="54">
        <v>0</v>
      </c>
      <c r="K328" s="59"/>
    </row>
    <row r="329" spans="2:11" ht="15">
      <c r="B329" s="22"/>
      <c r="C329" s="23"/>
      <c r="D329" s="24"/>
      <c r="E329" s="23"/>
      <c r="F329" s="25"/>
      <c r="G329" s="26"/>
      <c r="H329" s="27"/>
      <c r="I329" s="27"/>
      <c r="J329" s="54">
        <v>0</v>
      </c>
      <c r="K329" s="59"/>
    </row>
    <row r="330" spans="2:11" ht="15">
      <c r="B330" s="22"/>
      <c r="C330" s="23"/>
      <c r="D330" s="24"/>
      <c r="E330" s="23"/>
      <c r="F330" s="25"/>
      <c r="G330" s="26"/>
      <c r="H330" s="27"/>
      <c r="I330" s="27"/>
      <c r="J330" s="54">
        <v>0</v>
      </c>
      <c r="K330" s="59"/>
    </row>
    <row r="331" spans="2:11" ht="15">
      <c r="B331" s="22"/>
      <c r="C331" s="23"/>
      <c r="D331" s="24"/>
      <c r="E331" s="23"/>
      <c r="F331" s="25"/>
      <c r="G331" s="26"/>
      <c r="H331" s="27"/>
      <c r="I331" s="27"/>
      <c r="J331" s="54">
        <v>0</v>
      </c>
      <c r="K331" s="59"/>
    </row>
    <row r="332" spans="2:11" ht="15">
      <c r="B332" s="22"/>
      <c r="C332" s="23"/>
      <c r="D332" s="24"/>
      <c r="E332" s="23"/>
      <c r="F332" s="25"/>
      <c r="G332" s="26"/>
      <c r="H332" s="27"/>
      <c r="I332" s="27"/>
      <c r="J332" s="54">
        <v>0</v>
      </c>
      <c r="K332" s="59"/>
    </row>
    <row r="333" spans="2:11" ht="15">
      <c r="B333" s="22"/>
      <c r="C333" s="23"/>
      <c r="D333" s="24"/>
      <c r="E333" s="23"/>
      <c r="F333" s="25"/>
      <c r="G333" s="26"/>
      <c r="H333" s="27"/>
      <c r="I333" s="27"/>
      <c r="J333" s="54">
        <v>0</v>
      </c>
      <c r="K333" s="59"/>
    </row>
    <row r="334" spans="2:11" ht="15">
      <c r="B334" s="22"/>
      <c r="C334" s="23"/>
      <c r="D334" s="24"/>
      <c r="E334" s="23"/>
      <c r="F334" s="25"/>
      <c r="G334" s="26"/>
      <c r="H334" s="27"/>
      <c r="I334" s="27"/>
      <c r="J334" s="54">
        <v>0</v>
      </c>
      <c r="K334" s="59"/>
    </row>
    <row r="335" spans="2:11" ht="15">
      <c r="B335" s="22"/>
      <c r="C335" s="23"/>
      <c r="D335" s="24"/>
      <c r="E335" s="23"/>
      <c r="F335" s="25"/>
      <c r="G335" s="26"/>
      <c r="H335" s="27"/>
      <c r="I335" s="27"/>
      <c r="J335" s="54">
        <v>0</v>
      </c>
      <c r="K335" s="59"/>
    </row>
    <row r="336" spans="2:11" ht="15">
      <c r="B336" s="22"/>
      <c r="C336" s="23"/>
      <c r="D336" s="24"/>
      <c r="E336" s="23"/>
      <c r="F336" s="25"/>
      <c r="G336" s="26"/>
      <c r="H336" s="27"/>
      <c r="I336" s="27"/>
      <c r="J336" s="54">
        <v>0</v>
      </c>
      <c r="K336" s="75"/>
    </row>
    <row r="337" spans="2:12" ht="15">
      <c r="B337" s="22"/>
      <c r="C337" s="23"/>
      <c r="D337" s="24"/>
      <c r="E337" s="23"/>
      <c r="F337" s="25"/>
      <c r="G337" s="26"/>
      <c r="H337" s="27"/>
      <c r="I337" s="27"/>
      <c r="J337" s="54">
        <v>0</v>
      </c>
      <c r="K337" s="59"/>
    </row>
    <row r="338" spans="2:12" ht="15">
      <c r="B338" s="22"/>
      <c r="C338" s="23"/>
      <c r="D338" s="24"/>
      <c r="E338" s="23"/>
      <c r="F338" s="25"/>
      <c r="G338" s="26"/>
      <c r="H338" s="27"/>
      <c r="I338" s="27"/>
      <c r="J338" s="54">
        <v>0</v>
      </c>
      <c r="K338" s="59"/>
    </row>
    <row r="339" spans="2:12" ht="15">
      <c r="B339" s="22"/>
      <c r="C339" s="23"/>
      <c r="D339" s="24"/>
      <c r="E339" s="23"/>
      <c r="F339" s="25"/>
      <c r="G339" s="26"/>
      <c r="H339" s="27"/>
      <c r="I339" s="27"/>
      <c r="J339" s="54">
        <v>0</v>
      </c>
      <c r="K339" s="59"/>
    </row>
    <row r="340" spans="2:12" ht="15">
      <c r="B340" s="22"/>
      <c r="C340" s="23"/>
      <c r="D340" s="24"/>
      <c r="E340" s="23"/>
      <c r="F340" s="25"/>
      <c r="G340" s="26"/>
      <c r="H340" s="27"/>
      <c r="I340" s="27"/>
      <c r="J340" s="54">
        <v>0</v>
      </c>
      <c r="K340" s="59"/>
    </row>
    <row r="341" spans="2:12" ht="15">
      <c r="B341" s="22"/>
      <c r="C341" s="23"/>
      <c r="D341" s="24"/>
      <c r="E341" s="23"/>
      <c r="F341" s="25"/>
      <c r="G341" s="26"/>
      <c r="H341" s="27"/>
      <c r="I341" s="27"/>
      <c r="J341" s="54">
        <v>0</v>
      </c>
      <c r="K341" s="59"/>
    </row>
    <row r="342" spans="2:12" ht="15">
      <c r="B342" s="22"/>
      <c r="C342" s="23"/>
      <c r="D342" s="24"/>
      <c r="E342" s="23"/>
      <c r="F342" s="25"/>
      <c r="G342" s="26"/>
      <c r="H342" s="27"/>
      <c r="I342" s="27"/>
      <c r="J342" s="54">
        <v>0</v>
      </c>
      <c r="K342" s="75"/>
      <c r="L342" s="76"/>
    </row>
    <row r="343" spans="2:12" ht="15">
      <c r="B343" s="22"/>
      <c r="C343" s="23"/>
      <c r="D343" s="24"/>
      <c r="E343" s="23"/>
      <c r="F343" s="25"/>
      <c r="G343" s="26"/>
      <c r="H343" s="27"/>
      <c r="I343" s="27"/>
      <c r="J343" s="54">
        <v>0</v>
      </c>
      <c r="K343" s="75"/>
      <c r="L343" s="76"/>
    </row>
    <row r="344" spans="2:12" ht="15">
      <c r="B344" s="22"/>
      <c r="C344" s="23"/>
      <c r="D344" s="24"/>
      <c r="E344" s="23"/>
      <c r="F344" s="25"/>
      <c r="G344" s="26"/>
      <c r="H344" s="27"/>
      <c r="I344" s="27"/>
      <c r="J344" s="54">
        <v>0</v>
      </c>
      <c r="K344" s="75"/>
      <c r="L344" s="76"/>
    </row>
    <row r="345" spans="2:12" ht="15">
      <c r="B345" s="22"/>
      <c r="C345" s="23"/>
      <c r="D345" s="24"/>
      <c r="E345" s="23"/>
      <c r="F345" s="25"/>
      <c r="G345" s="26"/>
      <c r="H345" s="27"/>
      <c r="I345" s="27"/>
      <c r="J345" s="54">
        <v>0</v>
      </c>
      <c r="K345" s="75"/>
      <c r="L345" s="76"/>
    </row>
    <row r="346" spans="2:12" ht="15">
      <c r="B346" s="22"/>
      <c r="C346" s="23"/>
      <c r="D346" s="24"/>
      <c r="E346" s="23"/>
      <c r="F346" s="25"/>
      <c r="G346" s="26"/>
      <c r="H346" s="27"/>
      <c r="I346" s="27"/>
      <c r="J346" s="54">
        <v>0</v>
      </c>
      <c r="K346" s="59"/>
    </row>
    <row r="347" spans="2:12" ht="15">
      <c r="B347" s="22"/>
      <c r="C347" s="23"/>
      <c r="D347" s="38"/>
      <c r="E347" s="23"/>
      <c r="F347" s="25"/>
      <c r="G347" s="26"/>
      <c r="H347" s="27"/>
      <c r="I347" s="27"/>
      <c r="J347" s="54">
        <v>0</v>
      </c>
      <c r="K347" s="59"/>
    </row>
    <row r="348" spans="2:12" ht="15">
      <c r="B348" s="22"/>
      <c r="C348" s="23"/>
      <c r="D348" s="38"/>
      <c r="E348" s="23"/>
      <c r="F348" s="25"/>
      <c r="G348" s="26"/>
      <c r="H348" s="27"/>
      <c r="I348" s="27"/>
      <c r="J348" s="54">
        <v>0</v>
      </c>
      <c r="K348" s="59"/>
    </row>
    <row r="349" spans="2:12" ht="15">
      <c r="B349" s="22"/>
      <c r="C349" s="23"/>
      <c r="D349" s="38"/>
      <c r="E349" s="23"/>
      <c r="F349" s="25"/>
      <c r="G349" s="26"/>
      <c r="H349" s="27"/>
      <c r="I349" s="27"/>
      <c r="J349" s="54">
        <v>0</v>
      </c>
      <c r="K349" s="59"/>
    </row>
    <row r="350" spans="2:12" ht="15">
      <c r="B350" s="22"/>
      <c r="C350" s="23"/>
      <c r="D350" s="38"/>
      <c r="E350" s="23"/>
      <c r="F350" s="25"/>
      <c r="G350" s="26"/>
      <c r="H350" s="27"/>
      <c r="I350" s="27"/>
      <c r="J350" s="54">
        <v>0</v>
      </c>
      <c r="K350" s="59"/>
    </row>
    <row r="351" spans="2:12" ht="15">
      <c r="B351" s="22"/>
      <c r="C351" s="23"/>
      <c r="D351" s="38"/>
      <c r="E351" s="23"/>
      <c r="F351" s="25"/>
      <c r="G351" s="26"/>
      <c r="H351" s="27"/>
      <c r="I351" s="27"/>
      <c r="J351" s="54">
        <v>0</v>
      </c>
      <c r="K351" s="59"/>
    </row>
    <row r="352" spans="2:12" ht="15">
      <c r="B352" s="22"/>
      <c r="C352" s="23"/>
      <c r="D352" s="38"/>
      <c r="E352" s="23"/>
      <c r="F352" s="25"/>
      <c r="G352" s="26"/>
      <c r="H352" s="27"/>
      <c r="I352" s="27"/>
      <c r="J352" s="54">
        <v>0</v>
      </c>
      <c r="K352" s="59"/>
    </row>
    <row r="353" spans="2:11" ht="15">
      <c r="B353" s="22"/>
      <c r="C353" s="23"/>
      <c r="D353" s="38"/>
      <c r="E353" s="23"/>
      <c r="F353" s="25"/>
      <c r="G353" s="26"/>
      <c r="H353" s="27"/>
      <c r="I353" s="27"/>
      <c r="J353" s="54">
        <v>0</v>
      </c>
      <c r="K353" s="59"/>
    </row>
    <row r="354" spans="2:11" ht="15">
      <c r="B354" s="22"/>
      <c r="C354" s="23"/>
      <c r="D354" s="38"/>
      <c r="E354" s="23"/>
      <c r="F354" s="25"/>
      <c r="G354" s="26"/>
      <c r="H354" s="27"/>
      <c r="I354" s="27"/>
      <c r="J354" s="54">
        <v>0</v>
      </c>
      <c r="K354" s="59"/>
    </row>
    <row r="355" spans="2:11" ht="15">
      <c r="B355" s="22"/>
      <c r="C355" s="23"/>
      <c r="D355" s="38"/>
      <c r="E355" s="23"/>
      <c r="F355" s="25"/>
      <c r="G355" s="26"/>
      <c r="H355" s="27"/>
      <c r="I355" s="27"/>
      <c r="J355" s="54">
        <v>0</v>
      </c>
      <c r="K355" s="59"/>
    </row>
    <row r="356" spans="2:11" ht="15">
      <c r="B356" s="22"/>
      <c r="C356" s="23"/>
      <c r="D356" s="38"/>
      <c r="E356" s="23"/>
      <c r="F356" s="25"/>
      <c r="G356" s="26"/>
      <c r="H356" s="27"/>
      <c r="I356" s="27"/>
      <c r="J356" s="54">
        <v>0</v>
      </c>
      <c r="K356" s="59"/>
    </row>
    <row r="357" spans="2:11" ht="15">
      <c r="B357" s="22"/>
      <c r="C357" s="23"/>
      <c r="D357" s="38"/>
      <c r="E357" s="23"/>
      <c r="F357" s="25"/>
      <c r="G357" s="26"/>
      <c r="H357" s="27"/>
      <c r="I357" s="27"/>
      <c r="J357" s="54">
        <v>0</v>
      </c>
      <c r="K357" s="59"/>
    </row>
    <row r="358" spans="2:11" ht="15">
      <c r="B358" s="22"/>
      <c r="C358" s="23"/>
      <c r="D358" s="38"/>
      <c r="E358" s="23"/>
      <c r="F358" s="25"/>
      <c r="G358" s="26"/>
      <c r="H358" s="27"/>
      <c r="I358" s="27"/>
      <c r="J358" s="54">
        <v>0</v>
      </c>
      <c r="K358" s="59"/>
    </row>
    <row r="359" spans="2:11" ht="15">
      <c r="B359" s="22"/>
      <c r="C359" s="23"/>
      <c r="D359" s="38"/>
      <c r="E359" s="23"/>
      <c r="F359" s="25"/>
      <c r="G359" s="26"/>
      <c r="H359" s="27"/>
      <c r="I359" s="27"/>
      <c r="J359" s="54">
        <v>0</v>
      </c>
      <c r="K359" s="59"/>
    </row>
    <row r="360" spans="2:11" ht="15">
      <c r="B360" s="22"/>
      <c r="C360" s="23"/>
      <c r="D360" s="38"/>
      <c r="E360" s="23"/>
      <c r="F360" s="25"/>
      <c r="G360" s="26"/>
      <c r="H360" s="27"/>
      <c r="I360" s="27"/>
      <c r="J360" s="54">
        <v>0</v>
      </c>
      <c r="K360" s="59"/>
    </row>
    <row r="361" spans="2:11" ht="15">
      <c r="B361" s="22"/>
      <c r="C361" s="23"/>
      <c r="D361" s="38"/>
      <c r="E361" s="23"/>
      <c r="F361" s="25"/>
      <c r="G361" s="26"/>
      <c r="H361" s="27"/>
      <c r="I361" s="27"/>
      <c r="J361" s="54">
        <v>0</v>
      </c>
      <c r="K361" s="59"/>
    </row>
    <row r="362" spans="2:11" ht="15">
      <c r="B362" s="22"/>
      <c r="C362" s="23"/>
      <c r="D362" s="38"/>
      <c r="E362" s="23"/>
      <c r="F362" s="25"/>
      <c r="G362" s="26"/>
      <c r="H362" s="27"/>
      <c r="I362" s="27"/>
      <c r="J362" s="54">
        <v>0</v>
      </c>
      <c r="K362" s="59"/>
    </row>
    <row r="363" spans="2:11" ht="15">
      <c r="B363" s="22"/>
      <c r="C363" s="23"/>
      <c r="D363" s="38"/>
      <c r="E363" s="23"/>
      <c r="F363" s="25"/>
      <c r="G363" s="26"/>
      <c r="H363" s="27"/>
      <c r="I363" s="27"/>
      <c r="J363" s="54">
        <v>0</v>
      </c>
      <c r="K363" s="59"/>
    </row>
    <row r="364" spans="2:11" ht="15">
      <c r="B364" s="22"/>
      <c r="C364" s="23"/>
      <c r="D364" s="38"/>
      <c r="E364" s="23"/>
      <c r="F364" s="25"/>
      <c r="G364" s="26"/>
      <c r="H364" s="27"/>
      <c r="I364" s="27"/>
      <c r="J364" s="54">
        <v>0</v>
      </c>
      <c r="K364" s="59"/>
    </row>
    <row r="365" spans="2:11" ht="15">
      <c r="B365" s="22"/>
      <c r="C365" s="23"/>
      <c r="D365" s="38"/>
      <c r="E365" s="23"/>
      <c r="F365" s="25"/>
      <c r="G365" s="26"/>
      <c r="H365" s="27"/>
      <c r="I365" s="27"/>
      <c r="J365" s="54">
        <v>0</v>
      </c>
      <c r="K365" s="59"/>
    </row>
    <row r="366" spans="2:11" ht="15">
      <c r="B366" s="22"/>
      <c r="C366" s="23"/>
      <c r="D366" s="38"/>
      <c r="E366" s="23"/>
      <c r="F366" s="25"/>
      <c r="G366" s="26"/>
      <c r="H366" s="27"/>
      <c r="I366" s="27"/>
      <c r="J366" s="54">
        <v>0</v>
      </c>
      <c r="K366" s="59"/>
    </row>
    <row r="367" spans="2:11" ht="15">
      <c r="B367" s="22"/>
      <c r="C367" s="23"/>
      <c r="D367" s="38"/>
      <c r="E367" s="23"/>
      <c r="F367" s="25"/>
      <c r="G367" s="26"/>
      <c r="H367" s="27"/>
      <c r="I367" s="27"/>
      <c r="J367" s="54">
        <v>0</v>
      </c>
      <c r="K367" s="59"/>
    </row>
    <row r="368" spans="2:11" ht="15">
      <c r="B368" s="22"/>
      <c r="C368" s="23"/>
      <c r="D368" s="38"/>
      <c r="E368" s="23"/>
      <c r="F368" s="25"/>
      <c r="G368" s="26"/>
      <c r="H368" s="27"/>
      <c r="I368" s="27"/>
      <c r="J368" s="54">
        <v>0</v>
      </c>
      <c r="K368" s="59"/>
    </row>
    <row r="369" spans="2:12" ht="15">
      <c r="B369" s="22"/>
      <c r="C369" s="23"/>
      <c r="D369" s="38"/>
      <c r="E369" s="23"/>
      <c r="F369" s="25"/>
      <c r="G369" s="26"/>
      <c r="H369" s="27"/>
      <c r="I369" s="27"/>
      <c r="J369" s="54">
        <v>0</v>
      </c>
      <c r="K369" s="59"/>
    </row>
    <row r="370" spans="2:12" ht="15">
      <c r="B370" s="22"/>
      <c r="C370" s="23"/>
      <c r="D370" s="38"/>
      <c r="E370" s="23"/>
      <c r="F370" s="25"/>
      <c r="G370" s="26"/>
      <c r="H370" s="27"/>
      <c r="I370" s="27"/>
      <c r="J370" s="54">
        <v>0</v>
      </c>
      <c r="K370" s="59"/>
    </row>
    <row r="371" spans="2:12" ht="15">
      <c r="B371" s="22"/>
      <c r="C371" s="23"/>
      <c r="D371" s="38"/>
      <c r="E371" s="23"/>
      <c r="F371" s="25"/>
      <c r="G371" s="26"/>
      <c r="H371" s="27"/>
      <c r="I371" s="27"/>
      <c r="J371" s="54">
        <v>0</v>
      </c>
      <c r="K371" s="59"/>
    </row>
    <row r="372" spans="2:12" ht="15">
      <c r="B372" s="22"/>
      <c r="C372" s="23"/>
      <c r="D372" s="38"/>
      <c r="E372" s="23"/>
      <c r="F372" s="25"/>
      <c r="G372" s="26"/>
      <c r="H372" s="27"/>
      <c r="I372" s="27"/>
      <c r="J372" s="54">
        <v>0</v>
      </c>
      <c r="K372" s="59"/>
    </row>
    <row r="373" spans="2:12" ht="15">
      <c r="B373" s="22"/>
      <c r="C373" s="23"/>
      <c r="D373" s="38"/>
      <c r="E373" s="23"/>
      <c r="F373" s="25"/>
      <c r="G373" s="26"/>
      <c r="H373" s="27"/>
      <c r="I373" s="27"/>
      <c r="J373" s="54">
        <v>0</v>
      </c>
      <c r="K373" s="59"/>
    </row>
    <row r="374" spans="2:12" ht="15">
      <c r="B374" s="22"/>
      <c r="C374" s="23"/>
      <c r="D374" s="38"/>
      <c r="E374" s="23"/>
      <c r="F374" s="25"/>
      <c r="G374" s="26"/>
      <c r="H374" s="27"/>
      <c r="I374" s="27"/>
      <c r="J374" s="54">
        <v>0</v>
      </c>
      <c r="K374" s="59"/>
    </row>
    <row r="375" spans="2:12" ht="15">
      <c r="B375" s="22"/>
      <c r="C375" s="23"/>
      <c r="D375" s="38"/>
      <c r="E375" s="23"/>
      <c r="F375" s="25"/>
      <c r="G375" s="26"/>
      <c r="H375" s="27"/>
      <c r="I375" s="27"/>
      <c r="J375" s="54">
        <v>0</v>
      </c>
      <c r="K375" s="59"/>
    </row>
    <row r="376" spans="2:12" ht="15">
      <c r="B376" s="22"/>
      <c r="C376" s="23"/>
      <c r="D376" s="38"/>
      <c r="E376" s="23"/>
      <c r="F376" s="25"/>
      <c r="G376" s="26"/>
      <c r="H376" s="27"/>
      <c r="I376" s="27"/>
      <c r="J376" s="54">
        <v>0</v>
      </c>
      <c r="K376" s="59"/>
    </row>
    <row r="377" spans="2:12" ht="15">
      <c r="B377" s="22"/>
      <c r="C377" s="23"/>
      <c r="D377" s="38"/>
      <c r="E377" s="23"/>
      <c r="F377" s="25"/>
      <c r="G377" s="26"/>
      <c r="H377" s="27"/>
      <c r="I377" s="27"/>
      <c r="J377" s="54">
        <v>0</v>
      </c>
      <c r="K377" s="59"/>
    </row>
    <row r="378" spans="2:12" ht="15">
      <c r="B378" s="22"/>
      <c r="C378" s="23"/>
      <c r="D378" s="38"/>
      <c r="E378" s="23"/>
      <c r="F378" s="25"/>
      <c r="G378" s="26"/>
      <c r="H378" s="27"/>
      <c r="I378" s="27"/>
      <c r="J378" s="54">
        <v>0</v>
      </c>
      <c r="K378" s="59"/>
    </row>
    <row r="379" spans="2:12" ht="15">
      <c r="B379" s="22"/>
      <c r="C379" s="23"/>
      <c r="D379" s="38"/>
      <c r="E379" s="23"/>
      <c r="F379" s="25"/>
      <c r="G379" s="26"/>
      <c r="H379" s="27"/>
      <c r="I379" s="27"/>
      <c r="J379" s="54">
        <v>0</v>
      </c>
      <c r="K379" s="59"/>
    </row>
    <row r="380" spans="2:12" ht="15">
      <c r="B380" s="22"/>
      <c r="C380" s="23"/>
      <c r="D380" s="38"/>
      <c r="E380" s="88"/>
      <c r="F380" s="25"/>
      <c r="G380" s="26"/>
      <c r="H380" s="27"/>
      <c r="I380" s="27"/>
      <c r="J380" s="54">
        <v>0</v>
      </c>
      <c r="K380" s="59"/>
    </row>
    <row r="381" spans="2:12" ht="15">
      <c r="B381" s="22"/>
      <c r="C381" s="23"/>
      <c r="D381" s="38"/>
      <c r="E381" s="23"/>
      <c r="F381" s="25"/>
      <c r="G381" s="26"/>
      <c r="H381" s="27"/>
      <c r="I381" s="27"/>
      <c r="J381" s="54">
        <v>0</v>
      </c>
      <c r="K381" s="75"/>
    </row>
    <row r="382" spans="2:12" ht="15">
      <c r="B382" s="22"/>
      <c r="C382" s="23"/>
      <c r="D382" s="38"/>
      <c r="E382" s="23"/>
      <c r="F382" s="25"/>
      <c r="G382" s="26"/>
      <c r="H382" s="27"/>
      <c r="I382" s="27"/>
      <c r="J382" s="54">
        <v>0</v>
      </c>
      <c r="K382" s="75"/>
    </row>
    <row r="383" spans="2:12" ht="15">
      <c r="B383" s="22"/>
      <c r="C383" s="23"/>
      <c r="D383" s="38"/>
      <c r="E383" s="23"/>
      <c r="F383" s="25"/>
      <c r="G383" s="26"/>
      <c r="H383" s="27"/>
      <c r="I383" s="27"/>
      <c r="J383" s="54">
        <v>0</v>
      </c>
      <c r="K383" s="75"/>
      <c r="L383" s="76"/>
    </row>
    <row r="384" spans="2:12" ht="15">
      <c r="B384" s="22"/>
      <c r="C384" s="23"/>
      <c r="D384" s="38"/>
      <c r="E384" s="23"/>
      <c r="F384" s="25"/>
      <c r="G384" s="26"/>
      <c r="H384" s="27"/>
      <c r="I384" s="27"/>
      <c r="J384" s="54">
        <v>0</v>
      </c>
      <c r="K384" s="59"/>
      <c r="L384" s="76"/>
    </row>
    <row r="385" spans="2:11" ht="15">
      <c r="B385" s="89"/>
      <c r="C385" s="90"/>
      <c r="D385" s="38"/>
      <c r="E385" s="90"/>
      <c r="F385" s="91"/>
      <c r="G385" s="92"/>
      <c r="H385" s="27"/>
      <c r="I385" s="27"/>
      <c r="J385" s="54">
        <v>0</v>
      </c>
      <c r="K385" s="59"/>
    </row>
    <row r="386" spans="2:11" ht="15">
      <c r="B386" s="22"/>
      <c r="C386" s="23"/>
      <c r="D386" s="38"/>
      <c r="E386" s="23"/>
      <c r="F386" s="25"/>
      <c r="G386" s="26"/>
      <c r="H386" s="27"/>
      <c r="I386" s="27"/>
      <c r="J386" s="54">
        <v>0</v>
      </c>
      <c r="K386" s="59"/>
    </row>
    <row r="387" spans="2:11" ht="15">
      <c r="B387" s="22"/>
      <c r="C387" s="23"/>
      <c r="D387" s="38"/>
      <c r="E387" s="23"/>
      <c r="F387" s="25"/>
      <c r="G387" s="26"/>
      <c r="H387" s="27"/>
      <c r="I387" s="27"/>
      <c r="J387" s="54">
        <v>0</v>
      </c>
      <c r="K387" s="59"/>
    </row>
    <row r="388" spans="2:11" ht="15">
      <c r="B388" s="22"/>
      <c r="C388" s="23"/>
      <c r="D388" s="38"/>
      <c r="E388" s="23"/>
      <c r="F388" s="25"/>
      <c r="G388" s="26"/>
      <c r="H388" s="27"/>
      <c r="I388" s="27"/>
      <c r="J388" s="54">
        <v>0</v>
      </c>
      <c r="K388" s="59"/>
    </row>
    <row r="389" spans="2:11" ht="15">
      <c r="B389" s="22"/>
      <c r="C389" s="23"/>
      <c r="D389" s="38"/>
      <c r="E389" s="23"/>
      <c r="F389" s="25"/>
      <c r="G389" s="26"/>
      <c r="H389" s="27"/>
      <c r="I389" s="27"/>
      <c r="J389" s="54">
        <v>0</v>
      </c>
      <c r="K389" s="59"/>
    </row>
    <row r="390" spans="2:11" ht="15">
      <c r="B390" s="22"/>
      <c r="C390" s="23"/>
      <c r="D390" s="38"/>
      <c r="E390" s="23"/>
      <c r="F390" s="25"/>
      <c r="G390" s="26"/>
      <c r="H390" s="27"/>
      <c r="I390" s="27"/>
      <c r="J390" s="54">
        <v>0</v>
      </c>
      <c r="K390" s="59"/>
    </row>
    <row r="391" spans="2:11" ht="15">
      <c r="B391" s="22"/>
      <c r="C391" s="23"/>
      <c r="D391" s="38"/>
      <c r="E391" s="23"/>
      <c r="F391" s="25"/>
      <c r="G391" s="26"/>
      <c r="H391" s="27"/>
      <c r="I391" s="27"/>
      <c r="J391" s="54">
        <v>0</v>
      </c>
      <c r="K391" s="59"/>
    </row>
    <row r="392" spans="2:11" ht="15">
      <c r="B392" s="22"/>
      <c r="C392" s="23"/>
      <c r="D392" s="38"/>
      <c r="E392" s="23"/>
      <c r="F392" s="25"/>
      <c r="G392" s="26"/>
      <c r="H392" s="27"/>
      <c r="I392" s="27"/>
      <c r="J392" s="54">
        <v>0</v>
      </c>
      <c r="K392" s="59"/>
    </row>
    <row r="393" spans="2:11" ht="15">
      <c r="B393" s="22"/>
      <c r="C393" s="23"/>
      <c r="D393" s="38"/>
      <c r="E393" s="23"/>
      <c r="F393" s="25"/>
      <c r="G393" s="26"/>
      <c r="H393" s="27"/>
      <c r="I393" s="27"/>
      <c r="J393" s="54">
        <v>0</v>
      </c>
      <c r="K393" s="59"/>
    </row>
    <row r="394" spans="2:11" ht="15">
      <c r="B394" s="22"/>
      <c r="C394" s="23"/>
      <c r="D394" s="38"/>
      <c r="E394" s="23"/>
      <c r="F394" s="25"/>
      <c r="G394" s="26"/>
      <c r="H394" s="27"/>
      <c r="I394" s="27"/>
      <c r="J394" s="54">
        <v>0</v>
      </c>
      <c r="K394" s="59"/>
    </row>
    <row r="395" spans="2:11" ht="15">
      <c r="B395" s="22"/>
      <c r="C395" s="23"/>
      <c r="D395" s="38"/>
      <c r="E395" s="23"/>
      <c r="F395" s="25"/>
      <c r="G395" s="26"/>
      <c r="H395" s="27"/>
      <c r="I395" s="27"/>
      <c r="J395" s="54">
        <v>0</v>
      </c>
      <c r="K395" s="59"/>
    </row>
    <row r="396" spans="2:11" ht="15">
      <c r="B396" s="22"/>
      <c r="C396" s="23"/>
      <c r="D396" s="38"/>
      <c r="E396" s="23"/>
      <c r="F396" s="25"/>
      <c r="G396" s="26"/>
      <c r="H396" s="27"/>
      <c r="I396" s="27"/>
      <c r="J396" s="54">
        <v>0</v>
      </c>
      <c r="K396" s="59"/>
    </row>
    <row r="397" spans="2:11" ht="15">
      <c r="B397" s="22"/>
      <c r="C397" s="23"/>
      <c r="D397" s="38"/>
      <c r="E397" s="23"/>
      <c r="F397" s="25"/>
      <c r="G397" s="26"/>
      <c r="H397" s="27"/>
      <c r="I397" s="27"/>
      <c r="J397" s="54">
        <v>0</v>
      </c>
      <c r="K397" s="59"/>
    </row>
    <row r="398" spans="2:11" ht="15">
      <c r="B398" s="22"/>
      <c r="C398" s="23"/>
      <c r="D398" s="38"/>
      <c r="E398" s="23"/>
      <c r="F398" s="25"/>
      <c r="G398" s="26"/>
      <c r="H398" s="27"/>
      <c r="I398" s="27"/>
      <c r="J398" s="54">
        <v>0</v>
      </c>
      <c r="K398" s="59"/>
    </row>
    <row r="399" spans="2:11" ht="15">
      <c r="B399" s="22"/>
      <c r="C399" s="23"/>
      <c r="D399" s="38"/>
      <c r="E399" s="23"/>
      <c r="F399" s="25"/>
      <c r="G399" s="26"/>
      <c r="H399" s="27"/>
      <c r="I399" s="27"/>
      <c r="J399" s="54">
        <v>0</v>
      </c>
      <c r="K399" s="59"/>
    </row>
    <row r="400" spans="2:11" ht="15">
      <c r="B400" s="22"/>
      <c r="C400" s="23"/>
      <c r="D400" s="38"/>
      <c r="E400" s="23"/>
      <c r="F400" s="25"/>
      <c r="G400" s="26"/>
      <c r="H400" s="27"/>
      <c r="I400" s="27"/>
      <c r="J400" s="54">
        <v>0</v>
      </c>
      <c r="K400" s="59"/>
    </row>
    <row r="401" spans="2:11" ht="15">
      <c r="B401" s="22"/>
      <c r="C401" s="23"/>
      <c r="D401" s="38"/>
      <c r="E401" s="23"/>
      <c r="F401" s="25"/>
      <c r="G401" s="26"/>
      <c r="H401" s="27"/>
      <c r="I401" s="27"/>
      <c r="J401" s="54">
        <v>0</v>
      </c>
      <c r="K401" s="59"/>
    </row>
    <row r="402" spans="2:11" ht="15">
      <c r="B402" s="22"/>
      <c r="C402" s="23"/>
      <c r="D402" s="38"/>
      <c r="E402" s="23"/>
      <c r="F402" s="25"/>
      <c r="G402" s="26"/>
      <c r="H402" s="27"/>
      <c r="I402" s="27"/>
      <c r="J402" s="54">
        <v>0</v>
      </c>
      <c r="K402" s="59"/>
    </row>
    <row r="403" spans="2:11" ht="15">
      <c r="B403" s="22"/>
      <c r="C403" s="23"/>
      <c r="D403" s="38"/>
      <c r="E403" s="23"/>
      <c r="F403" s="25"/>
      <c r="G403" s="26"/>
      <c r="H403" s="27"/>
      <c r="I403" s="27"/>
      <c r="J403" s="54">
        <v>0</v>
      </c>
      <c r="K403" s="59"/>
    </row>
    <row r="404" spans="2:11" ht="15">
      <c r="B404" s="22"/>
      <c r="C404" s="23"/>
      <c r="D404" s="38"/>
      <c r="E404" s="23"/>
      <c r="F404" s="25"/>
      <c r="G404" s="26"/>
      <c r="H404" s="27"/>
      <c r="I404" s="27"/>
      <c r="J404" s="54">
        <v>0</v>
      </c>
      <c r="K404" s="59"/>
    </row>
    <row r="405" spans="2:11" ht="15">
      <c r="B405" s="22"/>
      <c r="C405" s="23"/>
      <c r="D405" s="38"/>
      <c r="E405" s="23"/>
      <c r="F405" s="25"/>
      <c r="G405" s="26"/>
      <c r="H405" s="27"/>
      <c r="I405" s="27"/>
      <c r="J405" s="54">
        <v>0</v>
      </c>
      <c r="K405" s="59"/>
    </row>
    <row r="406" spans="2:11" ht="15">
      <c r="B406" s="22"/>
      <c r="C406" s="23"/>
      <c r="D406" s="38"/>
      <c r="E406" s="23"/>
      <c r="F406" s="25"/>
      <c r="G406" s="26"/>
      <c r="H406" s="27"/>
      <c r="I406" s="27"/>
      <c r="J406" s="54">
        <v>0</v>
      </c>
      <c r="K406" s="59"/>
    </row>
    <row r="407" spans="2:11" ht="15">
      <c r="B407" s="22"/>
      <c r="C407" s="23"/>
      <c r="D407" s="38"/>
      <c r="E407" s="23"/>
      <c r="F407" s="25"/>
      <c r="G407" s="26"/>
      <c r="H407" s="27"/>
      <c r="I407" s="27"/>
      <c r="J407" s="54">
        <v>0</v>
      </c>
      <c r="K407" s="59"/>
    </row>
    <row r="408" spans="2:11" ht="15">
      <c r="B408" s="22"/>
      <c r="C408" s="23"/>
      <c r="D408" s="38"/>
      <c r="E408" s="23"/>
      <c r="F408" s="25"/>
      <c r="G408" s="26"/>
      <c r="H408" s="27"/>
      <c r="I408" s="27"/>
      <c r="J408" s="54">
        <v>0</v>
      </c>
      <c r="K408" s="59"/>
    </row>
    <row r="409" spans="2:11" ht="15">
      <c r="B409" s="22"/>
      <c r="C409" s="23"/>
      <c r="D409" s="38"/>
      <c r="E409" s="23"/>
      <c r="F409" s="25"/>
      <c r="G409" s="26"/>
      <c r="H409" s="27"/>
      <c r="I409" s="27"/>
      <c r="J409" s="54">
        <v>0</v>
      </c>
      <c r="K409" s="59"/>
    </row>
    <row r="410" spans="2:11" ht="15">
      <c r="B410" s="22"/>
      <c r="C410" s="23"/>
      <c r="D410" s="38"/>
      <c r="E410" s="23"/>
      <c r="F410" s="25"/>
      <c r="G410" s="26"/>
      <c r="H410" s="27"/>
      <c r="I410" s="27"/>
      <c r="J410" s="54">
        <v>0</v>
      </c>
      <c r="K410" s="59"/>
    </row>
    <row r="411" spans="2:11" ht="15">
      <c r="B411" s="22"/>
      <c r="C411" s="23"/>
      <c r="D411" s="38"/>
      <c r="E411" s="23"/>
      <c r="F411" s="25"/>
      <c r="G411" s="26"/>
      <c r="H411" s="27"/>
      <c r="I411" s="27"/>
      <c r="J411" s="54">
        <v>0</v>
      </c>
      <c r="K411" s="59"/>
    </row>
    <row r="412" spans="2:11" ht="15">
      <c r="B412" s="22"/>
      <c r="C412" s="23"/>
      <c r="D412" s="38"/>
      <c r="E412" s="23"/>
      <c r="F412" s="25"/>
      <c r="G412" s="26"/>
      <c r="H412" s="27"/>
      <c r="I412" s="27"/>
      <c r="J412" s="54">
        <v>0</v>
      </c>
      <c r="K412" s="59"/>
    </row>
    <row r="413" spans="2:11" ht="15">
      <c r="B413" s="22"/>
      <c r="C413" s="23"/>
      <c r="D413" s="38"/>
      <c r="E413" s="23"/>
      <c r="F413" s="25"/>
      <c r="G413" s="26"/>
      <c r="H413" s="27"/>
      <c r="I413" s="27"/>
      <c r="J413" s="54">
        <v>0</v>
      </c>
      <c r="K413" s="59"/>
    </row>
    <row r="414" spans="2:11" ht="15">
      <c r="B414" s="22"/>
      <c r="C414" s="23"/>
      <c r="D414" s="38"/>
      <c r="E414" s="23"/>
      <c r="F414" s="25"/>
      <c r="G414" s="26"/>
      <c r="H414" s="27"/>
      <c r="I414" s="27"/>
      <c r="J414" s="54">
        <v>0</v>
      </c>
      <c r="K414" s="59"/>
    </row>
    <row r="415" spans="2:11" ht="15">
      <c r="B415" s="22"/>
      <c r="C415" s="23"/>
      <c r="D415" s="38"/>
      <c r="E415" s="23"/>
      <c r="F415" s="25"/>
      <c r="G415" s="26"/>
      <c r="H415" s="27"/>
      <c r="I415" s="27"/>
      <c r="J415" s="54">
        <v>0</v>
      </c>
      <c r="K415" s="59"/>
    </row>
    <row r="416" spans="2:11" ht="15">
      <c r="B416" s="22"/>
      <c r="C416" s="23"/>
      <c r="D416" s="38"/>
      <c r="E416" s="23"/>
      <c r="F416" s="25"/>
      <c r="G416" s="26"/>
      <c r="H416" s="27"/>
      <c r="I416" s="27"/>
      <c r="J416" s="54">
        <v>0</v>
      </c>
      <c r="K416" s="59"/>
    </row>
    <row r="417" spans="2:11" ht="15">
      <c r="B417" s="22"/>
      <c r="C417" s="23"/>
      <c r="D417" s="38"/>
      <c r="E417" s="23"/>
      <c r="F417" s="25"/>
      <c r="G417" s="26"/>
      <c r="H417" s="27"/>
      <c r="I417" s="27"/>
      <c r="J417" s="54">
        <v>0</v>
      </c>
      <c r="K417" s="59"/>
    </row>
    <row r="418" spans="2:11" ht="15">
      <c r="B418" s="22"/>
      <c r="C418" s="23"/>
      <c r="D418" s="38"/>
      <c r="E418" s="23"/>
      <c r="F418" s="25"/>
      <c r="G418" s="26"/>
      <c r="H418" s="27"/>
      <c r="I418" s="27"/>
      <c r="J418" s="54">
        <v>0</v>
      </c>
      <c r="K418" s="59"/>
    </row>
    <row r="419" spans="2:11" ht="15">
      <c r="B419" s="22"/>
      <c r="C419" s="23"/>
      <c r="D419" s="38"/>
      <c r="E419" s="23"/>
      <c r="F419" s="25"/>
      <c r="G419" s="26"/>
      <c r="H419" s="27"/>
      <c r="I419" s="27"/>
      <c r="J419" s="54">
        <v>0</v>
      </c>
      <c r="K419" s="59"/>
    </row>
    <row r="420" spans="2:11" ht="15">
      <c r="B420" s="22"/>
      <c r="C420" s="23"/>
      <c r="D420" s="38"/>
      <c r="E420" s="23"/>
      <c r="F420" s="25"/>
      <c r="G420" s="26"/>
      <c r="H420" s="27"/>
      <c r="I420" s="27"/>
      <c r="J420" s="54">
        <v>0</v>
      </c>
      <c r="K420" s="59"/>
    </row>
    <row r="421" spans="2:11" ht="15">
      <c r="B421" s="22"/>
      <c r="C421" s="23"/>
      <c r="D421" s="38"/>
      <c r="E421" s="23"/>
      <c r="F421" s="25"/>
      <c r="G421" s="26"/>
      <c r="H421" s="27"/>
      <c r="I421" s="27"/>
      <c r="J421" s="54">
        <v>0</v>
      </c>
      <c r="K421" s="59"/>
    </row>
    <row r="422" spans="2:11" ht="15">
      <c r="B422" s="22"/>
      <c r="C422" s="23"/>
      <c r="D422" s="38"/>
      <c r="E422" s="25"/>
      <c r="F422" s="25"/>
      <c r="G422" s="26"/>
      <c r="H422" s="27"/>
      <c r="I422" s="27"/>
      <c r="J422" s="54">
        <v>0</v>
      </c>
      <c r="K422" s="59"/>
    </row>
    <row r="423" spans="2:11" ht="15">
      <c r="B423" s="22"/>
      <c r="C423" s="23"/>
      <c r="D423" s="38"/>
      <c r="E423" s="25"/>
      <c r="F423" s="25"/>
      <c r="G423" s="26"/>
      <c r="H423" s="27"/>
      <c r="I423" s="27"/>
      <c r="J423" s="54">
        <v>0</v>
      </c>
      <c r="K423" s="59"/>
    </row>
    <row r="424" spans="2:11" ht="15">
      <c r="B424" s="22"/>
      <c r="C424" s="23"/>
      <c r="D424" s="38"/>
      <c r="E424" s="25"/>
      <c r="F424" s="25"/>
      <c r="G424" s="26"/>
      <c r="H424" s="27"/>
      <c r="I424" s="27"/>
      <c r="J424" s="54">
        <v>0</v>
      </c>
      <c r="K424" s="59"/>
    </row>
    <row r="425" spans="2:11" ht="15">
      <c r="B425" s="22"/>
      <c r="C425" s="23"/>
      <c r="D425" s="38"/>
      <c r="E425" s="25"/>
      <c r="F425" s="25"/>
      <c r="G425" s="26"/>
      <c r="H425" s="27"/>
      <c r="I425" s="27"/>
      <c r="J425" s="54">
        <v>0</v>
      </c>
      <c r="K425" s="59"/>
    </row>
    <row r="426" spans="2:11" ht="15">
      <c r="B426" s="22"/>
      <c r="C426" s="23"/>
      <c r="D426" s="38"/>
      <c r="E426" s="23"/>
      <c r="F426" s="25"/>
      <c r="G426" s="26"/>
      <c r="H426" s="27"/>
      <c r="I426" s="27"/>
      <c r="J426" s="54">
        <v>0</v>
      </c>
      <c r="K426" s="59"/>
    </row>
    <row r="427" spans="2:11" ht="15">
      <c r="B427" s="22"/>
      <c r="C427" s="23"/>
      <c r="D427" s="38"/>
      <c r="E427" s="23"/>
      <c r="F427" s="25"/>
      <c r="G427" s="26"/>
      <c r="H427" s="27"/>
      <c r="I427" s="27"/>
      <c r="J427" s="54">
        <v>0</v>
      </c>
      <c r="K427" s="59"/>
    </row>
    <row r="428" spans="2:11" ht="15">
      <c r="B428" s="22"/>
      <c r="C428" s="23"/>
      <c r="D428" s="38"/>
      <c r="E428" s="23"/>
      <c r="F428" s="25"/>
      <c r="G428" s="26"/>
      <c r="H428" s="27"/>
      <c r="I428" s="27"/>
      <c r="J428" s="54">
        <v>0</v>
      </c>
      <c r="K428" s="59"/>
    </row>
    <row r="429" spans="2:11" ht="15">
      <c r="B429" s="22"/>
      <c r="C429" s="23"/>
      <c r="D429" s="38"/>
      <c r="E429" s="25"/>
      <c r="F429" s="25"/>
      <c r="G429" s="26"/>
      <c r="H429" s="27"/>
      <c r="I429" s="27"/>
      <c r="J429" s="54">
        <v>0</v>
      </c>
      <c r="K429" s="59"/>
    </row>
    <row r="430" spans="2:11" ht="15">
      <c r="B430" s="22"/>
      <c r="C430" s="23"/>
      <c r="D430" s="38"/>
      <c r="E430" s="23"/>
      <c r="F430" s="25"/>
      <c r="G430" s="26"/>
      <c r="H430" s="27"/>
      <c r="I430" s="27"/>
      <c r="J430" s="54">
        <v>0</v>
      </c>
    </row>
    <row r="431" spans="2:11" ht="15">
      <c r="B431" s="22"/>
      <c r="C431" s="23"/>
      <c r="D431" s="38"/>
      <c r="E431" s="23"/>
      <c r="F431" s="25"/>
      <c r="G431" s="26"/>
      <c r="H431" s="27"/>
      <c r="I431" s="27"/>
      <c r="J431" s="54">
        <v>0</v>
      </c>
      <c r="K431" s="59"/>
    </row>
    <row r="432" spans="2:11" ht="15">
      <c r="B432" s="22"/>
      <c r="C432" s="23"/>
      <c r="D432" s="38"/>
      <c r="E432" s="23"/>
      <c r="F432" s="25"/>
      <c r="G432" s="26"/>
      <c r="H432" s="27"/>
      <c r="I432" s="27"/>
      <c r="J432" s="54">
        <v>0</v>
      </c>
      <c r="K432" s="59"/>
    </row>
    <row r="433" spans="2:11" ht="15">
      <c r="B433" s="22"/>
      <c r="C433" s="23"/>
      <c r="D433" s="38"/>
      <c r="E433" s="23"/>
      <c r="F433" s="25"/>
      <c r="G433" s="26"/>
      <c r="H433" s="27"/>
      <c r="I433" s="27"/>
      <c r="J433" s="54">
        <v>0</v>
      </c>
      <c r="K433" s="59"/>
    </row>
    <row r="434" spans="2:11" ht="15">
      <c r="B434" s="93"/>
      <c r="C434" s="23"/>
      <c r="D434" s="38"/>
      <c r="E434" s="23"/>
      <c r="F434" s="25"/>
      <c r="G434" s="26"/>
      <c r="H434" s="27"/>
      <c r="I434" s="27"/>
      <c r="J434" s="54">
        <v>0</v>
      </c>
      <c r="K434" s="59"/>
    </row>
    <row r="435" spans="2:11" ht="15">
      <c r="B435" s="93"/>
      <c r="C435" s="23"/>
      <c r="D435" s="38"/>
      <c r="E435" s="23"/>
      <c r="F435" s="25"/>
      <c r="G435" s="26"/>
      <c r="H435" s="27"/>
      <c r="I435" s="27"/>
      <c r="J435" s="54">
        <v>0</v>
      </c>
      <c r="K435" s="59"/>
    </row>
    <row r="436" spans="2:11" ht="15">
      <c r="B436" s="93"/>
      <c r="C436" s="23"/>
      <c r="D436" s="38"/>
      <c r="E436" s="23"/>
      <c r="F436" s="25"/>
      <c r="G436" s="26"/>
      <c r="H436" s="27"/>
      <c r="I436" s="27"/>
      <c r="J436" s="54">
        <v>0</v>
      </c>
    </row>
    <row r="437" spans="2:11" ht="15">
      <c r="B437" s="93"/>
      <c r="C437" s="23"/>
      <c r="D437" s="38"/>
      <c r="E437" s="23"/>
      <c r="F437" s="25"/>
      <c r="G437" s="26"/>
      <c r="H437" s="27"/>
      <c r="I437" s="27"/>
      <c r="J437" s="54">
        <v>0</v>
      </c>
    </row>
    <row r="438" spans="2:11" ht="15">
      <c r="B438" s="93"/>
      <c r="C438" s="23"/>
      <c r="D438" s="38"/>
      <c r="E438" s="25"/>
      <c r="F438" s="25"/>
      <c r="G438" s="26"/>
      <c r="H438" s="27"/>
      <c r="I438" s="27"/>
      <c r="J438" s="54">
        <v>0</v>
      </c>
    </row>
    <row r="439" spans="2:11" ht="15">
      <c r="B439" s="93"/>
      <c r="C439" s="23"/>
      <c r="D439" s="38"/>
      <c r="E439" s="25"/>
      <c r="F439" s="25"/>
      <c r="G439" s="26"/>
      <c r="H439" s="27"/>
      <c r="I439" s="27"/>
      <c r="J439" s="54">
        <v>0</v>
      </c>
    </row>
    <row r="440" spans="2:11" ht="15">
      <c r="B440" s="93"/>
      <c r="C440" s="23"/>
      <c r="D440" s="38"/>
      <c r="E440" s="25"/>
      <c r="F440" s="25"/>
      <c r="G440" s="26"/>
      <c r="H440" s="27"/>
      <c r="I440" s="27"/>
      <c r="J440" s="54">
        <v>0</v>
      </c>
    </row>
    <row r="441" spans="2:11" ht="15">
      <c r="B441" s="93"/>
      <c r="C441" s="23"/>
      <c r="D441" s="38"/>
      <c r="E441" s="23"/>
      <c r="F441" s="25"/>
      <c r="G441" s="26"/>
      <c r="H441" s="27"/>
      <c r="I441" s="27"/>
      <c r="J441" s="54">
        <v>0</v>
      </c>
      <c r="K441" s="59"/>
    </row>
    <row r="442" spans="2:11" ht="15">
      <c r="B442" s="93"/>
      <c r="C442" s="23"/>
      <c r="D442" s="23"/>
      <c r="E442" s="25"/>
      <c r="F442" s="25"/>
      <c r="G442" s="26"/>
      <c r="H442" s="27"/>
      <c r="I442" s="27"/>
      <c r="J442" s="54">
        <v>0</v>
      </c>
    </row>
    <row r="443" spans="2:11" ht="15">
      <c r="B443" s="93"/>
      <c r="C443" s="23"/>
      <c r="D443" s="38"/>
      <c r="E443" s="88"/>
      <c r="F443" s="25"/>
      <c r="G443" s="26"/>
      <c r="H443" s="27"/>
      <c r="I443" s="27"/>
      <c r="J443" s="54">
        <v>0</v>
      </c>
      <c r="K443" s="59"/>
    </row>
    <row r="444" spans="2:11" ht="15">
      <c r="B444" s="93"/>
      <c r="C444" s="23"/>
      <c r="D444" s="38"/>
      <c r="E444" s="25"/>
      <c r="F444" s="25"/>
      <c r="G444" s="26"/>
      <c r="H444" s="27"/>
      <c r="I444" s="27"/>
      <c r="J444" s="54">
        <v>0</v>
      </c>
    </row>
    <row r="445" spans="2:11" ht="15">
      <c r="B445" s="93"/>
      <c r="C445" s="23"/>
      <c r="D445" s="38"/>
      <c r="E445" s="25"/>
      <c r="F445" s="25"/>
      <c r="G445" s="26"/>
      <c r="H445" s="27"/>
      <c r="I445" s="27"/>
      <c r="J445" s="54">
        <v>0</v>
      </c>
    </row>
    <row r="446" spans="2:11" ht="15">
      <c r="B446" s="93"/>
      <c r="C446" s="23"/>
      <c r="D446" s="38"/>
      <c r="E446" s="25"/>
      <c r="F446" s="25"/>
      <c r="G446" s="26"/>
      <c r="H446" s="27"/>
      <c r="I446" s="27"/>
      <c r="J446" s="54">
        <v>0</v>
      </c>
    </row>
    <row r="447" spans="2:11" ht="15">
      <c r="B447" s="93"/>
      <c r="C447" s="23"/>
      <c r="D447" s="38"/>
      <c r="E447" s="25"/>
      <c r="F447" s="25"/>
      <c r="G447" s="26"/>
      <c r="H447" s="27"/>
      <c r="I447" s="27"/>
      <c r="J447" s="54">
        <v>0</v>
      </c>
    </row>
    <row r="448" spans="2:11" ht="15">
      <c r="B448" s="93"/>
      <c r="C448" s="25"/>
      <c r="D448" s="23"/>
      <c r="E448" s="25"/>
      <c r="F448" s="25"/>
      <c r="G448" s="26"/>
      <c r="H448" s="27"/>
      <c r="I448" s="27"/>
      <c r="J448" s="54">
        <v>0</v>
      </c>
    </row>
    <row r="449" spans="2:10" ht="15">
      <c r="B449" s="93"/>
      <c r="C449" s="25"/>
      <c r="D449" s="23"/>
      <c r="E449" s="25"/>
      <c r="F449" s="25"/>
      <c r="G449" s="26"/>
      <c r="H449" s="27"/>
      <c r="I449" s="27"/>
      <c r="J449" s="54">
        <v>0</v>
      </c>
    </row>
    <row r="450" spans="2:10" ht="15">
      <c r="B450" s="93"/>
      <c r="C450" s="25"/>
      <c r="D450" s="23"/>
      <c r="E450" s="25"/>
      <c r="F450" s="25"/>
      <c r="G450" s="26"/>
      <c r="H450" s="27"/>
      <c r="I450" s="27"/>
      <c r="J450" s="54">
        <f>+H450+I450</f>
        <v>0</v>
      </c>
    </row>
    <row r="451" spans="2:10" ht="15">
      <c r="B451" s="94"/>
      <c r="C451"/>
      <c r="D451" s="95"/>
      <c r="E451"/>
      <c r="F451"/>
      <c r="G451" s="96"/>
      <c r="H451" s="97">
        <f>SUM(H86:H450)</f>
        <v>0</v>
      </c>
      <c r="I451" s="97">
        <f>SUM(I86:I450)</f>
        <v>0</v>
      </c>
      <c r="J451" s="103">
        <f>SUM(J86:J450)</f>
        <v>0</v>
      </c>
    </row>
    <row r="452" spans="2:10">
      <c r="B452" s="98"/>
      <c r="C452" s="99"/>
      <c r="D452" s="100"/>
      <c r="E452" s="99"/>
      <c r="F452" s="99"/>
      <c r="G452" s="101"/>
      <c r="H452" s="102"/>
      <c r="I452" s="102"/>
      <c r="J452" s="104"/>
    </row>
  </sheetData>
  <mergeCells count="3">
    <mergeCell ref="B1:J1"/>
    <mergeCell ref="B3:J3"/>
    <mergeCell ref="C5:E5"/>
  </mergeCells>
  <pageMargins left="0.7" right="0.7" top="0.75" bottom="0.75" header="0.3" footer="0.3"/>
  <pageSetup paperSize="9" scale="74" fitToHeight="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M452"/>
  <sheetViews>
    <sheetView workbookViewId="0">
      <selection activeCell="F22" sqref="F22"/>
    </sheetView>
  </sheetViews>
  <sheetFormatPr defaultColWidth="8.5703125" defaultRowHeight="12.75"/>
  <cols>
    <col min="1" max="1" width="3.140625" style="2" customWidth="1"/>
    <col min="2" max="2" width="11.140625" style="3" customWidth="1"/>
    <col min="3" max="3" width="12.42578125" style="2" customWidth="1"/>
    <col min="4" max="4" width="27.5703125" style="4" customWidth="1"/>
    <col min="5" max="5" width="20.42578125" style="2" customWidth="1"/>
    <col min="6" max="6" width="20.5703125" style="2" customWidth="1"/>
    <col min="7" max="7" width="13.5703125" style="5" customWidth="1"/>
    <col min="8" max="10" width="15.42578125" style="6" customWidth="1"/>
    <col min="11" max="11" width="10" style="2" customWidth="1"/>
    <col min="12" max="12" width="23.42578125" style="2" customWidth="1"/>
    <col min="13" max="13" width="9.85546875" style="2" customWidth="1"/>
    <col min="14" max="16384" width="8.5703125" style="2"/>
  </cols>
  <sheetData>
    <row r="1" spans="2:13" ht="9" customHeight="1">
      <c r="B1" s="789"/>
      <c r="C1" s="789"/>
      <c r="D1" s="789"/>
      <c r="E1" s="789"/>
      <c r="F1" s="789"/>
      <c r="G1" s="789"/>
      <c r="H1" s="789"/>
      <c r="I1" s="789"/>
      <c r="J1" s="789"/>
    </row>
    <row r="2" spans="2:13" ht="9" customHeight="1">
      <c r="B2" s="8"/>
      <c r="C2" s="9"/>
      <c r="D2" s="10"/>
      <c r="E2" s="9"/>
      <c r="F2" s="9"/>
      <c r="G2" s="9"/>
      <c r="H2" s="11"/>
      <c r="I2" s="11"/>
      <c r="J2" s="49"/>
    </row>
    <row r="3" spans="2:13" s="1" customFormat="1" ht="18.75">
      <c r="B3" s="790" t="s">
        <v>13</v>
      </c>
      <c r="C3" s="791"/>
      <c r="D3" s="791"/>
      <c r="E3" s="791"/>
      <c r="F3" s="791"/>
      <c r="G3" s="791"/>
      <c r="H3" s="791"/>
      <c r="I3" s="791"/>
      <c r="J3" s="792"/>
    </row>
    <row r="4" spans="2:13" s="1" customFormat="1" ht="15.75">
      <c r="B4" s="12"/>
      <c r="C4" s="7"/>
      <c r="D4" s="13"/>
      <c r="E4" s="7"/>
      <c r="F4" s="7"/>
      <c r="G4" s="7"/>
      <c r="H4" s="14"/>
      <c r="I4" s="14"/>
      <c r="J4" s="50"/>
    </row>
    <row r="5" spans="2:13" s="1" customFormat="1" ht="15.75">
      <c r="B5" s="12" t="s">
        <v>10</v>
      </c>
      <c r="C5" s="793" t="s">
        <v>14</v>
      </c>
      <c r="D5" s="793"/>
      <c r="E5" s="793"/>
      <c r="G5" s="15"/>
      <c r="H5" s="16"/>
      <c r="I5" s="16"/>
      <c r="J5" s="51"/>
    </row>
    <row r="6" spans="2:13" ht="25.5">
      <c r="B6" s="17" t="s">
        <v>1</v>
      </c>
      <c r="C6" s="18" t="s">
        <v>15</v>
      </c>
      <c r="D6" s="19" t="s">
        <v>3</v>
      </c>
      <c r="E6" s="20" t="s">
        <v>4</v>
      </c>
      <c r="F6" s="19" t="s">
        <v>5</v>
      </c>
      <c r="G6" s="19" t="s">
        <v>16</v>
      </c>
      <c r="H6" s="21" t="s">
        <v>6</v>
      </c>
      <c r="I6" s="21" t="s">
        <v>7</v>
      </c>
      <c r="J6" s="52" t="s">
        <v>8</v>
      </c>
      <c r="L6" s="53" t="s">
        <v>5</v>
      </c>
    </row>
    <row r="7" spans="2:13" ht="15">
      <c r="B7" s="22"/>
      <c r="C7" s="23"/>
      <c r="D7" s="24"/>
      <c r="E7" s="23"/>
      <c r="F7" s="25"/>
      <c r="G7" s="26"/>
      <c r="H7" s="27"/>
      <c r="I7" s="27"/>
      <c r="J7" s="54">
        <v>0</v>
      </c>
      <c r="L7" s="55"/>
    </row>
    <row r="8" spans="2:13" ht="15">
      <c r="B8" s="28"/>
      <c r="C8" s="29"/>
      <c r="D8" s="30"/>
      <c r="E8" s="31"/>
      <c r="F8" s="32"/>
      <c r="G8" s="30"/>
      <c r="H8" s="33"/>
      <c r="I8" s="33"/>
      <c r="J8" s="56">
        <v>0</v>
      </c>
      <c r="L8" s="55" t="s">
        <v>17</v>
      </c>
    </row>
    <row r="9" spans="2:13" ht="15">
      <c r="B9" s="28"/>
      <c r="C9" s="29"/>
      <c r="D9" s="30"/>
      <c r="E9" s="31"/>
      <c r="F9" s="32"/>
      <c r="G9" s="30"/>
      <c r="H9" s="33"/>
      <c r="I9" s="33"/>
      <c r="J9" s="56">
        <v>0</v>
      </c>
      <c r="L9" s="55" t="s">
        <v>11</v>
      </c>
    </row>
    <row r="10" spans="2:13" ht="15">
      <c r="B10" s="34"/>
      <c r="C10" s="35"/>
      <c r="D10" s="35"/>
      <c r="E10" s="35"/>
      <c r="F10" s="23"/>
      <c r="G10" s="30"/>
      <c r="H10" s="36"/>
      <c r="I10" s="36"/>
      <c r="J10" s="56">
        <v>0</v>
      </c>
      <c r="K10" s="57"/>
      <c r="L10" s="55" t="s">
        <v>18</v>
      </c>
      <c r="M10" s="55"/>
    </row>
    <row r="11" spans="2:13" ht="15">
      <c r="B11" s="34"/>
      <c r="C11" s="35"/>
      <c r="D11" s="35"/>
      <c r="E11" s="35"/>
      <c r="F11" s="23"/>
      <c r="G11" s="30"/>
      <c r="H11" s="36"/>
      <c r="I11" s="36"/>
      <c r="J11" s="56">
        <v>0</v>
      </c>
      <c r="K11" s="58"/>
      <c r="L11" s="55" t="s">
        <v>12</v>
      </c>
      <c r="M11" s="55"/>
    </row>
    <row r="12" spans="2:13" ht="15">
      <c r="B12" s="37"/>
      <c r="C12" s="23"/>
      <c r="D12" s="38"/>
      <c r="E12" s="23"/>
      <c r="F12" s="23"/>
      <c r="G12" s="30"/>
      <c r="H12" s="39"/>
      <c r="I12" s="39"/>
      <c r="J12" s="56">
        <v>0</v>
      </c>
      <c r="K12" s="58"/>
      <c r="L12" s="55" t="s">
        <v>19</v>
      </c>
      <c r="M12" s="55"/>
    </row>
    <row r="13" spans="2:13" ht="15">
      <c r="B13" s="37"/>
      <c r="C13" s="23"/>
      <c r="D13" s="38"/>
      <c r="E13" s="23"/>
      <c r="F13" s="23"/>
      <c r="G13" s="30"/>
      <c r="H13" s="39"/>
      <c r="I13" s="39"/>
      <c r="J13" s="56">
        <v>0</v>
      </c>
      <c r="K13" s="59"/>
      <c r="L13" s="55" t="s">
        <v>20</v>
      </c>
    </row>
    <row r="14" spans="2:13" ht="15">
      <c r="B14" s="40"/>
      <c r="C14" s="24"/>
      <c r="D14" s="24"/>
      <c r="E14" s="24"/>
      <c r="F14" s="41"/>
      <c r="G14" s="30"/>
      <c r="H14" s="42"/>
      <c r="I14" s="42"/>
      <c r="J14" s="60">
        <v>0</v>
      </c>
      <c r="K14" s="59"/>
      <c r="L14" s="55" t="s">
        <v>21</v>
      </c>
    </row>
    <row r="15" spans="2:13" ht="15">
      <c r="B15" s="40"/>
      <c r="C15" s="24"/>
      <c r="D15" s="24"/>
      <c r="E15" s="24"/>
      <c r="F15" s="41"/>
      <c r="G15" s="30"/>
      <c r="H15" s="42"/>
      <c r="I15" s="42"/>
      <c r="J15" s="60">
        <v>0</v>
      </c>
      <c r="K15" s="59"/>
      <c r="L15" s="55" t="s">
        <v>22</v>
      </c>
    </row>
    <row r="16" spans="2:13" ht="15">
      <c r="B16" s="22"/>
      <c r="C16" s="23"/>
      <c r="D16" s="38"/>
      <c r="E16" s="23"/>
      <c r="F16" s="25"/>
      <c r="G16" s="30"/>
      <c r="H16" s="27"/>
      <c r="I16" s="27"/>
      <c r="J16" s="54">
        <v>0</v>
      </c>
      <c r="K16" s="59"/>
      <c r="L16" s="55" t="s">
        <v>23</v>
      </c>
    </row>
    <row r="17" spans="2:12" ht="15">
      <c r="B17" s="22"/>
      <c r="C17" s="23"/>
      <c r="D17" s="38"/>
      <c r="E17" s="23"/>
      <c r="F17" s="25"/>
      <c r="G17" s="30"/>
      <c r="H17" s="27"/>
      <c r="I17" s="27"/>
      <c r="J17" s="54">
        <v>0</v>
      </c>
      <c r="K17" s="59"/>
      <c r="L17" s="55" t="s">
        <v>24</v>
      </c>
    </row>
    <row r="18" spans="2:12" ht="15">
      <c r="B18" s="22"/>
      <c r="C18" s="23"/>
      <c r="D18" s="24"/>
      <c r="E18" s="23"/>
      <c r="F18" s="25"/>
      <c r="G18" s="30"/>
      <c r="H18" s="27"/>
      <c r="I18" s="27"/>
      <c r="J18" s="54">
        <v>0</v>
      </c>
      <c r="K18" s="59"/>
      <c r="L18" s="55" t="s">
        <v>25</v>
      </c>
    </row>
    <row r="19" spans="2:12" ht="15">
      <c r="B19" s="22"/>
      <c r="C19" s="23"/>
      <c r="D19" s="38"/>
      <c r="E19" s="23"/>
      <c r="F19" s="25"/>
      <c r="G19" s="30"/>
      <c r="H19" s="27"/>
      <c r="I19" s="27"/>
      <c r="J19" s="54">
        <v>0</v>
      </c>
      <c r="K19" s="59"/>
      <c r="L19" s="55" t="s">
        <v>31</v>
      </c>
    </row>
    <row r="20" spans="2:12" ht="15">
      <c r="B20" s="22"/>
      <c r="C20" s="23"/>
      <c r="D20" s="24"/>
      <c r="E20" s="23"/>
      <c r="F20" s="25"/>
      <c r="G20" s="30"/>
      <c r="H20" s="27"/>
      <c r="I20" s="27"/>
      <c r="J20" s="54">
        <v>0</v>
      </c>
      <c r="K20" s="59"/>
      <c r="L20" s="55"/>
    </row>
    <row r="21" spans="2:12" ht="15">
      <c r="B21" s="22"/>
      <c r="C21" s="23"/>
      <c r="D21" s="38"/>
      <c r="E21" s="23"/>
      <c r="F21" s="25"/>
      <c r="G21" s="30"/>
      <c r="H21" s="27"/>
      <c r="I21" s="27"/>
      <c r="J21" s="54">
        <v>0</v>
      </c>
      <c r="K21" s="59"/>
      <c r="L21" s="55"/>
    </row>
    <row r="22" spans="2:12" ht="15">
      <c r="B22" s="22"/>
      <c r="C22" s="23"/>
      <c r="D22" s="38"/>
      <c r="E22" s="23"/>
      <c r="F22" s="25"/>
      <c r="G22" s="30"/>
      <c r="H22" s="27"/>
      <c r="I22" s="27"/>
      <c r="J22" s="54">
        <v>0</v>
      </c>
      <c r="K22" s="59"/>
      <c r="L22" s="55"/>
    </row>
    <row r="23" spans="2:12" ht="15">
      <c r="B23" s="22"/>
      <c r="C23" s="23"/>
      <c r="D23" s="38"/>
      <c r="E23" s="23"/>
      <c r="F23" s="25"/>
      <c r="G23" s="30"/>
      <c r="H23" s="27"/>
      <c r="I23" s="27"/>
      <c r="J23" s="54">
        <v>0</v>
      </c>
      <c r="K23" s="59"/>
      <c r="L23" s="55"/>
    </row>
    <row r="24" spans="2:12" ht="15">
      <c r="B24" s="22"/>
      <c r="C24" s="23"/>
      <c r="D24" s="38"/>
      <c r="E24" s="23"/>
      <c r="F24" s="25"/>
      <c r="G24" s="30"/>
      <c r="H24" s="27"/>
      <c r="I24" s="27"/>
      <c r="J24" s="54">
        <v>0</v>
      </c>
      <c r="K24" s="59"/>
      <c r="L24" s="55"/>
    </row>
    <row r="25" spans="2:12" ht="15">
      <c r="B25" s="22"/>
      <c r="C25" s="23"/>
      <c r="D25" s="38"/>
      <c r="E25" s="23"/>
      <c r="F25" s="25"/>
      <c r="G25" s="30"/>
      <c r="H25" s="27"/>
      <c r="I25" s="27"/>
      <c r="J25" s="54">
        <v>0</v>
      </c>
      <c r="K25" s="59"/>
      <c r="L25" s="55"/>
    </row>
    <row r="26" spans="2:12" ht="15">
      <c r="B26" s="22"/>
      <c r="C26" s="23"/>
      <c r="D26" s="38"/>
      <c r="E26" s="23"/>
      <c r="F26" s="25"/>
      <c r="G26" s="30"/>
      <c r="H26" s="27"/>
      <c r="I26" s="27"/>
      <c r="J26" s="54">
        <v>0</v>
      </c>
      <c r="K26" s="59"/>
      <c r="L26" s="55"/>
    </row>
    <row r="27" spans="2:12" ht="15">
      <c r="B27" s="22"/>
      <c r="C27" s="23"/>
      <c r="D27" s="38"/>
      <c r="E27" s="23"/>
      <c r="F27" s="25"/>
      <c r="G27" s="30"/>
      <c r="H27" s="27"/>
      <c r="I27" s="27"/>
      <c r="J27" s="54">
        <v>0</v>
      </c>
      <c r="K27" s="59"/>
      <c r="L27" s="55"/>
    </row>
    <row r="28" spans="2:12" ht="15">
      <c r="B28" s="22"/>
      <c r="C28" s="23"/>
      <c r="D28" s="38"/>
      <c r="E28" s="23"/>
      <c r="F28" s="25"/>
      <c r="G28" s="30"/>
      <c r="H28" s="27"/>
      <c r="I28" s="27"/>
      <c r="J28" s="54">
        <v>0</v>
      </c>
      <c r="K28" s="59"/>
      <c r="L28" s="55"/>
    </row>
    <row r="29" spans="2:12" ht="15">
      <c r="B29" s="22"/>
      <c r="C29" s="23"/>
      <c r="D29" s="38"/>
      <c r="E29" s="23"/>
      <c r="F29" s="25"/>
      <c r="G29" s="30"/>
      <c r="H29" s="27"/>
      <c r="I29" s="27"/>
      <c r="J29" s="54">
        <v>0</v>
      </c>
      <c r="K29" s="59"/>
    </row>
    <row r="30" spans="2:12" ht="15">
      <c r="B30" s="43"/>
      <c r="C30" s="23"/>
      <c r="D30" s="38"/>
      <c r="E30" s="23"/>
      <c r="F30" s="23"/>
      <c r="G30" s="30"/>
      <c r="H30" s="39"/>
      <c r="I30" s="39"/>
      <c r="J30" s="61">
        <v>0</v>
      </c>
      <c r="K30" s="59"/>
    </row>
    <row r="31" spans="2:12" ht="15">
      <c r="B31" s="43"/>
      <c r="C31" s="23"/>
      <c r="D31" s="38"/>
      <c r="E31" s="23"/>
      <c r="F31" s="23"/>
      <c r="G31" s="30"/>
      <c r="H31" s="39"/>
      <c r="I31" s="39"/>
      <c r="J31" s="61">
        <v>0</v>
      </c>
      <c r="K31" s="59"/>
    </row>
    <row r="32" spans="2:12" ht="15">
      <c r="B32" s="43"/>
      <c r="C32" s="23"/>
      <c r="D32" s="38"/>
      <c r="E32" s="23"/>
      <c r="F32" s="23"/>
      <c r="G32" s="30"/>
      <c r="H32" s="39"/>
      <c r="I32" s="39"/>
      <c r="J32" s="61">
        <v>0</v>
      </c>
      <c r="K32" s="59"/>
    </row>
    <row r="33" spans="2:11" ht="15">
      <c r="B33" s="43"/>
      <c r="C33" s="23"/>
      <c r="D33" s="38"/>
      <c r="E33" s="23"/>
      <c r="F33" s="23"/>
      <c r="G33" s="30"/>
      <c r="H33" s="39"/>
      <c r="I33" s="39"/>
      <c r="J33" s="61">
        <v>0</v>
      </c>
      <c r="K33" s="59"/>
    </row>
    <row r="34" spans="2:11" ht="15">
      <c r="B34" s="43"/>
      <c r="C34" s="44"/>
      <c r="D34" s="44"/>
      <c r="E34" s="23"/>
      <c r="F34" s="44"/>
      <c r="G34" s="30"/>
      <c r="H34" s="45"/>
      <c r="I34" s="39"/>
      <c r="J34" s="61">
        <v>0</v>
      </c>
      <c r="K34" s="59"/>
    </row>
    <row r="35" spans="2:11" ht="15">
      <c r="B35" s="43"/>
      <c r="C35" s="44"/>
      <c r="D35" s="44"/>
      <c r="E35" s="23"/>
      <c r="F35" s="44"/>
      <c r="G35" s="30"/>
      <c r="H35" s="45"/>
      <c r="I35" s="39"/>
      <c r="J35" s="61">
        <v>0</v>
      </c>
      <c r="K35" s="59"/>
    </row>
    <row r="36" spans="2:11" ht="15">
      <c r="B36" s="43"/>
      <c r="C36" s="44"/>
      <c r="D36" s="44"/>
      <c r="E36" s="23"/>
      <c r="F36" s="44"/>
      <c r="G36" s="30"/>
      <c r="H36" s="45"/>
      <c r="I36" s="39"/>
      <c r="J36" s="61">
        <v>0</v>
      </c>
      <c r="K36" s="59"/>
    </row>
    <row r="37" spans="2:11" ht="15">
      <c r="B37" s="43"/>
      <c r="C37" s="44"/>
      <c r="D37" s="44"/>
      <c r="E37" s="23"/>
      <c r="F37" s="44"/>
      <c r="G37" s="30"/>
      <c r="H37" s="45"/>
      <c r="I37" s="39"/>
      <c r="J37" s="61">
        <v>0</v>
      </c>
      <c r="K37" s="59"/>
    </row>
    <row r="38" spans="2:11" ht="15">
      <c r="B38" s="43"/>
      <c r="C38" s="44"/>
      <c r="D38" s="44"/>
      <c r="E38" s="23"/>
      <c r="F38" s="44"/>
      <c r="G38" s="30"/>
      <c r="H38" s="45"/>
      <c r="I38" s="39"/>
      <c r="J38" s="61">
        <v>0</v>
      </c>
      <c r="K38" s="59"/>
    </row>
    <row r="39" spans="2:11" ht="15">
      <c r="B39" s="43"/>
      <c r="C39" s="44"/>
      <c r="D39" s="44"/>
      <c r="E39" s="23"/>
      <c r="F39" s="44"/>
      <c r="G39" s="30"/>
      <c r="H39" s="45"/>
      <c r="I39" s="39"/>
      <c r="J39" s="61">
        <v>0</v>
      </c>
      <c r="K39" s="59"/>
    </row>
    <row r="40" spans="2:11" ht="15">
      <c r="B40" s="43"/>
      <c r="C40" s="23"/>
      <c r="D40" s="38"/>
      <c r="E40" s="23"/>
      <c r="F40" s="23"/>
      <c r="G40" s="30"/>
      <c r="H40" s="39"/>
      <c r="I40" s="39"/>
      <c r="J40" s="61">
        <v>0</v>
      </c>
      <c r="K40" s="59"/>
    </row>
    <row r="41" spans="2:11" ht="15">
      <c r="B41" s="37"/>
      <c r="C41" s="44"/>
      <c r="D41" s="44"/>
      <c r="E41" s="44"/>
      <c r="F41" s="44"/>
      <c r="G41" s="30"/>
      <c r="H41" s="46"/>
      <c r="I41" s="39"/>
      <c r="J41" s="56">
        <v>0</v>
      </c>
      <c r="K41" s="59"/>
    </row>
    <row r="42" spans="2:11" customFormat="1" ht="15">
      <c r="B42" s="43"/>
      <c r="C42" s="23"/>
      <c r="D42" s="23"/>
      <c r="E42" s="23"/>
      <c r="F42" s="23"/>
      <c r="G42" s="30"/>
      <c r="H42" s="47"/>
      <c r="I42" s="47"/>
      <c r="J42" s="56">
        <v>0</v>
      </c>
    </row>
    <row r="43" spans="2:11" ht="15">
      <c r="B43" s="43"/>
      <c r="C43" s="44"/>
      <c r="D43" s="44"/>
      <c r="E43" s="23"/>
      <c r="F43" s="44"/>
      <c r="G43" s="30"/>
      <c r="H43" s="45"/>
      <c r="I43" s="39"/>
      <c r="J43" s="61">
        <v>0</v>
      </c>
      <c r="K43" s="59"/>
    </row>
    <row r="44" spans="2:11" ht="15">
      <c r="B44" s="37"/>
      <c r="C44" s="44"/>
      <c r="D44" s="44"/>
      <c r="E44" s="23"/>
      <c r="F44" s="44"/>
      <c r="G44" s="30"/>
      <c r="H44" s="46"/>
      <c r="I44" s="39"/>
      <c r="J44" s="56">
        <v>0</v>
      </c>
      <c r="K44" s="59"/>
    </row>
    <row r="45" spans="2:11" ht="15">
      <c r="B45" s="37"/>
      <c r="C45" s="44"/>
      <c r="D45" s="44"/>
      <c r="E45" s="23"/>
      <c r="F45" s="44"/>
      <c r="G45" s="30"/>
      <c r="H45" s="46"/>
      <c r="I45" s="39"/>
      <c r="J45" s="56">
        <v>0</v>
      </c>
      <c r="K45" s="59"/>
    </row>
    <row r="46" spans="2:11" ht="15">
      <c r="B46" s="37"/>
      <c r="C46" s="44"/>
      <c r="D46" s="44"/>
      <c r="E46" s="23"/>
      <c r="F46" s="44"/>
      <c r="G46" s="44"/>
      <c r="H46" s="46"/>
      <c r="I46" s="39"/>
      <c r="J46" s="56">
        <v>0</v>
      </c>
      <c r="K46" s="59"/>
    </row>
    <row r="47" spans="2:11" ht="15">
      <c r="B47" s="37"/>
      <c r="C47" s="44"/>
      <c r="D47" s="44"/>
      <c r="E47" s="23"/>
      <c r="F47" s="44"/>
      <c r="G47" s="44"/>
      <c r="H47" s="46"/>
      <c r="I47" s="39"/>
      <c r="J47" s="56">
        <v>0</v>
      </c>
      <c r="K47" s="59"/>
    </row>
    <row r="48" spans="2:11" ht="15">
      <c r="B48" s="37"/>
      <c r="C48" s="44"/>
      <c r="D48" s="44"/>
      <c r="E48" s="23"/>
      <c r="F48" s="44"/>
      <c r="G48" s="44"/>
      <c r="H48" s="46"/>
      <c r="I48" s="39"/>
      <c r="J48" s="56">
        <v>0</v>
      </c>
      <c r="K48" s="59"/>
    </row>
    <row r="49" spans="2:11" ht="15">
      <c r="B49" s="37"/>
      <c r="C49" s="44"/>
      <c r="D49" s="44"/>
      <c r="E49" s="23"/>
      <c r="F49" s="44"/>
      <c r="G49" s="44"/>
      <c r="H49" s="46"/>
      <c r="I49" s="39"/>
      <c r="J49" s="56">
        <v>0</v>
      </c>
      <c r="K49" s="59"/>
    </row>
    <row r="50" spans="2:11" ht="15">
      <c r="B50" s="37"/>
      <c r="C50" s="44"/>
      <c r="D50" s="44"/>
      <c r="E50" s="23"/>
      <c r="F50" s="44"/>
      <c r="G50" s="44"/>
      <c r="H50" s="46"/>
      <c r="I50" s="39"/>
      <c r="J50" s="56">
        <v>0</v>
      </c>
      <c r="K50" s="59"/>
    </row>
    <row r="51" spans="2:11" ht="15">
      <c r="B51" s="37"/>
      <c r="C51" s="44"/>
      <c r="D51" s="44"/>
      <c r="E51" s="23"/>
      <c r="F51" s="44"/>
      <c r="G51" s="44"/>
      <c r="H51" s="46"/>
      <c r="I51" s="39"/>
      <c r="J51" s="56">
        <v>0</v>
      </c>
      <c r="K51" s="59"/>
    </row>
    <row r="52" spans="2:11" ht="15">
      <c r="B52" s="37"/>
      <c r="C52" s="44"/>
      <c r="D52" s="44"/>
      <c r="E52" s="23"/>
      <c r="F52" s="44"/>
      <c r="G52" s="44"/>
      <c r="H52" s="46"/>
      <c r="I52" s="39"/>
      <c r="J52" s="56">
        <v>0</v>
      </c>
      <c r="K52" s="59"/>
    </row>
    <row r="53" spans="2:11" ht="15">
      <c r="B53" s="37"/>
      <c r="C53" s="44"/>
      <c r="D53" s="44"/>
      <c r="E53" s="23"/>
      <c r="F53" s="44"/>
      <c r="G53" s="44"/>
      <c r="H53" s="46"/>
      <c r="I53" s="39"/>
      <c r="J53" s="56">
        <v>0</v>
      </c>
      <c r="K53" s="59"/>
    </row>
    <row r="54" spans="2:11" ht="15">
      <c r="B54" s="37"/>
      <c r="C54" s="44"/>
      <c r="D54" s="44"/>
      <c r="E54" s="23"/>
      <c r="F54" s="44"/>
      <c r="G54" s="44"/>
      <c r="H54" s="46"/>
      <c r="I54" s="39"/>
      <c r="J54" s="56">
        <v>0</v>
      </c>
      <c r="K54" s="59"/>
    </row>
    <row r="55" spans="2:11" ht="15">
      <c r="B55" s="37"/>
      <c r="C55" s="44"/>
      <c r="D55" s="44"/>
      <c r="E55" s="23"/>
      <c r="F55" s="44"/>
      <c r="G55" s="44"/>
      <c r="H55" s="46"/>
      <c r="I55" s="39"/>
      <c r="J55" s="56">
        <v>0</v>
      </c>
      <c r="K55" s="59"/>
    </row>
    <row r="56" spans="2:11" ht="15">
      <c r="B56" s="37"/>
      <c r="C56" s="44"/>
      <c r="D56" s="44"/>
      <c r="E56" s="23"/>
      <c r="F56" s="44"/>
      <c r="G56" s="44"/>
      <c r="H56" s="46"/>
      <c r="I56" s="39"/>
      <c r="J56" s="56">
        <v>0</v>
      </c>
      <c r="K56" s="59"/>
    </row>
    <row r="57" spans="2:11" ht="15">
      <c r="B57" s="37"/>
      <c r="C57" s="44"/>
      <c r="D57" s="44"/>
      <c r="E57" s="23"/>
      <c r="F57" s="44"/>
      <c r="G57" s="44"/>
      <c r="H57" s="46"/>
      <c r="I57" s="39"/>
      <c r="J57" s="56">
        <v>0</v>
      </c>
      <c r="K57" s="59"/>
    </row>
    <row r="58" spans="2:11" ht="15">
      <c r="B58" s="37"/>
      <c r="C58" s="44"/>
      <c r="D58" s="44"/>
      <c r="E58" s="44"/>
      <c r="F58" s="44"/>
      <c r="G58" s="45"/>
      <c r="H58" s="46"/>
      <c r="I58" s="39"/>
      <c r="J58" s="56">
        <v>0</v>
      </c>
      <c r="K58" s="59"/>
    </row>
    <row r="59" spans="2:11" ht="15">
      <c r="B59" s="37"/>
      <c r="C59" s="44"/>
      <c r="D59" s="44"/>
      <c r="E59" s="23"/>
      <c r="F59" s="44"/>
      <c r="G59" s="45"/>
      <c r="H59" s="46"/>
      <c r="I59" s="39"/>
      <c r="J59" s="56">
        <v>0</v>
      </c>
      <c r="K59" s="59"/>
    </row>
    <row r="60" spans="2:11" ht="15">
      <c r="B60" s="37"/>
      <c r="C60" s="44"/>
      <c r="D60" s="44"/>
      <c r="E60" s="23"/>
      <c r="F60" s="44"/>
      <c r="G60" s="44"/>
      <c r="H60" s="46"/>
      <c r="I60" s="39"/>
      <c r="J60" s="56">
        <v>0</v>
      </c>
      <c r="K60" s="59"/>
    </row>
    <row r="61" spans="2:11" ht="15">
      <c r="B61" s="37"/>
      <c r="C61" s="44"/>
      <c r="D61" s="44"/>
      <c r="E61" s="23"/>
      <c r="F61" s="44"/>
      <c r="G61" s="44"/>
      <c r="H61" s="46"/>
      <c r="I61" s="39"/>
      <c r="J61" s="56">
        <v>0</v>
      </c>
      <c r="K61" s="59"/>
    </row>
    <row r="62" spans="2:11" ht="15">
      <c r="B62" s="37"/>
      <c r="C62" s="44"/>
      <c r="D62" s="44"/>
      <c r="E62" s="23"/>
      <c r="F62" s="48"/>
      <c r="G62" s="23"/>
      <c r="H62" s="46"/>
      <c r="I62" s="39"/>
      <c r="J62" s="56">
        <v>0</v>
      </c>
      <c r="K62" s="59"/>
    </row>
    <row r="63" spans="2:11" ht="15">
      <c r="B63" s="37"/>
      <c r="C63" s="44"/>
      <c r="D63" s="44"/>
      <c r="E63" s="23"/>
      <c r="F63" s="44"/>
      <c r="G63" s="44"/>
      <c r="H63" s="46"/>
      <c r="I63" s="39"/>
      <c r="J63" s="56">
        <v>0</v>
      </c>
      <c r="K63" s="59"/>
    </row>
    <row r="64" spans="2:11" ht="15">
      <c r="B64" s="37"/>
      <c r="C64" s="44"/>
      <c r="D64" s="44"/>
      <c r="E64" s="23"/>
      <c r="F64" s="44"/>
      <c r="G64" s="44"/>
      <c r="H64" s="46"/>
      <c r="I64" s="39"/>
      <c r="J64" s="56">
        <v>0</v>
      </c>
      <c r="K64" s="59"/>
    </row>
    <row r="65" spans="2:11" ht="15">
      <c r="B65" s="37"/>
      <c r="C65" s="44"/>
      <c r="D65" s="44"/>
      <c r="E65" s="23"/>
      <c r="F65" s="44"/>
      <c r="G65" s="44"/>
      <c r="H65" s="46"/>
      <c r="I65" s="39"/>
      <c r="J65" s="56">
        <v>0</v>
      </c>
      <c r="K65" s="59"/>
    </row>
    <row r="66" spans="2:11" ht="15">
      <c r="B66" s="37"/>
      <c r="C66" s="44"/>
      <c r="D66" s="44"/>
      <c r="E66" s="23"/>
      <c r="F66" s="44"/>
      <c r="G66" s="44"/>
      <c r="H66" s="46"/>
      <c r="I66" s="39"/>
      <c r="J66" s="56">
        <v>0</v>
      </c>
      <c r="K66" s="59"/>
    </row>
    <row r="67" spans="2:11" ht="15">
      <c r="B67" s="37"/>
      <c r="C67" s="44"/>
      <c r="D67" s="44"/>
      <c r="E67" s="23"/>
      <c r="F67" s="44"/>
      <c r="G67" s="44"/>
      <c r="H67" s="46"/>
      <c r="I67" s="39"/>
      <c r="J67" s="56">
        <v>0</v>
      </c>
      <c r="K67" s="59"/>
    </row>
    <row r="68" spans="2:11" ht="15">
      <c r="B68" s="37"/>
      <c r="C68" s="44"/>
      <c r="D68" s="44"/>
      <c r="E68" s="23"/>
      <c r="F68" s="44"/>
      <c r="G68" s="44"/>
      <c r="H68" s="46"/>
      <c r="I68" s="39"/>
      <c r="J68" s="56">
        <v>0</v>
      </c>
      <c r="K68" s="59"/>
    </row>
    <row r="69" spans="2:11" ht="15">
      <c r="B69" s="37"/>
      <c r="C69" s="44"/>
      <c r="D69" s="44"/>
      <c r="E69" s="23"/>
      <c r="F69" s="44"/>
      <c r="G69" s="44"/>
      <c r="H69" s="46"/>
      <c r="I69" s="39"/>
      <c r="J69" s="56">
        <v>0</v>
      </c>
      <c r="K69" s="59"/>
    </row>
    <row r="70" spans="2:11" ht="15">
      <c r="B70" s="37"/>
      <c r="C70" s="44"/>
      <c r="D70" s="44"/>
      <c r="E70" s="23"/>
      <c r="F70" s="44"/>
      <c r="G70" s="44"/>
      <c r="H70" s="46"/>
      <c r="I70" s="39"/>
      <c r="J70" s="56">
        <v>0</v>
      </c>
      <c r="K70" s="59"/>
    </row>
    <row r="71" spans="2:11" ht="15">
      <c r="B71" s="37"/>
      <c r="C71" s="44"/>
      <c r="D71" s="44"/>
      <c r="E71" s="23"/>
      <c r="F71" s="44"/>
      <c r="G71" s="44"/>
      <c r="H71" s="46"/>
      <c r="I71" s="39"/>
      <c r="J71" s="56">
        <v>0</v>
      </c>
      <c r="K71" s="59"/>
    </row>
    <row r="72" spans="2:11" ht="15">
      <c r="B72" s="37"/>
      <c r="C72" s="44"/>
      <c r="D72" s="44"/>
      <c r="E72" s="23"/>
      <c r="F72" s="44"/>
      <c r="G72" s="44"/>
      <c r="H72" s="46"/>
      <c r="I72" s="39"/>
      <c r="J72" s="56">
        <v>0</v>
      </c>
      <c r="K72" s="59"/>
    </row>
    <row r="73" spans="2:11" ht="15">
      <c r="B73" s="37"/>
      <c r="C73" s="44"/>
      <c r="D73" s="44"/>
      <c r="E73" s="23"/>
      <c r="F73" s="44"/>
      <c r="G73" s="44"/>
      <c r="H73" s="46"/>
      <c r="I73" s="39"/>
      <c r="J73" s="56">
        <v>0</v>
      </c>
      <c r="K73" s="59"/>
    </row>
    <row r="74" spans="2:11" ht="15">
      <c r="B74" s="37"/>
      <c r="C74" s="44"/>
      <c r="D74" s="44"/>
      <c r="E74" s="44"/>
      <c r="F74" s="44"/>
      <c r="G74" s="44"/>
      <c r="H74" s="46"/>
      <c r="I74" s="39"/>
      <c r="J74" s="56">
        <v>0</v>
      </c>
      <c r="K74" s="59"/>
    </row>
    <row r="75" spans="2:11" ht="15">
      <c r="B75" s="37"/>
      <c r="C75" s="44"/>
      <c r="D75" s="44"/>
      <c r="E75" s="23"/>
      <c r="F75" s="44"/>
      <c r="G75" s="44"/>
      <c r="H75" s="46"/>
      <c r="I75" s="39"/>
      <c r="J75" s="56">
        <v>0</v>
      </c>
      <c r="K75" s="59"/>
    </row>
    <row r="76" spans="2:11" ht="15">
      <c r="B76" s="37"/>
      <c r="C76" s="44"/>
      <c r="D76" s="62"/>
      <c r="E76" s="62"/>
      <c r="F76" s="62"/>
      <c r="G76" s="62"/>
      <c r="H76" s="63"/>
      <c r="I76" s="73"/>
      <c r="J76" s="56">
        <v>0</v>
      </c>
      <c r="K76" s="59"/>
    </row>
    <row r="77" spans="2:11" ht="15">
      <c r="B77" s="64"/>
      <c r="C77" s="62"/>
      <c r="D77" s="62"/>
      <c r="E77" s="65"/>
      <c r="F77" s="62"/>
      <c r="G77" s="62"/>
      <c r="H77" s="63"/>
      <c r="I77" s="73"/>
      <c r="J77" s="56">
        <v>0</v>
      </c>
      <c r="K77" s="59"/>
    </row>
    <row r="78" spans="2:11" ht="15">
      <c r="B78" s="64"/>
      <c r="C78" s="62"/>
      <c r="D78" s="62"/>
      <c r="E78" s="65"/>
      <c r="F78" s="62"/>
      <c r="G78" s="62"/>
      <c r="H78" s="63"/>
      <c r="I78" s="73"/>
      <c r="J78" s="56">
        <v>0</v>
      </c>
      <c r="K78" s="59"/>
    </row>
    <row r="79" spans="2:11" ht="15">
      <c r="B79" s="37"/>
      <c r="C79" s="44"/>
      <c r="D79" s="44"/>
      <c r="E79" s="44"/>
      <c r="F79" s="44"/>
      <c r="G79" s="44"/>
      <c r="H79" s="46"/>
      <c r="I79" s="39"/>
      <c r="J79" s="56">
        <v>0</v>
      </c>
      <c r="K79" s="59"/>
    </row>
    <row r="80" spans="2:11" ht="15">
      <c r="B80" s="37"/>
      <c r="C80" s="44"/>
      <c r="D80" s="44"/>
      <c r="E80" s="23"/>
      <c r="F80" s="44"/>
      <c r="G80" s="44"/>
      <c r="H80" s="46"/>
      <c r="I80" s="39"/>
      <c r="J80" s="56">
        <v>0</v>
      </c>
      <c r="K80" s="59"/>
    </row>
    <row r="81" spans="2:11" ht="15">
      <c r="B81" s="37"/>
      <c r="C81" s="44"/>
      <c r="D81" s="44"/>
      <c r="E81" s="23"/>
      <c r="F81" s="44"/>
      <c r="G81" s="44"/>
      <c r="H81" s="46"/>
      <c r="I81" s="39"/>
      <c r="J81" s="56">
        <v>0</v>
      </c>
      <c r="K81" s="59"/>
    </row>
    <row r="82" spans="2:11" ht="15">
      <c r="B82" s="37"/>
      <c r="C82" s="44"/>
      <c r="D82" s="44"/>
      <c r="E82" s="23"/>
      <c r="F82" s="44"/>
      <c r="G82" s="44"/>
      <c r="H82" s="46"/>
      <c r="I82" s="39"/>
      <c r="J82" s="56">
        <v>0</v>
      </c>
      <c r="K82" s="59"/>
    </row>
    <row r="83" spans="2:11" ht="15">
      <c r="B83" s="37"/>
      <c r="C83" s="44"/>
      <c r="D83" s="44"/>
      <c r="E83" s="23"/>
      <c r="F83" s="44"/>
      <c r="G83" s="44"/>
      <c r="H83" s="46"/>
      <c r="I83" s="39"/>
      <c r="J83" s="56">
        <v>0</v>
      </c>
      <c r="K83" s="59"/>
    </row>
    <row r="84" spans="2:11" ht="15">
      <c r="B84" s="37"/>
      <c r="C84" s="44"/>
      <c r="D84" s="44"/>
      <c r="E84" s="44"/>
      <c r="F84" s="44"/>
      <c r="G84" s="44"/>
      <c r="H84" s="46"/>
      <c r="I84" s="39"/>
      <c r="J84" s="56">
        <v>0</v>
      </c>
      <c r="K84" s="59"/>
    </row>
    <row r="85" spans="2:11" ht="15">
      <c r="B85" s="37"/>
      <c r="C85" s="44"/>
      <c r="D85" s="44"/>
      <c r="E85" s="44"/>
      <c r="F85" s="44"/>
      <c r="G85" s="44"/>
      <c r="H85" s="46"/>
      <c r="I85" s="39"/>
      <c r="J85" s="56">
        <v>0</v>
      </c>
      <c r="K85" s="59"/>
    </row>
    <row r="86" spans="2:11" ht="15">
      <c r="B86" s="37"/>
      <c r="C86" s="44"/>
      <c r="D86" s="44"/>
      <c r="E86" s="23"/>
      <c r="F86" s="44"/>
      <c r="G86" s="44"/>
      <c r="H86" s="46"/>
      <c r="I86" s="39"/>
      <c r="J86" s="56">
        <v>0</v>
      </c>
      <c r="K86" s="59"/>
    </row>
    <row r="87" spans="2:11" ht="15">
      <c r="B87" s="37"/>
      <c r="C87" s="44"/>
      <c r="D87" s="44"/>
      <c r="E87" s="23"/>
      <c r="F87" s="44"/>
      <c r="G87" s="44"/>
      <c r="H87" s="46"/>
      <c r="I87" s="39"/>
      <c r="J87" s="56">
        <v>0</v>
      </c>
      <c r="K87" s="59"/>
    </row>
    <row r="88" spans="2:11" ht="15">
      <c r="B88" s="37"/>
      <c r="C88" s="44"/>
      <c r="D88" s="44"/>
      <c r="E88" s="23"/>
      <c r="F88" s="44"/>
      <c r="G88" s="44"/>
      <c r="H88" s="46"/>
      <c r="I88" s="39"/>
      <c r="J88" s="56">
        <v>0</v>
      </c>
      <c r="K88" s="59"/>
    </row>
    <row r="89" spans="2:11" ht="15">
      <c r="B89" s="37"/>
      <c r="C89" s="44"/>
      <c r="D89" s="44"/>
      <c r="E89" s="23"/>
      <c r="F89" s="44"/>
      <c r="G89" s="44"/>
      <c r="H89" s="46"/>
      <c r="I89" s="39"/>
      <c r="J89" s="56">
        <v>0</v>
      </c>
      <c r="K89" s="59"/>
    </row>
    <row r="90" spans="2:11" ht="15">
      <c r="B90" s="37"/>
      <c r="C90" s="44"/>
      <c r="D90" s="44"/>
      <c r="E90" s="23"/>
      <c r="F90" s="44"/>
      <c r="G90" s="44"/>
      <c r="H90" s="46"/>
      <c r="I90" s="39"/>
      <c r="J90" s="56">
        <v>0</v>
      </c>
      <c r="K90" s="59"/>
    </row>
    <row r="91" spans="2:11" ht="15">
      <c r="B91" s="37"/>
      <c r="C91" s="44"/>
      <c r="D91" s="44"/>
      <c r="E91" s="23"/>
      <c r="F91" s="44"/>
      <c r="G91" s="44"/>
      <c r="H91" s="46"/>
      <c r="I91" s="39"/>
      <c r="J91" s="56">
        <v>0</v>
      </c>
      <c r="K91" s="59"/>
    </row>
    <row r="92" spans="2:11" ht="15">
      <c r="B92" s="37"/>
      <c r="C92" s="44"/>
      <c r="D92" s="44"/>
      <c r="E92" s="23"/>
      <c r="F92" s="44"/>
      <c r="G92" s="44"/>
      <c r="H92" s="46"/>
      <c r="I92" s="39"/>
      <c r="J92" s="56">
        <v>0</v>
      </c>
      <c r="K92" s="59"/>
    </row>
    <row r="93" spans="2:11" ht="15">
      <c r="B93" s="37"/>
      <c r="C93" s="44"/>
      <c r="D93" s="44"/>
      <c r="E93" s="23"/>
      <c r="F93" s="44"/>
      <c r="G93" s="44"/>
      <c r="H93" s="46"/>
      <c r="I93" s="39"/>
      <c r="J93" s="56">
        <v>0</v>
      </c>
      <c r="K93" s="59"/>
    </row>
    <row r="94" spans="2:11" ht="15">
      <c r="B94" s="37"/>
      <c r="C94" s="44"/>
      <c r="D94" s="44"/>
      <c r="E94" s="23"/>
      <c r="F94" s="44"/>
      <c r="G94" s="44"/>
      <c r="H94" s="46"/>
      <c r="I94" s="39"/>
      <c r="J94" s="56">
        <v>0</v>
      </c>
      <c r="K94" s="59"/>
    </row>
    <row r="95" spans="2:11" ht="15">
      <c r="B95" s="64"/>
      <c r="C95" s="62"/>
      <c r="D95" s="62"/>
      <c r="E95" s="62"/>
      <c r="F95" s="62"/>
      <c r="G95" s="62"/>
      <c r="H95" s="63"/>
      <c r="I95" s="73"/>
      <c r="J95" s="56">
        <v>0</v>
      </c>
      <c r="K95" s="59"/>
    </row>
    <row r="96" spans="2:11" ht="15">
      <c r="B96" s="66"/>
      <c r="C96" s="67"/>
      <c r="D96" s="68"/>
      <c r="E96" s="67"/>
      <c r="F96" s="69"/>
      <c r="G96" s="67"/>
      <c r="H96" s="67"/>
      <c r="I96" s="74"/>
      <c r="J96" s="56">
        <v>0</v>
      </c>
      <c r="K96" s="59"/>
    </row>
    <row r="97" spans="2:13" ht="15">
      <c r="B97" s="66"/>
      <c r="C97" s="67"/>
      <c r="D97" s="68"/>
      <c r="E97" s="67"/>
      <c r="F97" s="69"/>
      <c r="G97" s="67"/>
      <c r="H97" s="67"/>
      <c r="I97" s="74"/>
      <c r="J97" s="56">
        <v>0</v>
      </c>
      <c r="K97" s="59"/>
    </row>
    <row r="98" spans="2:13" ht="15">
      <c r="B98" s="64"/>
      <c r="C98" s="62"/>
      <c r="D98" s="62"/>
      <c r="E98" s="65"/>
      <c r="F98" s="62"/>
      <c r="G98" s="62"/>
      <c r="H98" s="63"/>
      <c r="I98" s="73"/>
      <c r="J98" s="56">
        <v>0</v>
      </c>
      <c r="K98" s="59"/>
    </row>
    <row r="99" spans="2:13" ht="15">
      <c r="B99" s="64"/>
      <c r="C99" s="62"/>
      <c r="D99" s="62"/>
      <c r="E99" s="65"/>
      <c r="F99" s="62"/>
      <c r="G99" s="62"/>
      <c r="H99" s="63"/>
      <c r="I99" s="73"/>
      <c r="J99" s="56">
        <v>0</v>
      </c>
      <c r="K99" s="59"/>
    </row>
    <row r="100" spans="2:13" ht="15">
      <c r="B100" s="64"/>
      <c r="C100" s="62"/>
      <c r="D100" s="62"/>
      <c r="E100" s="65"/>
      <c r="F100" s="62"/>
      <c r="G100" s="62"/>
      <c r="H100" s="63"/>
      <c r="I100" s="73"/>
      <c r="J100" s="56">
        <v>0</v>
      </c>
      <c r="K100" s="59"/>
    </row>
    <row r="101" spans="2:13" ht="15">
      <c r="B101" s="64"/>
      <c r="C101" s="62"/>
      <c r="D101" s="62"/>
      <c r="E101" s="65"/>
      <c r="F101" s="62"/>
      <c r="G101" s="62"/>
      <c r="H101" s="63"/>
      <c r="I101" s="73"/>
      <c r="J101" s="56">
        <v>0</v>
      </c>
      <c r="K101" s="59"/>
    </row>
    <row r="102" spans="2:13" ht="15">
      <c r="B102" s="37"/>
      <c r="C102" s="44"/>
      <c r="D102" s="44"/>
      <c r="E102" s="23"/>
      <c r="F102" s="44"/>
      <c r="G102" s="44"/>
      <c r="H102" s="46"/>
      <c r="I102" s="39"/>
      <c r="J102" s="56">
        <v>0</v>
      </c>
      <c r="K102" s="75"/>
      <c r="M102" s="76"/>
    </row>
    <row r="103" spans="2:13" ht="15">
      <c r="B103" s="37"/>
      <c r="C103" s="44"/>
      <c r="D103" s="44"/>
      <c r="E103" s="23"/>
      <c r="F103" s="44"/>
      <c r="G103" s="44"/>
      <c r="H103" s="46"/>
      <c r="I103" s="39"/>
      <c r="J103" s="56">
        <v>0</v>
      </c>
      <c r="K103" s="75"/>
      <c r="M103" s="76"/>
    </row>
    <row r="104" spans="2:13" ht="15">
      <c r="B104" s="37"/>
      <c r="C104" s="44"/>
      <c r="D104" s="44"/>
      <c r="E104" s="23"/>
      <c r="F104" s="44"/>
      <c r="G104" s="44"/>
      <c r="H104" s="46"/>
      <c r="I104" s="39"/>
      <c r="J104" s="56">
        <v>0</v>
      </c>
      <c r="K104" s="59"/>
    </row>
    <row r="105" spans="2:13" ht="15">
      <c r="B105" s="37"/>
      <c r="C105" s="44"/>
      <c r="D105" s="44"/>
      <c r="E105" s="67"/>
      <c r="F105" s="44"/>
      <c r="G105" s="44"/>
      <c r="H105" s="46"/>
      <c r="I105" s="39"/>
      <c r="J105" s="56">
        <v>0</v>
      </c>
      <c r="K105" s="59"/>
    </row>
    <row r="106" spans="2:13" ht="15">
      <c r="B106" s="37"/>
      <c r="C106" s="44"/>
      <c r="D106" s="44"/>
      <c r="E106" s="67"/>
      <c r="F106" s="44"/>
      <c r="G106" s="44"/>
      <c r="H106" s="46"/>
      <c r="I106" s="39"/>
      <c r="J106" s="56">
        <v>0</v>
      </c>
      <c r="K106" s="59"/>
    </row>
    <row r="107" spans="2:13" ht="15">
      <c r="B107" s="37"/>
      <c r="C107" s="44"/>
      <c r="D107" s="44"/>
      <c r="E107" s="67"/>
      <c r="F107" s="44"/>
      <c r="G107" s="44"/>
      <c r="H107" s="46"/>
      <c r="I107" s="39"/>
      <c r="J107" s="56">
        <v>0</v>
      </c>
      <c r="K107" s="59"/>
    </row>
    <row r="108" spans="2:13" ht="15">
      <c r="B108" s="37"/>
      <c r="C108" s="44"/>
      <c r="D108" s="44"/>
      <c r="E108" s="67"/>
      <c r="F108" s="44"/>
      <c r="G108" s="44"/>
      <c r="H108" s="46"/>
      <c r="I108" s="39"/>
      <c r="J108" s="56">
        <v>0</v>
      </c>
      <c r="K108" s="59"/>
    </row>
    <row r="109" spans="2:13" ht="15">
      <c r="B109" s="37"/>
      <c r="C109" s="44"/>
      <c r="D109" s="44"/>
      <c r="E109" s="67"/>
      <c r="F109" s="44"/>
      <c r="G109" s="44"/>
      <c r="H109" s="46"/>
      <c r="I109" s="39"/>
      <c r="J109" s="56">
        <v>0</v>
      </c>
      <c r="K109" s="59"/>
    </row>
    <row r="110" spans="2:13" ht="15">
      <c r="B110" s="37"/>
      <c r="C110" s="44"/>
      <c r="D110" s="44"/>
      <c r="E110" s="67"/>
      <c r="F110" s="44"/>
      <c r="G110" s="44"/>
      <c r="H110" s="46"/>
      <c r="I110" s="39"/>
      <c r="J110" s="56">
        <v>0</v>
      </c>
      <c r="K110" s="59"/>
    </row>
    <row r="111" spans="2:13" ht="15">
      <c r="B111" s="37"/>
      <c r="C111" s="44"/>
      <c r="D111" s="44"/>
      <c r="E111" s="67"/>
      <c r="F111" s="44"/>
      <c r="G111" s="44"/>
      <c r="H111" s="46"/>
      <c r="I111" s="39"/>
      <c r="J111" s="56">
        <v>0</v>
      </c>
      <c r="K111" s="59"/>
    </row>
    <row r="112" spans="2:13" ht="15">
      <c r="B112" s="37"/>
      <c r="C112" s="44"/>
      <c r="D112" s="44"/>
      <c r="E112" s="67"/>
      <c r="F112" s="44"/>
      <c r="G112" s="44"/>
      <c r="H112" s="46"/>
      <c r="I112" s="39"/>
      <c r="J112" s="56">
        <v>0</v>
      </c>
      <c r="K112" s="59"/>
    </row>
    <row r="113" spans="2:11" ht="15">
      <c r="B113" s="37"/>
      <c r="C113" s="44"/>
      <c r="D113" s="44"/>
      <c r="E113" s="67"/>
      <c r="F113" s="44"/>
      <c r="G113" s="44"/>
      <c r="H113" s="46"/>
      <c r="I113" s="39"/>
      <c r="J113" s="56">
        <v>0</v>
      </c>
      <c r="K113" s="59"/>
    </row>
    <row r="114" spans="2:11" ht="15">
      <c r="B114" s="37"/>
      <c r="C114" s="44"/>
      <c r="D114" s="44"/>
      <c r="E114" s="67"/>
      <c r="F114" s="44"/>
      <c r="G114" s="44"/>
      <c r="H114" s="46"/>
      <c r="I114" s="39"/>
      <c r="J114" s="56">
        <v>0</v>
      </c>
      <c r="K114" s="59"/>
    </row>
    <row r="115" spans="2:11" ht="15">
      <c r="B115" s="37"/>
      <c r="C115" s="44"/>
      <c r="D115" s="44"/>
      <c r="E115" s="67"/>
      <c r="F115" s="44"/>
      <c r="G115" s="44"/>
      <c r="H115" s="46"/>
      <c r="I115" s="39"/>
      <c r="J115" s="56">
        <v>0</v>
      </c>
      <c r="K115" s="59"/>
    </row>
    <row r="116" spans="2:11" ht="15">
      <c r="B116" s="37"/>
      <c r="C116" s="44"/>
      <c r="D116" s="44"/>
      <c r="E116" s="67"/>
      <c r="F116" s="44"/>
      <c r="G116" s="44"/>
      <c r="H116" s="46"/>
      <c r="I116" s="39"/>
      <c r="J116" s="56">
        <v>0</v>
      </c>
      <c r="K116" s="59"/>
    </row>
    <row r="117" spans="2:11" ht="15">
      <c r="B117" s="37"/>
      <c r="C117" s="44"/>
      <c r="D117" s="44"/>
      <c r="E117" s="67"/>
      <c r="F117" s="44"/>
      <c r="G117" s="44"/>
      <c r="H117" s="46"/>
      <c r="I117" s="39"/>
      <c r="J117" s="56">
        <v>0</v>
      </c>
      <c r="K117" s="59"/>
    </row>
    <row r="118" spans="2:11" ht="15">
      <c r="B118" s="37"/>
      <c r="C118" s="44"/>
      <c r="D118" s="44"/>
      <c r="E118" s="67"/>
      <c r="F118" s="44"/>
      <c r="G118" s="44"/>
      <c r="H118" s="46"/>
      <c r="I118" s="39"/>
      <c r="J118" s="56">
        <v>0</v>
      </c>
      <c r="K118" s="59"/>
    </row>
    <row r="119" spans="2:11" ht="15">
      <c r="B119" s="37"/>
      <c r="C119" s="44"/>
      <c r="D119" s="44"/>
      <c r="E119" s="67"/>
      <c r="F119" s="44"/>
      <c r="G119" s="44"/>
      <c r="H119" s="46"/>
      <c r="I119" s="39"/>
      <c r="J119" s="56">
        <v>0</v>
      </c>
      <c r="K119" s="59"/>
    </row>
    <row r="120" spans="2:11" ht="15">
      <c r="B120" s="37"/>
      <c r="C120" s="23"/>
      <c r="D120" s="38"/>
      <c r="E120" s="67"/>
      <c r="F120" s="23"/>
      <c r="G120" s="23"/>
      <c r="H120" s="70"/>
      <c r="I120" s="39"/>
      <c r="J120" s="56">
        <v>0</v>
      </c>
      <c r="K120" s="59"/>
    </row>
    <row r="121" spans="2:11" ht="15">
      <c r="B121" s="37"/>
      <c r="C121" s="23"/>
      <c r="D121" s="38"/>
      <c r="E121" s="67"/>
      <c r="F121" s="23"/>
      <c r="G121" s="23"/>
      <c r="H121" s="70"/>
      <c r="I121" s="39"/>
      <c r="J121" s="56">
        <v>0</v>
      </c>
      <c r="K121" s="59"/>
    </row>
    <row r="122" spans="2:11" ht="15">
      <c r="B122" s="37"/>
      <c r="C122" s="23"/>
      <c r="D122" s="38"/>
      <c r="E122" s="67"/>
      <c r="F122" s="23"/>
      <c r="G122" s="23"/>
      <c r="H122" s="39"/>
      <c r="I122" s="39"/>
      <c r="J122" s="56">
        <v>0</v>
      </c>
      <c r="K122" s="59"/>
    </row>
    <row r="123" spans="2:11" ht="15">
      <c r="B123" s="37"/>
      <c r="C123" s="23"/>
      <c r="D123" s="38"/>
      <c r="E123" s="67"/>
      <c r="F123" s="23"/>
      <c r="G123" s="23"/>
      <c r="H123" s="39"/>
      <c r="I123" s="39"/>
      <c r="J123" s="56">
        <v>0</v>
      </c>
      <c r="K123" s="59"/>
    </row>
    <row r="124" spans="2:11" ht="15">
      <c r="B124" s="37"/>
      <c r="C124" s="23"/>
      <c r="D124" s="38"/>
      <c r="E124" s="67"/>
      <c r="F124" s="23"/>
      <c r="G124" s="23"/>
      <c r="H124" s="39"/>
      <c r="I124" s="39"/>
      <c r="J124" s="56">
        <v>0</v>
      </c>
      <c r="K124" s="59"/>
    </row>
    <row r="125" spans="2:11" ht="15">
      <c r="B125" s="37"/>
      <c r="C125" s="23"/>
      <c r="D125" s="38"/>
      <c r="E125" s="67"/>
      <c r="F125" s="23"/>
      <c r="G125" s="23"/>
      <c r="H125" s="39"/>
      <c r="I125" s="39"/>
      <c r="J125" s="56">
        <v>0</v>
      </c>
      <c r="K125" s="59"/>
    </row>
    <row r="126" spans="2:11" ht="15">
      <c r="B126" s="37"/>
      <c r="C126" s="23"/>
      <c r="D126" s="38"/>
      <c r="E126" s="67"/>
      <c r="F126" s="23"/>
      <c r="G126" s="23"/>
      <c r="H126" s="39"/>
      <c r="I126" s="39"/>
      <c r="J126" s="56">
        <v>0</v>
      </c>
      <c r="K126" s="59"/>
    </row>
    <row r="127" spans="2:11" ht="15">
      <c r="B127" s="37"/>
      <c r="C127" s="23"/>
      <c r="D127" s="38"/>
      <c r="E127" s="67"/>
      <c r="F127" s="23"/>
      <c r="G127" s="23"/>
      <c r="H127" s="39"/>
      <c r="I127" s="39"/>
      <c r="J127" s="56">
        <v>0</v>
      </c>
      <c r="K127" s="59"/>
    </row>
    <row r="128" spans="2:11" ht="15">
      <c r="B128" s="71"/>
      <c r="C128" s="29"/>
      <c r="D128" s="30"/>
      <c r="E128" s="67"/>
      <c r="F128" s="30"/>
      <c r="G128" s="30"/>
      <c r="H128" s="72"/>
      <c r="I128" s="72"/>
      <c r="J128" s="56">
        <v>0</v>
      </c>
    </row>
    <row r="129" spans="2:13" ht="15">
      <c r="B129" s="37"/>
      <c r="C129" s="44"/>
      <c r="D129" s="44"/>
      <c r="E129" s="67"/>
      <c r="F129" s="44"/>
      <c r="G129" s="44"/>
      <c r="H129" s="39"/>
      <c r="I129" s="39"/>
      <c r="J129" s="56">
        <v>0</v>
      </c>
    </row>
    <row r="130" spans="2:13" ht="15">
      <c r="B130" s="37"/>
      <c r="C130" s="44"/>
      <c r="D130" s="44"/>
      <c r="E130" s="67"/>
      <c r="F130" s="44"/>
      <c r="G130" s="44"/>
      <c r="H130" s="39"/>
      <c r="I130" s="39"/>
      <c r="J130" s="56">
        <v>0</v>
      </c>
    </row>
    <row r="131" spans="2:13" ht="15">
      <c r="B131" s="37"/>
      <c r="C131" s="44"/>
      <c r="D131" s="44"/>
      <c r="E131" s="67"/>
      <c r="F131" s="44"/>
      <c r="G131" s="44"/>
      <c r="H131" s="39"/>
      <c r="I131" s="39"/>
      <c r="J131" s="56">
        <v>0</v>
      </c>
    </row>
    <row r="132" spans="2:13" ht="15">
      <c r="B132" s="37"/>
      <c r="C132" s="44"/>
      <c r="D132" s="44"/>
      <c r="E132" s="67"/>
      <c r="F132" s="44"/>
      <c r="G132" s="44"/>
      <c r="H132" s="39"/>
      <c r="I132" s="39"/>
      <c r="J132" s="56">
        <v>0</v>
      </c>
    </row>
    <row r="133" spans="2:13" ht="15">
      <c r="B133" s="71"/>
      <c r="C133" s="29"/>
      <c r="D133" s="30"/>
      <c r="E133" s="67"/>
      <c r="F133" s="30"/>
      <c r="G133" s="30"/>
      <c r="H133" s="72"/>
      <c r="I133" s="72"/>
      <c r="J133" s="56">
        <v>0</v>
      </c>
    </row>
    <row r="134" spans="2:13" ht="15">
      <c r="B134" s="37"/>
      <c r="C134" s="23"/>
      <c r="D134" s="38"/>
      <c r="E134" s="67"/>
      <c r="F134" s="23"/>
      <c r="G134" s="23"/>
      <c r="H134" s="39"/>
      <c r="I134" s="39"/>
      <c r="J134" s="56">
        <v>0</v>
      </c>
      <c r="K134" s="59"/>
    </row>
    <row r="135" spans="2:13" ht="15">
      <c r="B135" s="71"/>
      <c r="C135" s="29"/>
      <c r="D135" s="30"/>
      <c r="E135" s="67"/>
      <c r="F135" s="30"/>
      <c r="G135" s="30"/>
      <c r="H135" s="72"/>
      <c r="I135" s="72"/>
      <c r="J135" s="56">
        <v>0</v>
      </c>
    </row>
    <row r="136" spans="2:13" ht="15">
      <c r="B136" s="37"/>
      <c r="C136" s="23"/>
      <c r="D136" s="38"/>
      <c r="E136" s="67"/>
      <c r="F136" s="23"/>
      <c r="G136" s="23"/>
      <c r="H136" s="39"/>
      <c r="I136" s="39"/>
      <c r="J136" s="56">
        <v>0</v>
      </c>
      <c r="K136" s="59"/>
      <c r="M136" s="77"/>
    </row>
    <row r="137" spans="2:13" ht="15">
      <c r="B137" s="37"/>
      <c r="C137" s="23"/>
      <c r="D137" s="38"/>
      <c r="E137" s="67"/>
      <c r="F137" s="23"/>
      <c r="G137" s="23"/>
      <c r="H137" s="39"/>
      <c r="I137" s="39"/>
      <c r="J137" s="56">
        <v>0</v>
      </c>
      <c r="K137" s="59"/>
    </row>
    <row r="138" spans="2:13" ht="15">
      <c r="B138" s="37"/>
      <c r="C138" s="23"/>
      <c r="D138" s="38"/>
      <c r="E138" s="67"/>
      <c r="F138" s="23"/>
      <c r="G138" s="23"/>
      <c r="H138" s="39"/>
      <c r="I138" s="39"/>
      <c r="J138" s="56">
        <v>0</v>
      </c>
      <c r="K138" s="59"/>
      <c r="M138" s="77"/>
    </row>
    <row r="139" spans="2:13" ht="15">
      <c r="B139" s="37"/>
      <c r="C139" s="23"/>
      <c r="D139" s="38"/>
      <c r="E139" s="67"/>
      <c r="F139" s="23"/>
      <c r="G139" s="23"/>
      <c r="H139" s="39"/>
      <c r="I139" s="39"/>
      <c r="J139" s="56">
        <v>0</v>
      </c>
      <c r="K139" s="59"/>
    </row>
    <row r="140" spans="2:13" ht="15">
      <c r="B140" s="37"/>
      <c r="C140" s="23"/>
      <c r="D140" s="38"/>
      <c r="E140" s="67"/>
      <c r="F140" s="23"/>
      <c r="G140" s="23"/>
      <c r="H140" s="39"/>
      <c r="I140" s="39"/>
      <c r="J140" s="56">
        <v>0</v>
      </c>
      <c r="K140" s="59"/>
    </row>
    <row r="141" spans="2:13" ht="15">
      <c r="B141" s="37"/>
      <c r="C141" s="23"/>
      <c r="D141" s="38"/>
      <c r="E141" s="67"/>
      <c r="F141" s="23"/>
      <c r="G141" s="23"/>
      <c r="H141" s="39"/>
      <c r="I141" s="39"/>
      <c r="J141" s="56">
        <v>0</v>
      </c>
      <c r="K141" s="59"/>
    </row>
    <row r="142" spans="2:13" ht="15">
      <c r="B142" s="37"/>
      <c r="C142" s="23"/>
      <c r="D142" s="38"/>
      <c r="E142" s="67"/>
      <c r="F142" s="23"/>
      <c r="G142" s="23"/>
      <c r="H142" s="39"/>
      <c r="I142" s="39"/>
      <c r="J142" s="56">
        <v>0</v>
      </c>
      <c r="K142" s="59"/>
    </row>
    <row r="143" spans="2:13" ht="15">
      <c r="B143" s="37"/>
      <c r="C143" s="23"/>
      <c r="D143" s="38"/>
      <c r="E143" s="23"/>
      <c r="F143" s="23"/>
      <c r="G143" s="23"/>
      <c r="H143" s="39"/>
      <c r="I143" s="39"/>
      <c r="J143" s="56">
        <v>0</v>
      </c>
      <c r="K143" s="59"/>
    </row>
    <row r="144" spans="2:13" ht="15">
      <c r="B144" s="37"/>
      <c r="C144" s="23"/>
      <c r="D144" s="38"/>
      <c r="E144" s="23"/>
      <c r="F144" s="23"/>
      <c r="G144" s="23"/>
      <c r="H144" s="39"/>
      <c r="I144" s="39"/>
      <c r="J144" s="56">
        <v>0</v>
      </c>
      <c r="K144" s="59"/>
    </row>
    <row r="145" spans="2:11" ht="15">
      <c r="B145" s="37"/>
      <c r="C145" s="23"/>
      <c r="D145" s="38"/>
      <c r="E145" s="23"/>
      <c r="F145" s="23"/>
      <c r="G145" s="23"/>
      <c r="H145" s="39"/>
      <c r="I145" s="39"/>
      <c r="J145" s="56">
        <v>0</v>
      </c>
      <c r="K145" s="59"/>
    </row>
    <row r="146" spans="2:11" ht="15">
      <c r="B146" s="37"/>
      <c r="C146" s="23"/>
      <c r="D146" s="38"/>
      <c r="E146" s="23"/>
      <c r="F146" s="23"/>
      <c r="G146" s="23"/>
      <c r="H146" s="39"/>
      <c r="I146" s="39"/>
      <c r="J146" s="56">
        <v>0</v>
      </c>
      <c r="K146" s="59"/>
    </row>
    <row r="147" spans="2:11" ht="15">
      <c r="B147" s="37"/>
      <c r="C147" s="23"/>
      <c r="D147" s="38"/>
      <c r="E147" s="23"/>
      <c r="F147" s="23"/>
      <c r="G147" s="23"/>
      <c r="H147" s="39"/>
      <c r="I147" s="39"/>
      <c r="J147" s="56">
        <v>0</v>
      </c>
      <c r="K147" s="59"/>
    </row>
    <row r="148" spans="2:11" ht="15">
      <c r="B148" s="37"/>
      <c r="C148" s="23"/>
      <c r="D148" s="38"/>
      <c r="E148" s="23"/>
      <c r="F148" s="23"/>
      <c r="G148" s="23"/>
      <c r="H148" s="39"/>
      <c r="I148" s="39"/>
      <c r="J148" s="56">
        <v>0</v>
      </c>
      <c r="K148" s="59"/>
    </row>
    <row r="149" spans="2:11" ht="15">
      <c r="B149" s="37"/>
      <c r="C149" s="23"/>
      <c r="D149" s="38"/>
      <c r="E149" s="23"/>
      <c r="F149" s="23"/>
      <c r="G149" s="23"/>
      <c r="H149" s="39"/>
      <c r="I149" s="39"/>
      <c r="J149" s="56">
        <v>0</v>
      </c>
      <c r="K149" s="59"/>
    </row>
    <row r="150" spans="2:11" ht="15">
      <c r="B150" s="37"/>
      <c r="C150" s="23"/>
      <c r="D150" s="38"/>
      <c r="E150" s="23"/>
      <c r="F150" s="23"/>
      <c r="G150" s="23"/>
      <c r="H150" s="39"/>
      <c r="I150" s="39"/>
      <c r="J150" s="56">
        <v>0</v>
      </c>
      <c r="K150" s="59"/>
    </row>
    <row r="151" spans="2:11" ht="15">
      <c r="B151" s="37"/>
      <c r="C151" s="23"/>
      <c r="D151" s="38"/>
      <c r="E151" s="23"/>
      <c r="F151" s="23"/>
      <c r="G151" s="23"/>
      <c r="H151" s="39"/>
      <c r="I151" s="39"/>
      <c r="J151" s="56">
        <v>0</v>
      </c>
      <c r="K151" s="59"/>
    </row>
    <row r="152" spans="2:11" ht="15">
      <c r="B152" s="22"/>
      <c r="C152" s="23"/>
      <c r="D152" s="38"/>
      <c r="E152" s="23"/>
      <c r="F152" s="25"/>
      <c r="G152" s="26"/>
      <c r="H152" s="27"/>
      <c r="I152" s="27"/>
      <c r="J152" s="54">
        <v>0</v>
      </c>
      <c r="K152" s="59"/>
    </row>
    <row r="153" spans="2:11" ht="15">
      <c r="B153" s="22"/>
      <c r="C153" s="23"/>
      <c r="D153" s="38"/>
      <c r="E153" s="23"/>
      <c r="F153" s="25"/>
      <c r="G153" s="26"/>
      <c r="H153" s="27"/>
      <c r="I153" s="27"/>
      <c r="J153" s="54">
        <v>0</v>
      </c>
      <c r="K153" s="59"/>
    </row>
    <row r="154" spans="2:11" ht="15">
      <c r="B154" s="22"/>
      <c r="C154" s="23"/>
      <c r="D154" s="24"/>
      <c r="E154" s="23"/>
      <c r="F154" s="25"/>
      <c r="G154" s="26"/>
      <c r="H154" s="27"/>
      <c r="I154" s="27"/>
      <c r="J154" s="54">
        <v>0</v>
      </c>
      <c r="K154" s="59"/>
    </row>
    <row r="155" spans="2:11" ht="15">
      <c r="B155" s="22"/>
      <c r="C155" s="23"/>
      <c r="D155" s="24"/>
      <c r="E155" s="23"/>
      <c r="F155" s="25"/>
      <c r="G155" s="26"/>
      <c r="H155" s="27"/>
      <c r="I155" s="27"/>
      <c r="J155" s="54">
        <v>0</v>
      </c>
      <c r="K155" s="59"/>
    </row>
    <row r="156" spans="2:11" ht="15">
      <c r="B156" s="22"/>
      <c r="C156" s="23"/>
      <c r="D156" s="38"/>
      <c r="E156" s="23"/>
      <c r="F156" s="25"/>
      <c r="G156" s="26"/>
      <c r="H156" s="27"/>
      <c r="I156" s="27"/>
      <c r="J156" s="54">
        <v>0</v>
      </c>
      <c r="K156" s="59"/>
    </row>
    <row r="157" spans="2:11" ht="15">
      <c r="B157" s="22"/>
      <c r="C157" s="23"/>
      <c r="D157" s="38"/>
      <c r="E157" s="23"/>
      <c r="F157" s="25"/>
      <c r="G157" s="26"/>
      <c r="H157" s="27"/>
      <c r="I157" s="27"/>
      <c r="J157" s="54">
        <v>0</v>
      </c>
      <c r="K157" s="59"/>
    </row>
    <row r="158" spans="2:11" ht="15">
      <c r="B158" s="22"/>
      <c r="C158" s="23"/>
      <c r="D158" s="38"/>
      <c r="E158" s="23"/>
      <c r="F158" s="25"/>
      <c r="G158" s="26"/>
      <c r="H158" s="27"/>
      <c r="I158" s="27"/>
      <c r="J158" s="54">
        <v>0</v>
      </c>
      <c r="K158" s="59"/>
    </row>
    <row r="159" spans="2:11" ht="15">
      <c r="B159" s="22"/>
      <c r="C159" s="23"/>
      <c r="D159" s="38"/>
      <c r="E159" s="23"/>
      <c r="F159" s="25"/>
      <c r="G159" s="26"/>
      <c r="H159" s="27"/>
      <c r="I159" s="27"/>
      <c r="J159" s="54">
        <v>0</v>
      </c>
      <c r="K159" s="59"/>
    </row>
    <row r="160" spans="2:11" ht="15">
      <c r="B160" s="22"/>
      <c r="C160" s="23"/>
      <c r="D160" s="38"/>
      <c r="E160" s="23"/>
      <c r="F160" s="25"/>
      <c r="G160" s="26"/>
      <c r="H160" s="27"/>
      <c r="I160" s="27"/>
      <c r="J160" s="54">
        <v>0</v>
      </c>
      <c r="K160" s="59"/>
    </row>
    <row r="161" spans="2:11" ht="15">
      <c r="B161" s="22"/>
      <c r="C161" s="23"/>
      <c r="D161" s="38"/>
      <c r="E161" s="23"/>
      <c r="F161" s="25"/>
      <c r="G161" s="26"/>
      <c r="H161" s="27"/>
      <c r="I161" s="27"/>
      <c r="J161" s="54">
        <v>0</v>
      </c>
      <c r="K161" s="59"/>
    </row>
    <row r="162" spans="2:11" ht="15">
      <c r="B162" s="22"/>
      <c r="C162" s="23"/>
      <c r="D162" s="38"/>
      <c r="E162" s="23"/>
      <c r="F162" s="25"/>
      <c r="G162" s="26"/>
      <c r="H162" s="27"/>
      <c r="I162" s="27"/>
      <c r="J162" s="54">
        <v>0</v>
      </c>
      <c r="K162" s="59"/>
    </row>
    <row r="163" spans="2:11" ht="15">
      <c r="B163" s="22"/>
      <c r="C163" s="23"/>
      <c r="D163" s="38"/>
      <c r="E163" s="23"/>
      <c r="F163" s="25"/>
      <c r="G163" s="26"/>
      <c r="H163" s="27"/>
      <c r="I163" s="27"/>
      <c r="J163" s="54">
        <v>0</v>
      </c>
      <c r="K163" s="59"/>
    </row>
    <row r="164" spans="2:11" ht="15">
      <c r="B164" s="22"/>
      <c r="C164" s="23"/>
      <c r="D164" s="38"/>
      <c r="E164" s="23"/>
      <c r="F164" s="25"/>
      <c r="G164" s="26"/>
      <c r="H164" s="27"/>
      <c r="I164" s="27"/>
      <c r="J164" s="54">
        <v>0</v>
      </c>
      <c r="K164" s="59"/>
    </row>
    <row r="165" spans="2:11" ht="15">
      <c r="B165" s="22"/>
      <c r="C165" s="23"/>
      <c r="D165" s="38"/>
      <c r="E165" s="23"/>
      <c r="F165" s="25"/>
      <c r="G165" s="26"/>
      <c r="H165" s="27"/>
      <c r="I165" s="27"/>
      <c r="J165" s="54">
        <v>0</v>
      </c>
      <c r="K165" s="59"/>
    </row>
    <row r="166" spans="2:11" ht="15">
      <c r="B166" s="22"/>
      <c r="C166" s="23"/>
      <c r="D166" s="38"/>
      <c r="E166" s="23"/>
      <c r="F166" s="25"/>
      <c r="G166" s="26"/>
      <c r="H166" s="27"/>
      <c r="I166" s="27"/>
      <c r="J166" s="54">
        <v>0</v>
      </c>
      <c r="K166" s="59"/>
    </row>
    <row r="167" spans="2:11" ht="15">
      <c r="B167" s="22"/>
      <c r="C167" s="23"/>
      <c r="D167" s="38"/>
      <c r="E167" s="23"/>
      <c r="F167" s="25"/>
      <c r="G167" s="26"/>
      <c r="H167" s="27"/>
      <c r="I167" s="27"/>
      <c r="J167" s="54">
        <v>0</v>
      </c>
      <c r="K167" s="59"/>
    </row>
    <row r="168" spans="2:11" ht="15">
      <c r="B168" s="22"/>
      <c r="C168" s="23"/>
      <c r="D168" s="38"/>
      <c r="E168" s="23"/>
      <c r="F168" s="25"/>
      <c r="G168" s="26"/>
      <c r="H168" s="27"/>
      <c r="I168" s="27"/>
      <c r="J168" s="54">
        <v>0</v>
      </c>
      <c r="K168" s="59"/>
    </row>
    <row r="169" spans="2:11" ht="15">
      <c r="B169" s="22"/>
      <c r="C169" s="23"/>
      <c r="D169" s="38"/>
      <c r="E169" s="23"/>
      <c r="F169" s="25"/>
      <c r="G169" s="26"/>
      <c r="H169" s="27"/>
      <c r="I169" s="27"/>
      <c r="J169" s="54">
        <v>0</v>
      </c>
      <c r="K169" s="59"/>
    </row>
    <row r="170" spans="2:11" ht="15">
      <c r="B170" s="22"/>
      <c r="C170" s="23"/>
      <c r="D170" s="38"/>
      <c r="E170" s="23"/>
      <c r="F170" s="25"/>
      <c r="G170" s="26"/>
      <c r="H170" s="27"/>
      <c r="I170" s="27"/>
      <c r="J170" s="54">
        <v>0</v>
      </c>
      <c r="K170" s="59"/>
    </row>
    <row r="171" spans="2:11" ht="15">
      <c r="B171" s="22"/>
      <c r="C171" s="23"/>
      <c r="D171" s="38"/>
      <c r="E171" s="23"/>
      <c r="F171" s="25"/>
      <c r="G171" s="26"/>
      <c r="H171" s="27"/>
      <c r="I171" s="27"/>
      <c r="J171" s="54">
        <v>0</v>
      </c>
      <c r="K171" s="59"/>
    </row>
    <row r="172" spans="2:11" ht="15">
      <c r="B172" s="22"/>
      <c r="C172" s="23"/>
      <c r="D172" s="38"/>
      <c r="E172" s="23"/>
      <c r="F172" s="25"/>
      <c r="G172" s="26"/>
      <c r="H172" s="27"/>
      <c r="I172" s="27"/>
      <c r="J172" s="54">
        <v>0</v>
      </c>
      <c r="K172" s="59"/>
    </row>
    <row r="173" spans="2:11" ht="15">
      <c r="B173" s="22"/>
      <c r="C173" s="23"/>
      <c r="D173" s="38"/>
      <c r="E173" s="23"/>
      <c r="F173" s="25"/>
      <c r="G173" s="26"/>
      <c r="H173" s="27"/>
      <c r="I173" s="27"/>
      <c r="J173" s="54">
        <v>0</v>
      </c>
      <c r="K173" s="59"/>
    </row>
    <row r="174" spans="2:11" ht="15">
      <c r="B174" s="22"/>
      <c r="C174" s="23"/>
      <c r="D174" s="38"/>
      <c r="E174" s="23"/>
      <c r="F174" s="25"/>
      <c r="G174" s="26"/>
      <c r="H174" s="27"/>
      <c r="I174" s="27"/>
      <c r="J174" s="54">
        <v>0</v>
      </c>
      <c r="K174" s="59"/>
    </row>
    <row r="175" spans="2:11" ht="15">
      <c r="B175" s="22"/>
      <c r="C175" s="23"/>
      <c r="D175" s="38"/>
      <c r="E175" s="23"/>
      <c r="F175" s="25"/>
      <c r="G175" s="26"/>
      <c r="H175" s="27"/>
      <c r="I175" s="27"/>
      <c r="J175" s="54">
        <v>0</v>
      </c>
      <c r="K175" s="59"/>
    </row>
    <row r="176" spans="2:11" ht="15">
      <c r="B176" s="22"/>
      <c r="C176" s="23"/>
      <c r="D176" s="38"/>
      <c r="E176" s="23"/>
      <c r="F176" s="25"/>
      <c r="G176" s="26"/>
      <c r="H176" s="27"/>
      <c r="I176" s="27"/>
      <c r="J176" s="54">
        <v>0</v>
      </c>
      <c r="K176" s="59"/>
    </row>
    <row r="177" spans="2:11" ht="15">
      <c r="B177" s="22"/>
      <c r="C177" s="23"/>
      <c r="D177" s="38"/>
      <c r="E177" s="23"/>
      <c r="F177" s="25"/>
      <c r="G177" s="26"/>
      <c r="H177" s="27"/>
      <c r="I177" s="27"/>
      <c r="J177" s="54">
        <v>0</v>
      </c>
      <c r="K177" s="59"/>
    </row>
    <row r="178" spans="2:11" ht="15">
      <c r="B178" s="22"/>
      <c r="C178" s="23"/>
      <c r="D178" s="38"/>
      <c r="E178" s="23"/>
      <c r="F178" s="25"/>
      <c r="G178" s="26"/>
      <c r="H178" s="27"/>
      <c r="I178" s="27"/>
      <c r="J178" s="54">
        <v>0</v>
      </c>
      <c r="K178" s="59"/>
    </row>
    <row r="179" spans="2:11" ht="15">
      <c r="B179" s="22"/>
      <c r="C179" s="23"/>
      <c r="D179" s="24"/>
      <c r="E179" s="23"/>
      <c r="F179" s="25"/>
      <c r="G179" s="26"/>
      <c r="H179" s="27"/>
      <c r="I179" s="27"/>
      <c r="J179" s="54">
        <v>0</v>
      </c>
      <c r="K179" s="59"/>
    </row>
    <row r="180" spans="2:11" ht="15">
      <c r="B180" s="22"/>
      <c r="C180" s="23"/>
      <c r="D180" s="38"/>
      <c r="E180" s="23"/>
      <c r="F180" s="25"/>
      <c r="G180" s="26"/>
      <c r="H180" s="27"/>
      <c r="I180" s="27"/>
      <c r="J180" s="54">
        <v>0</v>
      </c>
      <c r="K180" s="59"/>
    </row>
    <row r="181" spans="2:11" ht="15">
      <c r="B181" s="22"/>
      <c r="C181" s="23"/>
      <c r="D181" s="38"/>
      <c r="E181" s="23"/>
      <c r="F181" s="25"/>
      <c r="G181" s="26"/>
      <c r="H181" s="27"/>
      <c r="I181" s="27"/>
      <c r="J181" s="54">
        <v>0</v>
      </c>
      <c r="K181" s="59"/>
    </row>
    <row r="182" spans="2:11" ht="15">
      <c r="B182" s="22"/>
      <c r="C182" s="23"/>
      <c r="D182" s="24"/>
      <c r="E182" s="23"/>
      <c r="F182" s="25"/>
      <c r="G182" s="26"/>
      <c r="H182" s="27"/>
      <c r="I182" s="27"/>
      <c r="J182" s="54">
        <v>0</v>
      </c>
      <c r="K182" s="59"/>
    </row>
    <row r="183" spans="2:11" ht="15">
      <c r="B183" s="22"/>
      <c r="C183" s="23"/>
      <c r="D183" s="38"/>
      <c r="E183" s="23"/>
      <c r="F183" s="25"/>
      <c r="G183" s="26"/>
      <c r="H183" s="27"/>
      <c r="I183" s="27"/>
      <c r="J183" s="54">
        <v>0</v>
      </c>
      <c r="K183" s="59"/>
    </row>
    <row r="184" spans="2:11" ht="15">
      <c r="B184" s="22"/>
      <c r="C184" s="23"/>
      <c r="D184" s="38"/>
      <c r="E184" s="23"/>
      <c r="F184" s="25"/>
      <c r="G184" s="26"/>
      <c r="H184" s="27"/>
      <c r="I184" s="27"/>
      <c r="J184" s="54">
        <v>0</v>
      </c>
      <c r="K184" s="59"/>
    </row>
    <row r="185" spans="2:11" ht="15">
      <c r="B185" s="22"/>
      <c r="C185" s="23"/>
      <c r="D185" s="24"/>
      <c r="E185" s="23"/>
      <c r="F185" s="25"/>
      <c r="G185" s="26"/>
      <c r="H185" s="27"/>
      <c r="I185" s="27"/>
      <c r="J185" s="54">
        <v>0</v>
      </c>
      <c r="K185" s="59"/>
    </row>
    <row r="186" spans="2:11" ht="15">
      <c r="B186" s="22"/>
      <c r="C186" s="23"/>
      <c r="D186" s="24"/>
      <c r="E186" s="23"/>
      <c r="F186" s="25"/>
      <c r="G186" s="26"/>
      <c r="H186" s="27"/>
      <c r="I186" s="27"/>
      <c r="J186" s="54">
        <v>0</v>
      </c>
      <c r="K186" s="59"/>
    </row>
    <row r="187" spans="2:11" ht="15">
      <c r="B187" s="22"/>
      <c r="C187" s="23"/>
      <c r="D187" s="24"/>
      <c r="E187" s="23"/>
      <c r="F187" s="25"/>
      <c r="G187" s="26"/>
      <c r="H187" s="27"/>
      <c r="I187" s="27"/>
      <c r="J187" s="54">
        <v>0</v>
      </c>
      <c r="K187" s="59"/>
    </row>
    <row r="188" spans="2:11" ht="15">
      <c r="B188" s="22"/>
      <c r="C188" s="23"/>
      <c r="D188" s="24"/>
      <c r="E188" s="23"/>
      <c r="F188" s="25"/>
      <c r="G188" s="26"/>
      <c r="H188" s="27"/>
      <c r="I188" s="27"/>
      <c r="J188" s="54">
        <v>0</v>
      </c>
      <c r="K188" s="59"/>
    </row>
    <row r="189" spans="2:11" ht="15">
      <c r="B189" s="22"/>
      <c r="C189" s="23"/>
      <c r="D189" s="24"/>
      <c r="E189" s="23"/>
      <c r="F189" s="25"/>
      <c r="G189" s="26"/>
      <c r="H189" s="27"/>
      <c r="I189" s="27"/>
      <c r="J189" s="54">
        <v>0</v>
      </c>
      <c r="K189" s="59"/>
    </row>
    <row r="190" spans="2:11" ht="15">
      <c r="B190" s="22"/>
      <c r="C190" s="23"/>
      <c r="D190" s="24"/>
      <c r="E190" s="23"/>
      <c r="F190" s="25"/>
      <c r="G190" s="26"/>
      <c r="H190" s="27"/>
      <c r="I190" s="27"/>
      <c r="J190" s="54">
        <v>0</v>
      </c>
      <c r="K190" s="59"/>
    </row>
    <row r="191" spans="2:11" ht="15">
      <c r="B191" s="22"/>
      <c r="C191" s="23"/>
      <c r="D191" s="24"/>
      <c r="E191" s="23"/>
      <c r="F191" s="25"/>
      <c r="G191" s="26"/>
      <c r="H191" s="27"/>
      <c r="I191" s="27"/>
      <c r="J191" s="54">
        <v>0</v>
      </c>
      <c r="K191" s="59"/>
    </row>
    <row r="192" spans="2:11" ht="15">
      <c r="B192" s="22"/>
      <c r="C192" s="23"/>
      <c r="D192" s="24"/>
      <c r="E192" s="23"/>
      <c r="F192" s="25"/>
      <c r="G192" s="26"/>
      <c r="H192" s="27"/>
      <c r="I192" s="27"/>
      <c r="J192" s="54">
        <v>0</v>
      </c>
      <c r="K192" s="59"/>
    </row>
    <row r="193" spans="2:11" ht="15">
      <c r="B193" s="22"/>
      <c r="C193" s="23"/>
      <c r="D193" s="24"/>
      <c r="E193" s="23"/>
      <c r="F193" s="25"/>
      <c r="G193" s="26"/>
      <c r="H193" s="27"/>
      <c r="I193" s="27"/>
      <c r="J193" s="54">
        <v>0</v>
      </c>
      <c r="K193" s="59"/>
    </row>
    <row r="194" spans="2:11" ht="15">
      <c r="B194" s="22"/>
      <c r="C194" s="23"/>
      <c r="D194" s="24"/>
      <c r="E194" s="23"/>
      <c r="F194" s="25"/>
      <c r="G194" s="26"/>
      <c r="H194" s="27"/>
      <c r="I194" s="27"/>
      <c r="J194" s="54">
        <v>0</v>
      </c>
      <c r="K194" s="59"/>
    </row>
    <row r="195" spans="2:11" ht="15">
      <c r="B195" s="22"/>
      <c r="C195" s="23"/>
      <c r="D195" s="24"/>
      <c r="E195" s="23"/>
      <c r="F195" s="25"/>
      <c r="G195" s="26"/>
      <c r="H195" s="27"/>
      <c r="I195" s="27"/>
      <c r="J195" s="54">
        <v>0</v>
      </c>
      <c r="K195" s="59"/>
    </row>
    <row r="196" spans="2:11" ht="15">
      <c r="B196" s="22"/>
      <c r="C196" s="23"/>
      <c r="D196" s="24"/>
      <c r="E196" s="23"/>
      <c r="F196" s="25"/>
      <c r="G196" s="26"/>
      <c r="H196" s="27"/>
      <c r="I196" s="27"/>
      <c r="J196" s="54">
        <v>0</v>
      </c>
      <c r="K196" s="59"/>
    </row>
    <row r="197" spans="2:11" ht="15">
      <c r="B197" s="22"/>
      <c r="C197" s="23"/>
      <c r="D197" s="24"/>
      <c r="E197" s="23"/>
      <c r="F197" s="25"/>
      <c r="G197" s="26"/>
      <c r="H197" s="27"/>
      <c r="I197" s="27"/>
      <c r="J197" s="54">
        <v>0</v>
      </c>
      <c r="K197" s="59"/>
    </row>
    <row r="198" spans="2:11" ht="15">
      <c r="B198" s="22"/>
      <c r="C198" s="23"/>
      <c r="D198" s="38"/>
      <c r="E198" s="23"/>
      <c r="F198" s="25"/>
      <c r="G198" s="26"/>
      <c r="H198" s="27"/>
      <c r="I198" s="27"/>
      <c r="J198" s="54">
        <v>0</v>
      </c>
      <c r="K198" s="59"/>
    </row>
    <row r="199" spans="2:11" ht="15">
      <c r="B199" s="22"/>
      <c r="C199" s="23"/>
      <c r="D199" s="38"/>
      <c r="E199" s="23"/>
      <c r="F199" s="25"/>
      <c r="G199" s="26"/>
      <c r="H199" s="27"/>
      <c r="I199" s="27"/>
      <c r="J199" s="54">
        <v>0</v>
      </c>
      <c r="K199" s="59"/>
    </row>
    <row r="200" spans="2:11" ht="15">
      <c r="B200" s="22"/>
      <c r="C200" s="23"/>
      <c r="D200" s="38"/>
      <c r="E200" s="23"/>
      <c r="F200" s="25"/>
      <c r="G200" s="26"/>
      <c r="H200" s="27"/>
      <c r="I200" s="27"/>
      <c r="J200" s="54">
        <v>0</v>
      </c>
      <c r="K200" s="59"/>
    </row>
    <row r="201" spans="2:11" ht="15">
      <c r="B201" s="22"/>
      <c r="C201" s="23"/>
      <c r="D201" s="38"/>
      <c r="E201" s="23"/>
      <c r="F201" s="25"/>
      <c r="G201" s="26"/>
      <c r="H201" s="27"/>
      <c r="I201" s="27"/>
      <c r="J201" s="54">
        <v>0</v>
      </c>
      <c r="K201" s="59"/>
    </row>
    <row r="202" spans="2:11" ht="15">
      <c r="B202" s="22"/>
      <c r="C202" s="23"/>
      <c r="D202" s="38"/>
      <c r="E202" s="23"/>
      <c r="F202" s="25"/>
      <c r="G202" s="26"/>
      <c r="H202" s="27"/>
      <c r="I202" s="27"/>
      <c r="J202" s="54">
        <v>0</v>
      </c>
      <c r="K202" s="59"/>
    </row>
    <row r="203" spans="2:11" ht="15">
      <c r="B203" s="22"/>
      <c r="C203" s="23"/>
      <c r="D203" s="38"/>
      <c r="E203" s="23"/>
      <c r="F203" s="25"/>
      <c r="G203" s="26"/>
      <c r="H203" s="27"/>
      <c r="I203" s="27"/>
      <c r="J203" s="54">
        <v>0</v>
      </c>
      <c r="K203" s="75"/>
    </row>
    <row r="204" spans="2:11" ht="15">
      <c r="B204" s="22"/>
      <c r="C204" s="23"/>
      <c r="D204" s="38"/>
      <c r="E204" s="23"/>
      <c r="F204" s="25"/>
      <c r="G204" s="26"/>
      <c r="H204" s="27"/>
      <c r="I204" s="27"/>
      <c r="J204" s="54">
        <v>0</v>
      </c>
      <c r="K204" s="59"/>
    </row>
    <row r="205" spans="2:11" ht="15">
      <c r="B205" s="22"/>
      <c r="C205" s="23"/>
      <c r="D205" s="38"/>
      <c r="E205" s="23"/>
      <c r="F205" s="25"/>
      <c r="G205" s="26"/>
      <c r="H205" s="27"/>
      <c r="I205" s="27"/>
      <c r="J205" s="54">
        <v>0</v>
      </c>
      <c r="K205" s="59"/>
    </row>
    <row r="206" spans="2:11" ht="15">
      <c r="B206" s="22"/>
      <c r="C206" s="23"/>
      <c r="D206" s="38"/>
      <c r="E206" s="23"/>
      <c r="F206" s="25"/>
      <c r="G206" s="26"/>
      <c r="H206" s="27"/>
      <c r="I206" s="27"/>
      <c r="J206" s="54">
        <v>0</v>
      </c>
      <c r="K206" s="59"/>
    </row>
    <row r="207" spans="2:11" ht="15">
      <c r="B207" s="22"/>
      <c r="C207" s="23"/>
      <c r="D207" s="38"/>
      <c r="E207" s="23"/>
      <c r="F207" s="25"/>
      <c r="G207" s="26"/>
      <c r="H207" s="27"/>
      <c r="I207" s="27"/>
      <c r="J207" s="54">
        <v>0</v>
      </c>
      <c r="K207" s="59"/>
    </row>
    <row r="208" spans="2:11" ht="15">
      <c r="B208" s="22"/>
      <c r="C208" s="23"/>
      <c r="D208" s="38"/>
      <c r="E208" s="23"/>
      <c r="F208" s="25"/>
      <c r="G208" s="26"/>
      <c r="H208" s="27"/>
      <c r="I208" s="27"/>
      <c r="J208" s="54">
        <v>0</v>
      </c>
      <c r="K208" s="59"/>
    </row>
    <row r="209" spans="2:11" ht="15">
      <c r="B209" s="22"/>
      <c r="C209" s="23"/>
      <c r="D209" s="38"/>
      <c r="E209" s="23"/>
      <c r="F209" s="25"/>
      <c r="G209" s="78"/>
      <c r="H209" s="27"/>
      <c r="I209" s="27"/>
      <c r="J209" s="54">
        <v>0</v>
      </c>
      <c r="K209" s="59"/>
    </row>
    <row r="210" spans="2:11" ht="15">
      <c r="B210" s="22"/>
      <c r="C210" s="23"/>
      <c r="D210" s="38"/>
      <c r="E210" s="23"/>
      <c r="F210" s="25"/>
      <c r="G210" s="78"/>
      <c r="H210" s="27"/>
      <c r="I210" s="27"/>
      <c r="J210" s="54">
        <v>0</v>
      </c>
      <c r="K210" s="59"/>
    </row>
    <row r="211" spans="2:11" ht="15">
      <c r="B211" s="22"/>
      <c r="C211" s="23"/>
      <c r="D211" s="38"/>
      <c r="E211" s="23"/>
      <c r="F211" s="25"/>
      <c r="G211" s="78"/>
      <c r="H211" s="27"/>
      <c r="I211" s="27"/>
      <c r="J211" s="54">
        <v>0</v>
      </c>
      <c r="K211" s="85"/>
    </row>
    <row r="212" spans="2:11" ht="15">
      <c r="B212" s="22"/>
      <c r="C212" s="23"/>
      <c r="D212" s="38"/>
      <c r="E212" s="23"/>
      <c r="F212" s="25"/>
      <c r="G212" s="26"/>
      <c r="H212" s="27"/>
      <c r="I212" s="27"/>
      <c r="J212" s="86">
        <v>0</v>
      </c>
      <c r="K212" s="59"/>
    </row>
    <row r="213" spans="2:11" ht="15">
      <c r="B213" s="22"/>
      <c r="C213" s="23"/>
      <c r="D213" s="38"/>
      <c r="E213" s="23"/>
      <c r="F213" s="25"/>
      <c r="G213" s="26"/>
      <c r="H213" s="27"/>
      <c r="I213" s="27"/>
      <c r="J213" s="86">
        <v>0</v>
      </c>
      <c r="K213" s="59"/>
    </row>
    <row r="214" spans="2:11" ht="15">
      <c r="B214" s="22"/>
      <c r="C214" s="23"/>
      <c r="D214" s="38"/>
      <c r="E214" s="23"/>
      <c r="F214" s="25"/>
      <c r="G214" s="26"/>
      <c r="H214" s="27"/>
      <c r="I214" s="27"/>
      <c r="J214" s="86">
        <v>0</v>
      </c>
      <c r="K214" s="59"/>
    </row>
    <row r="215" spans="2:11" ht="15">
      <c r="B215" s="22"/>
      <c r="C215" s="23"/>
      <c r="D215" s="38"/>
      <c r="E215" s="23"/>
      <c r="F215" s="25"/>
      <c r="G215" s="26"/>
      <c r="H215" s="27"/>
      <c r="I215" s="27"/>
      <c r="J215" s="86">
        <v>0</v>
      </c>
      <c r="K215" s="75">
        <f>SUM(J209:J215)</f>
        <v>0</v>
      </c>
    </row>
    <row r="216" spans="2:11" ht="15">
      <c r="B216" s="22"/>
      <c r="C216" s="23"/>
      <c r="D216" s="38"/>
      <c r="E216" s="23"/>
      <c r="F216" s="25"/>
      <c r="G216" s="26"/>
      <c r="H216" s="27"/>
      <c r="I216" s="27"/>
      <c r="J216" s="54">
        <v>0</v>
      </c>
      <c r="K216" s="59"/>
    </row>
    <row r="217" spans="2:11" ht="15">
      <c r="B217" s="22"/>
      <c r="C217" s="23"/>
      <c r="D217" s="38"/>
      <c r="E217" s="23"/>
      <c r="F217" s="25"/>
      <c r="G217" s="26"/>
      <c r="H217" s="27"/>
      <c r="I217" s="27"/>
      <c r="J217" s="54">
        <v>0</v>
      </c>
      <c r="K217" s="59"/>
    </row>
    <row r="218" spans="2:11" ht="15">
      <c r="B218" s="22"/>
      <c r="C218" s="23"/>
      <c r="D218" s="38"/>
      <c r="E218" s="23"/>
      <c r="F218" s="25"/>
      <c r="G218" s="26"/>
      <c r="H218" s="27"/>
      <c r="I218" s="27"/>
      <c r="J218" s="54">
        <v>0</v>
      </c>
      <c r="K218" s="59"/>
    </row>
    <row r="219" spans="2:11" ht="15">
      <c r="B219" s="22"/>
      <c r="C219" s="23"/>
      <c r="D219" s="38"/>
      <c r="E219" s="23"/>
      <c r="F219" s="25"/>
      <c r="G219" s="26"/>
      <c r="H219" s="27"/>
      <c r="I219" s="27"/>
      <c r="J219" s="54">
        <v>0</v>
      </c>
      <c r="K219" s="59"/>
    </row>
    <row r="220" spans="2:11" ht="15">
      <c r="B220" s="79"/>
      <c r="C220" s="80"/>
      <c r="D220" s="81"/>
      <c r="E220" s="80"/>
      <c r="F220" s="82"/>
      <c r="G220" s="83"/>
      <c r="H220" s="84"/>
      <c r="I220" s="84"/>
      <c r="J220" s="87">
        <v>0</v>
      </c>
      <c r="K220" s="59"/>
    </row>
    <row r="221" spans="2:11" ht="15">
      <c r="B221" s="22"/>
      <c r="C221" s="23"/>
      <c r="D221" s="24"/>
      <c r="E221" s="23"/>
      <c r="F221" s="25"/>
      <c r="G221" s="26"/>
      <c r="H221" s="27"/>
      <c r="I221" s="27"/>
      <c r="J221" s="54">
        <v>0</v>
      </c>
      <c r="K221" s="59"/>
    </row>
    <row r="222" spans="2:11" ht="15">
      <c r="B222" s="22"/>
      <c r="C222" s="23"/>
      <c r="D222" s="24"/>
      <c r="E222" s="23"/>
      <c r="F222" s="25"/>
      <c r="G222" s="26"/>
      <c r="H222" s="27"/>
      <c r="I222" s="27"/>
      <c r="J222" s="54">
        <v>0</v>
      </c>
      <c r="K222" s="59"/>
    </row>
    <row r="223" spans="2:11" ht="15">
      <c r="B223" s="22"/>
      <c r="C223" s="23"/>
      <c r="D223" s="24"/>
      <c r="E223" s="23"/>
      <c r="F223" s="25"/>
      <c r="G223" s="26"/>
      <c r="H223" s="27"/>
      <c r="I223" s="27"/>
      <c r="J223" s="54">
        <v>0</v>
      </c>
      <c r="K223" s="59"/>
    </row>
    <row r="224" spans="2:11" ht="15">
      <c r="B224" s="22"/>
      <c r="C224" s="23"/>
      <c r="D224" s="24"/>
      <c r="E224" s="23"/>
      <c r="F224" s="25"/>
      <c r="G224" s="26"/>
      <c r="H224" s="27"/>
      <c r="I224" s="27"/>
      <c r="J224" s="54">
        <v>0</v>
      </c>
      <c r="K224" s="59"/>
    </row>
    <row r="225" spans="2:11" ht="15">
      <c r="B225" s="22"/>
      <c r="C225" s="23"/>
      <c r="D225" s="24"/>
      <c r="E225" s="23"/>
      <c r="F225" s="25"/>
      <c r="G225" s="26"/>
      <c r="H225" s="27"/>
      <c r="I225" s="27"/>
      <c r="J225" s="54">
        <v>0</v>
      </c>
      <c r="K225" s="59"/>
    </row>
    <row r="226" spans="2:11" ht="15">
      <c r="B226" s="22"/>
      <c r="C226" s="23"/>
      <c r="D226" s="24"/>
      <c r="E226" s="23"/>
      <c r="F226" s="25"/>
      <c r="G226" s="26"/>
      <c r="H226" s="27"/>
      <c r="I226" s="27"/>
      <c r="J226" s="54">
        <v>0</v>
      </c>
      <c r="K226" s="59"/>
    </row>
    <row r="227" spans="2:11" ht="15">
      <c r="B227" s="22"/>
      <c r="C227" s="23"/>
      <c r="D227" s="24"/>
      <c r="E227" s="23"/>
      <c r="F227" s="25"/>
      <c r="G227" s="26"/>
      <c r="H227" s="27"/>
      <c r="I227" s="27"/>
      <c r="J227" s="54">
        <v>0</v>
      </c>
      <c r="K227" s="59"/>
    </row>
    <row r="228" spans="2:11" ht="15">
      <c r="B228" s="22"/>
      <c r="C228" s="23"/>
      <c r="D228" s="24"/>
      <c r="E228" s="23"/>
      <c r="F228" s="25"/>
      <c r="G228" s="26"/>
      <c r="H228" s="27"/>
      <c r="I228" s="27"/>
      <c r="J228" s="54">
        <v>0</v>
      </c>
      <c r="K228" s="59"/>
    </row>
    <row r="229" spans="2:11" ht="15">
      <c r="B229" s="22"/>
      <c r="C229" s="23"/>
      <c r="D229" s="24"/>
      <c r="E229" s="23"/>
      <c r="F229" s="25"/>
      <c r="G229" s="26"/>
      <c r="H229" s="27"/>
      <c r="I229" s="27"/>
      <c r="J229" s="54">
        <v>0</v>
      </c>
      <c r="K229" s="59"/>
    </row>
    <row r="230" spans="2:11" ht="15">
      <c r="B230" s="22"/>
      <c r="C230" s="23"/>
      <c r="D230" s="24"/>
      <c r="E230" s="23"/>
      <c r="F230" s="25"/>
      <c r="G230" s="26"/>
      <c r="H230" s="27"/>
      <c r="I230" s="27"/>
      <c r="J230" s="54">
        <v>0</v>
      </c>
      <c r="K230" s="59"/>
    </row>
    <row r="231" spans="2:11" ht="15">
      <c r="B231" s="22"/>
      <c r="C231" s="23"/>
      <c r="D231" s="24"/>
      <c r="E231" s="23"/>
      <c r="F231" s="25"/>
      <c r="G231" s="26"/>
      <c r="H231" s="27"/>
      <c r="I231" s="27"/>
      <c r="J231" s="54">
        <v>0</v>
      </c>
      <c r="K231" s="59"/>
    </row>
    <row r="232" spans="2:11" ht="15">
      <c r="B232" s="22"/>
      <c r="C232" s="23"/>
      <c r="D232" s="38"/>
      <c r="E232" s="23"/>
      <c r="F232" s="25"/>
      <c r="G232" s="26"/>
      <c r="H232" s="27"/>
      <c r="I232" s="27"/>
      <c r="J232" s="54">
        <v>0</v>
      </c>
      <c r="K232" s="59"/>
    </row>
    <row r="233" spans="2:11" ht="15">
      <c r="B233" s="22"/>
      <c r="C233" s="23"/>
      <c r="D233" s="38"/>
      <c r="E233" s="23"/>
      <c r="F233" s="25"/>
      <c r="G233" s="26"/>
      <c r="H233" s="27"/>
      <c r="I233" s="27"/>
      <c r="J233" s="54">
        <v>0</v>
      </c>
      <c r="K233" s="59"/>
    </row>
    <row r="234" spans="2:11" ht="15">
      <c r="B234" s="22"/>
      <c r="C234" s="23"/>
      <c r="D234" s="38"/>
      <c r="E234" s="23"/>
      <c r="F234" s="25"/>
      <c r="G234" s="26"/>
      <c r="H234" s="27"/>
      <c r="I234" s="27"/>
      <c r="J234" s="54">
        <v>0</v>
      </c>
      <c r="K234" s="59"/>
    </row>
    <row r="235" spans="2:11" ht="15">
      <c r="B235" s="22"/>
      <c r="C235" s="23"/>
      <c r="D235" s="24"/>
      <c r="E235" s="23"/>
      <c r="F235" s="25"/>
      <c r="G235" s="26"/>
      <c r="H235" s="27"/>
      <c r="I235" s="27"/>
      <c r="J235" s="54">
        <v>0</v>
      </c>
      <c r="K235" s="59"/>
    </row>
    <row r="236" spans="2:11" ht="15">
      <c r="B236" s="22"/>
      <c r="C236" s="23"/>
      <c r="D236" s="24"/>
      <c r="E236" s="23"/>
      <c r="F236" s="25"/>
      <c r="G236" s="26"/>
      <c r="H236" s="27"/>
      <c r="I236" s="27"/>
      <c r="J236" s="54">
        <v>0</v>
      </c>
      <c r="K236" s="59"/>
    </row>
    <row r="237" spans="2:11" ht="15">
      <c r="B237" s="22"/>
      <c r="C237" s="23"/>
      <c r="D237" s="24"/>
      <c r="E237" s="23"/>
      <c r="F237" s="25"/>
      <c r="G237" s="26"/>
      <c r="H237" s="27"/>
      <c r="I237" s="27"/>
      <c r="J237" s="54">
        <v>0</v>
      </c>
      <c r="K237" s="59"/>
    </row>
    <row r="238" spans="2:11" ht="15">
      <c r="B238" s="22"/>
      <c r="C238" s="23"/>
      <c r="D238" s="24"/>
      <c r="E238" s="23"/>
      <c r="F238" s="25"/>
      <c r="G238" s="26"/>
      <c r="H238" s="27"/>
      <c r="I238" s="27"/>
      <c r="J238" s="54">
        <v>0</v>
      </c>
      <c r="K238" s="59"/>
    </row>
    <row r="239" spans="2:11" ht="15">
      <c r="B239" s="22"/>
      <c r="C239" s="23"/>
      <c r="D239" s="24"/>
      <c r="E239" s="23"/>
      <c r="F239" s="25"/>
      <c r="G239" s="26"/>
      <c r="H239" s="27"/>
      <c r="I239" s="27"/>
      <c r="J239" s="54">
        <v>0</v>
      </c>
      <c r="K239" s="59"/>
    </row>
    <row r="240" spans="2:11" ht="15">
      <c r="B240" s="22"/>
      <c r="C240" s="23"/>
      <c r="D240" s="24"/>
      <c r="E240" s="23"/>
      <c r="F240" s="25"/>
      <c r="G240" s="26"/>
      <c r="H240" s="27"/>
      <c r="I240" s="27"/>
      <c r="J240" s="54">
        <v>0</v>
      </c>
      <c r="K240" s="59"/>
    </row>
    <row r="241" spans="2:11" ht="15">
      <c r="B241" s="22"/>
      <c r="C241" s="23"/>
      <c r="D241" s="24"/>
      <c r="E241" s="23"/>
      <c r="F241" s="25"/>
      <c r="G241" s="26"/>
      <c r="H241" s="27"/>
      <c r="I241" s="27"/>
      <c r="J241" s="54">
        <v>0</v>
      </c>
      <c r="K241" s="59"/>
    </row>
    <row r="242" spans="2:11" ht="15">
      <c r="B242" s="22"/>
      <c r="C242" s="23"/>
      <c r="D242" s="24"/>
      <c r="E242" s="23"/>
      <c r="F242" s="25"/>
      <c r="G242" s="26"/>
      <c r="H242" s="27"/>
      <c r="I242" s="27"/>
      <c r="J242" s="54">
        <v>0</v>
      </c>
      <c r="K242" s="59"/>
    </row>
    <row r="243" spans="2:11" ht="15">
      <c r="B243" s="22"/>
      <c r="C243" s="23"/>
      <c r="D243" s="24"/>
      <c r="E243" s="23"/>
      <c r="F243" s="25"/>
      <c r="G243" s="26"/>
      <c r="H243" s="27"/>
      <c r="I243" s="27"/>
      <c r="J243" s="54">
        <v>0</v>
      </c>
      <c r="K243" s="59"/>
    </row>
    <row r="244" spans="2:11" ht="15">
      <c r="B244" s="22"/>
      <c r="C244" s="23"/>
      <c r="D244" s="24"/>
      <c r="E244" s="23"/>
      <c r="F244" s="25"/>
      <c r="G244" s="26"/>
      <c r="H244" s="27"/>
      <c r="I244" s="27"/>
      <c r="J244" s="54">
        <v>0</v>
      </c>
      <c r="K244" s="59"/>
    </row>
    <row r="245" spans="2:11" ht="15">
      <c r="B245" s="22"/>
      <c r="C245" s="23"/>
      <c r="D245" s="24"/>
      <c r="E245" s="23"/>
      <c r="F245" s="25"/>
      <c r="G245" s="26"/>
      <c r="H245" s="27"/>
      <c r="I245" s="27"/>
      <c r="J245" s="54">
        <v>0</v>
      </c>
      <c r="K245" s="59"/>
    </row>
    <row r="246" spans="2:11" ht="15">
      <c r="B246" s="22"/>
      <c r="C246" s="23"/>
      <c r="D246" s="24"/>
      <c r="E246" s="23"/>
      <c r="F246" s="25"/>
      <c r="G246" s="26"/>
      <c r="H246" s="27"/>
      <c r="I246" s="27"/>
      <c r="J246" s="54">
        <v>0</v>
      </c>
      <c r="K246" s="59"/>
    </row>
    <row r="247" spans="2:11" ht="15">
      <c r="B247" s="22"/>
      <c r="C247" s="23"/>
      <c r="D247" s="24"/>
      <c r="E247" s="23"/>
      <c r="F247" s="25"/>
      <c r="G247" s="26"/>
      <c r="H247" s="27"/>
      <c r="I247" s="27"/>
      <c r="J247" s="54">
        <v>0</v>
      </c>
      <c r="K247" s="59"/>
    </row>
    <row r="248" spans="2:11" ht="15">
      <c r="B248" s="22"/>
      <c r="C248" s="23"/>
      <c r="D248" s="24"/>
      <c r="E248" s="23"/>
      <c r="F248" s="25"/>
      <c r="G248" s="26"/>
      <c r="H248" s="27"/>
      <c r="I248" s="27"/>
      <c r="J248" s="54">
        <v>0</v>
      </c>
      <c r="K248" s="59"/>
    </row>
    <row r="249" spans="2:11" ht="15">
      <c r="B249" s="22"/>
      <c r="C249" s="23"/>
      <c r="D249" s="24"/>
      <c r="E249" s="23"/>
      <c r="F249" s="25"/>
      <c r="G249" s="26"/>
      <c r="H249" s="27"/>
      <c r="I249" s="27"/>
      <c r="J249" s="54">
        <v>0</v>
      </c>
      <c r="K249" s="59"/>
    </row>
    <row r="250" spans="2:11" ht="15">
      <c r="B250" s="22"/>
      <c r="C250" s="23"/>
      <c r="D250" s="24"/>
      <c r="E250" s="23"/>
      <c r="F250" s="25"/>
      <c r="G250" s="26"/>
      <c r="H250" s="27"/>
      <c r="I250" s="27"/>
      <c r="J250" s="54">
        <v>0</v>
      </c>
      <c r="K250" s="59"/>
    </row>
    <row r="251" spans="2:11" ht="15">
      <c r="B251" s="22"/>
      <c r="C251" s="23"/>
      <c r="D251" s="24"/>
      <c r="E251" s="23"/>
      <c r="F251" s="25"/>
      <c r="G251" s="26"/>
      <c r="H251" s="27"/>
      <c r="I251" s="27"/>
      <c r="J251" s="54">
        <v>0</v>
      </c>
      <c r="K251" s="59"/>
    </row>
    <row r="252" spans="2:11" ht="15">
      <c r="B252" s="22"/>
      <c r="C252" s="23"/>
      <c r="D252" s="24"/>
      <c r="E252" s="23"/>
      <c r="F252" s="25"/>
      <c r="G252" s="26"/>
      <c r="H252" s="27"/>
      <c r="I252" s="27"/>
      <c r="J252" s="54">
        <v>0</v>
      </c>
      <c r="K252" s="59"/>
    </row>
    <row r="253" spans="2:11" ht="15">
      <c r="B253" s="22"/>
      <c r="C253" s="23"/>
      <c r="D253" s="24"/>
      <c r="E253" s="23"/>
      <c r="F253" s="25"/>
      <c r="G253" s="26"/>
      <c r="H253" s="27"/>
      <c r="I253" s="27"/>
      <c r="J253" s="54">
        <v>0</v>
      </c>
      <c r="K253" s="59"/>
    </row>
    <row r="254" spans="2:11" ht="15">
      <c r="B254" s="22"/>
      <c r="C254" s="23"/>
      <c r="D254" s="24"/>
      <c r="E254" s="23"/>
      <c r="F254" s="25"/>
      <c r="G254" s="26"/>
      <c r="H254" s="27"/>
      <c r="I254" s="27"/>
      <c r="J254" s="54">
        <v>0</v>
      </c>
      <c r="K254" s="59"/>
    </row>
    <row r="255" spans="2:11" ht="15">
      <c r="B255" s="22"/>
      <c r="C255" s="23"/>
      <c r="D255" s="24"/>
      <c r="E255" s="23"/>
      <c r="F255" s="25"/>
      <c r="G255" s="26"/>
      <c r="H255" s="27"/>
      <c r="I255" s="27"/>
      <c r="J255" s="54">
        <v>0</v>
      </c>
      <c r="K255" s="59"/>
    </row>
    <row r="256" spans="2:11" ht="15">
      <c r="B256" s="22"/>
      <c r="C256" s="23"/>
      <c r="D256" s="24"/>
      <c r="E256" s="23"/>
      <c r="F256" s="25"/>
      <c r="G256" s="26"/>
      <c r="H256" s="27"/>
      <c r="I256" s="27"/>
      <c r="J256" s="54">
        <v>0</v>
      </c>
      <c r="K256" s="75">
        <f>SUM(J253:J256)</f>
        <v>0</v>
      </c>
    </row>
    <row r="257" spans="2:11" ht="15">
      <c r="B257" s="22"/>
      <c r="C257" s="23"/>
      <c r="D257" s="24"/>
      <c r="E257" s="23"/>
      <c r="F257" s="25"/>
      <c r="G257" s="26"/>
      <c r="H257" s="27"/>
      <c r="I257" s="27"/>
      <c r="J257" s="54">
        <v>0</v>
      </c>
      <c r="K257" s="59"/>
    </row>
    <row r="258" spans="2:11" ht="15">
      <c r="B258" s="22"/>
      <c r="C258" s="23"/>
      <c r="D258" s="38"/>
      <c r="E258" s="23"/>
      <c r="F258" s="25"/>
      <c r="G258" s="26"/>
      <c r="H258" s="27"/>
      <c r="I258" s="27"/>
      <c r="J258" s="54">
        <v>0</v>
      </c>
      <c r="K258" s="59"/>
    </row>
    <row r="259" spans="2:11" ht="15">
      <c r="B259" s="22"/>
      <c r="C259" s="23"/>
      <c r="D259" s="38"/>
      <c r="E259" s="23"/>
      <c r="F259" s="25"/>
      <c r="G259" s="26"/>
      <c r="H259" s="27"/>
      <c r="I259" s="27"/>
      <c r="J259" s="54">
        <v>0</v>
      </c>
      <c r="K259" s="59"/>
    </row>
    <row r="260" spans="2:11" ht="15">
      <c r="B260" s="22"/>
      <c r="C260" s="23"/>
      <c r="D260" s="38"/>
      <c r="E260" s="23"/>
      <c r="F260" s="25"/>
      <c r="G260" s="26"/>
      <c r="H260" s="27"/>
      <c r="I260" s="27"/>
      <c r="J260" s="54">
        <v>0</v>
      </c>
      <c r="K260" s="59"/>
    </row>
    <row r="261" spans="2:11" ht="15">
      <c r="B261" s="22"/>
      <c r="C261" s="23"/>
      <c r="D261" s="24"/>
      <c r="E261" s="23"/>
      <c r="F261" s="25"/>
      <c r="G261" s="26"/>
      <c r="H261" s="27"/>
      <c r="I261" s="27"/>
      <c r="J261" s="54">
        <v>0</v>
      </c>
      <c r="K261" s="59"/>
    </row>
    <row r="262" spans="2:11" ht="15">
      <c r="B262" s="22"/>
      <c r="C262" s="23"/>
      <c r="D262" s="24"/>
      <c r="E262" s="23"/>
      <c r="F262" s="25"/>
      <c r="G262" s="26"/>
      <c r="H262" s="27"/>
      <c r="I262" s="27"/>
      <c r="J262" s="54">
        <v>0</v>
      </c>
      <c r="K262" s="59"/>
    </row>
    <row r="263" spans="2:11" ht="15">
      <c r="B263" s="22"/>
      <c r="C263" s="23"/>
      <c r="D263" s="24"/>
      <c r="E263" s="23"/>
      <c r="F263" s="25"/>
      <c r="G263" s="26"/>
      <c r="H263" s="27"/>
      <c r="I263" s="27"/>
      <c r="J263" s="54">
        <v>0</v>
      </c>
      <c r="K263" s="59"/>
    </row>
    <row r="264" spans="2:11" ht="15">
      <c r="B264" s="22"/>
      <c r="C264" s="23"/>
      <c r="D264" s="24"/>
      <c r="E264" s="23"/>
      <c r="F264" s="25"/>
      <c r="G264" s="26"/>
      <c r="H264" s="27"/>
      <c r="I264" s="27"/>
      <c r="J264" s="54">
        <v>0</v>
      </c>
      <c r="K264" s="59"/>
    </row>
    <row r="265" spans="2:11" ht="15">
      <c r="B265" s="22"/>
      <c r="C265" s="23"/>
      <c r="D265" s="24"/>
      <c r="E265" s="23"/>
      <c r="F265" s="25"/>
      <c r="G265" s="26"/>
      <c r="H265" s="27"/>
      <c r="I265" s="27"/>
      <c r="J265" s="54">
        <v>0</v>
      </c>
      <c r="K265" s="59"/>
    </row>
    <row r="266" spans="2:11" ht="15">
      <c r="B266" s="22"/>
      <c r="C266" s="23"/>
      <c r="D266" s="24"/>
      <c r="E266" s="23"/>
      <c r="F266" s="25"/>
      <c r="G266" s="26"/>
      <c r="H266" s="27"/>
      <c r="I266" s="27"/>
      <c r="J266" s="54">
        <v>0</v>
      </c>
      <c r="K266" s="59"/>
    </row>
    <row r="267" spans="2:11" ht="15">
      <c r="B267" s="22"/>
      <c r="C267" s="23"/>
      <c r="D267" s="24"/>
      <c r="E267" s="23"/>
      <c r="F267" s="25"/>
      <c r="G267" s="26"/>
      <c r="H267" s="27"/>
      <c r="I267" s="27"/>
      <c r="J267" s="54">
        <v>0</v>
      </c>
      <c r="K267" s="59"/>
    </row>
    <row r="268" spans="2:11" ht="15">
      <c r="B268" s="22"/>
      <c r="C268" s="23"/>
      <c r="D268" s="24"/>
      <c r="E268" s="23"/>
      <c r="F268" s="25"/>
      <c r="G268" s="26"/>
      <c r="H268" s="27"/>
      <c r="I268" s="27"/>
      <c r="J268" s="54">
        <v>0</v>
      </c>
      <c r="K268" s="59"/>
    </row>
    <row r="269" spans="2:11" ht="15">
      <c r="B269" s="22"/>
      <c r="C269" s="23"/>
      <c r="D269" s="24"/>
      <c r="E269" s="23"/>
      <c r="F269" s="25"/>
      <c r="G269" s="26"/>
      <c r="H269" s="27"/>
      <c r="I269" s="27"/>
      <c r="J269" s="54">
        <v>0</v>
      </c>
      <c r="K269" s="59"/>
    </row>
    <row r="270" spans="2:11" ht="15">
      <c r="B270" s="22"/>
      <c r="C270" s="23"/>
      <c r="D270" s="24"/>
      <c r="E270" s="23"/>
      <c r="F270" s="25"/>
      <c r="G270" s="26"/>
      <c r="H270" s="27"/>
      <c r="I270" s="27"/>
      <c r="J270" s="54">
        <v>0</v>
      </c>
      <c r="K270" s="59"/>
    </row>
    <row r="271" spans="2:11" ht="15">
      <c r="B271" s="22"/>
      <c r="C271" s="23"/>
      <c r="D271" s="24"/>
      <c r="E271" s="23"/>
      <c r="F271" s="25"/>
      <c r="G271" s="26"/>
      <c r="H271" s="27"/>
      <c r="I271" s="27"/>
      <c r="J271" s="54">
        <v>0</v>
      </c>
      <c r="K271" s="59"/>
    </row>
    <row r="272" spans="2:11" ht="15">
      <c r="B272" s="22"/>
      <c r="C272" s="23"/>
      <c r="D272" s="24"/>
      <c r="E272" s="23"/>
      <c r="F272" s="25"/>
      <c r="G272" s="26"/>
      <c r="H272" s="27"/>
      <c r="I272" s="27"/>
      <c r="J272" s="54">
        <v>0</v>
      </c>
    </row>
    <row r="273" spans="2:12" ht="15">
      <c r="B273" s="22"/>
      <c r="C273" s="23"/>
      <c r="D273" s="24"/>
      <c r="E273" s="23"/>
      <c r="F273" s="25"/>
      <c r="G273" s="26"/>
      <c r="H273" s="27"/>
      <c r="I273" s="27"/>
      <c r="J273" s="54">
        <v>0</v>
      </c>
    </row>
    <row r="274" spans="2:12" ht="15">
      <c r="B274" s="22"/>
      <c r="C274" s="23"/>
      <c r="D274" s="24"/>
      <c r="E274" s="23"/>
      <c r="F274" s="25"/>
      <c r="G274" s="26"/>
      <c r="H274" s="27"/>
      <c r="I274" s="27"/>
      <c r="J274" s="54">
        <v>0</v>
      </c>
    </row>
    <row r="275" spans="2:12" ht="15">
      <c r="B275" s="22"/>
      <c r="C275" s="23"/>
      <c r="D275" s="24"/>
      <c r="E275" s="23"/>
      <c r="F275" s="25"/>
      <c r="G275" s="26"/>
      <c r="H275" s="27"/>
      <c r="I275" s="27"/>
      <c r="J275" s="54">
        <v>0</v>
      </c>
    </row>
    <row r="276" spans="2:12" ht="15">
      <c r="B276" s="22"/>
      <c r="C276" s="23"/>
      <c r="D276" s="24"/>
      <c r="E276" s="23"/>
      <c r="F276" s="25"/>
      <c r="G276" s="26"/>
      <c r="H276" s="27"/>
      <c r="I276" s="27"/>
      <c r="J276" s="54">
        <v>0</v>
      </c>
    </row>
    <row r="277" spans="2:12" ht="15">
      <c r="B277" s="22"/>
      <c r="C277" s="23"/>
      <c r="D277" s="24"/>
      <c r="E277" s="23"/>
      <c r="F277" s="25"/>
      <c r="G277" s="26"/>
      <c r="H277" s="27"/>
      <c r="I277" s="27"/>
      <c r="J277" s="54">
        <v>0</v>
      </c>
    </row>
    <row r="278" spans="2:12" ht="15">
      <c r="B278" s="22"/>
      <c r="C278" s="23"/>
      <c r="D278" s="24"/>
      <c r="E278" s="23"/>
      <c r="F278" s="25"/>
      <c r="G278" s="26"/>
      <c r="H278" s="27"/>
      <c r="I278" s="27"/>
      <c r="J278" s="54">
        <v>0</v>
      </c>
    </row>
    <row r="279" spans="2:12" ht="15">
      <c r="B279" s="22"/>
      <c r="C279" s="23"/>
      <c r="D279" s="24"/>
      <c r="E279" s="23"/>
      <c r="F279" s="25"/>
      <c r="G279" s="26"/>
      <c r="H279" s="27"/>
      <c r="I279" s="27"/>
      <c r="J279" s="54">
        <v>0</v>
      </c>
    </row>
    <row r="280" spans="2:12" ht="15">
      <c r="B280" s="22"/>
      <c r="C280" s="23"/>
      <c r="D280" s="24"/>
      <c r="E280" s="23"/>
      <c r="F280" s="25"/>
      <c r="G280" s="26"/>
      <c r="H280" s="27"/>
      <c r="I280" s="27"/>
      <c r="J280" s="54">
        <v>0</v>
      </c>
    </row>
    <row r="281" spans="2:12" ht="15">
      <c r="B281" s="22"/>
      <c r="C281" s="23"/>
      <c r="D281" s="38"/>
      <c r="E281" s="23"/>
      <c r="F281" s="25"/>
      <c r="G281" s="26"/>
      <c r="H281" s="27"/>
      <c r="I281" s="27"/>
      <c r="J281" s="54">
        <v>0</v>
      </c>
      <c r="K281" s="59"/>
    </row>
    <row r="282" spans="2:12" ht="15">
      <c r="B282" s="22"/>
      <c r="C282" s="23"/>
      <c r="D282" s="38"/>
      <c r="E282" s="23"/>
      <c r="F282" s="25"/>
      <c r="G282" s="26"/>
      <c r="H282" s="27"/>
      <c r="I282" s="27"/>
      <c r="J282" s="54">
        <v>0</v>
      </c>
      <c r="K282" s="59"/>
    </row>
    <row r="283" spans="2:12" ht="15">
      <c r="B283" s="22"/>
      <c r="C283" s="23"/>
      <c r="D283" s="38"/>
      <c r="E283" s="23"/>
      <c r="F283" s="25"/>
      <c r="G283" s="26"/>
      <c r="H283" s="27"/>
      <c r="I283" s="27"/>
      <c r="J283" s="54">
        <v>0</v>
      </c>
      <c r="K283" s="59"/>
    </row>
    <row r="284" spans="2:12" ht="15">
      <c r="B284" s="22"/>
      <c r="C284" s="23"/>
      <c r="D284" s="38"/>
      <c r="E284" s="23"/>
      <c r="F284" s="25"/>
      <c r="G284" s="26"/>
      <c r="H284" s="27"/>
      <c r="I284" s="27"/>
      <c r="J284" s="54">
        <v>0</v>
      </c>
      <c r="K284" s="75"/>
      <c r="L284" s="76"/>
    </row>
    <row r="285" spans="2:12" ht="15">
      <c r="B285" s="22"/>
      <c r="C285" s="23"/>
      <c r="D285" s="38"/>
      <c r="E285" s="23"/>
      <c r="F285" s="25"/>
      <c r="G285" s="26"/>
      <c r="H285" s="27"/>
      <c r="I285" s="27"/>
      <c r="J285" s="54">
        <v>0</v>
      </c>
      <c r="K285" s="59"/>
    </row>
    <row r="286" spans="2:12" ht="15">
      <c r="B286" s="22"/>
      <c r="C286" s="23"/>
      <c r="D286" s="38"/>
      <c r="E286" s="23"/>
      <c r="F286" s="25"/>
      <c r="G286" s="26"/>
      <c r="H286" s="27"/>
      <c r="I286" s="27"/>
      <c r="J286" s="54">
        <v>0</v>
      </c>
      <c r="K286" s="59"/>
    </row>
    <row r="287" spans="2:12" ht="15">
      <c r="B287" s="22"/>
      <c r="C287" s="23"/>
      <c r="D287" s="24"/>
      <c r="E287" s="23"/>
      <c r="F287" s="25"/>
      <c r="G287" s="26"/>
      <c r="H287" s="27"/>
      <c r="I287" s="27"/>
      <c r="J287" s="54">
        <v>0</v>
      </c>
      <c r="K287" s="59"/>
    </row>
    <row r="288" spans="2:12" ht="15">
      <c r="B288" s="22"/>
      <c r="C288" s="23"/>
      <c r="D288" s="24"/>
      <c r="E288" s="23"/>
      <c r="F288" s="25"/>
      <c r="G288" s="26"/>
      <c r="H288" s="27"/>
      <c r="I288" s="27"/>
      <c r="J288" s="54">
        <v>0</v>
      </c>
      <c r="K288" s="59"/>
    </row>
    <row r="289" spans="2:11" ht="15">
      <c r="B289" s="22"/>
      <c r="C289" s="23"/>
      <c r="D289" s="24"/>
      <c r="E289" s="23"/>
      <c r="F289" s="25"/>
      <c r="G289" s="26"/>
      <c r="H289" s="27"/>
      <c r="I289" s="27"/>
      <c r="J289" s="54">
        <v>0</v>
      </c>
      <c r="K289" s="59"/>
    </row>
    <row r="290" spans="2:11" ht="15">
      <c r="B290" s="22"/>
      <c r="C290" s="23"/>
      <c r="D290" s="24"/>
      <c r="E290" s="23"/>
      <c r="F290" s="25"/>
      <c r="G290" s="26"/>
      <c r="H290" s="27"/>
      <c r="I290" s="27"/>
      <c r="J290" s="54">
        <v>0</v>
      </c>
      <c r="K290" s="59"/>
    </row>
    <row r="291" spans="2:11" ht="15">
      <c r="B291" s="22"/>
      <c r="C291" s="23"/>
      <c r="D291" s="24"/>
      <c r="E291" s="23"/>
      <c r="F291" s="25"/>
      <c r="G291" s="26"/>
      <c r="H291" s="27"/>
      <c r="I291" s="27"/>
      <c r="J291" s="54">
        <v>0</v>
      </c>
      <c r="K291" s="59"/>
    </row>
    <row r="292" spans="2:11" ht="15">
      <c r="B292" s="22"/>
      <c r="C292" s="23"/>
      <c r="D292" s="24"/>
      <c r="E292" s="23"/>
      <c r="F292" s="25"/>
      <c r="G292" s="26"/>
      <c r="H292" s="27"/>
      <c r="I292" s="27"/>
      <c r="J292" s="54">
        <v>0</v>
      </c>
      <c r="K292" s="59"/>
    </row>
    <row r="293" spans="2:11" ht="15">
      <c r="B293" s="22"/>
      <c r="C293" s="23"/>
      <c r="D293" s="24"/>
      <c r="E293" s="23"/>
      <c r="F293" s="25"/>
      <c r="G293" s="26"/>
      <c r="H293" s="27"/>
      <c r="I293" s="27"/>
      <c r="J293" s="54">
        <v>0</v>
      </c>
      <c r="K293" s="59"/>
    </row>
    <row r="294" spans="2:11" ht="15">
      <c r="B294" s="22"/>
      <c r="C294" s="23"/>
      <c r="D294" s="24"/>
      <c r="E294" s="23"/>
      <c r="F294" s="25"/>
      <c r="G294" s="26"/>
      <c r="H294" s="27"/>
      <c r="I294" s="27"/>
      <c r="J294" s="54">
        <v>0</v>
      </c>
      <c r="K294" s="59"/>
    </row>
    <row r="295" spans="2:11" ht="15">
      <c r="B295" s="22"/>
      <c r="C295" s="23"/>
      <c r="D295" s="24"/>
      <c r="E295" s="23"/>
      <c r="F295" s="25"/>
      <c r="G295" s="26"/>
      <c r="H295" s="27"/>
      <c r="I295" s="27"/>
      <c r="J295" s="54">
        <v>0</v>
      </c>
      <c r="K295" s="59"/>
    </row>
    <row r="296" spans="2:11" ht="15">
      <c r="B296" s="22"/>
      <c r="C296" s="23"/>
      <c r="D296" s="24"/>
      <c r="E296" s="23"/>
      <c r="F296" s="25"/>
      <c r="G296" s="26"/>
      <c r="H296" s="27"/>
      <c r="I296" s="27"/>
      <c r="J296" s="54">
        <v>0</v>
      </c>
      <c r="K296" s="59"/>
    </row>
    <row r="297" spans="2:11" ht="15">
      <c r="B297" s="22"/>
      <c r="C297" s="23"/>
      <c r="D297" s="24"/>
      <c r="E297" s="23"/>
      <c r="F297" s="25"/>
      <c r="G297" s="26"/>
      <c r="H297" s="27"/>
      <c r="I297" s="27"/>
      <c r="J297" s="54">
        <v>0</v>
      </c>
      <c r="K297" s="59"/>
    </row>
    <row r="298" spans="2:11" ht="15">
      <c r="B298" s="22"/>
      <c r="C298" s="23"/>
      <c r="D298" s="24"/>
      <c r="E298" s="23"/>
      <c r="F298" s="25"/>
      <c r="G298" s="26"/>
      <c r="H298" s="27"/>
      <c r="I298" s="27"/>
      <c r="J298" s="54">
        <v>0</v>
      </c>
      <c r="K298" s="59"/>
    </row>
    <row r="299" spans="2:11" ht="15">
      <c r="B299" s="22"/>
      <c r="C299" s="23"/>
      <c r="D299" s="24"/>
      <c r="E299" s="23"/>
      <c r="F299" s="25"/>
      <c r="G299" s="26"/>
      <c r="H299" s="27"/>
      <c r="I299" s="27"/>
      <c r="J299" s="54">
        <v>0</v>
      </c>
      <c r="K299" s="59"/>
    </row>
    <row r="300" spans="2:11" ht="15">
      <c r="B300" s="22"/>
      <c r="C300" s="23"/>
      <c r="D300" s="24"/>
      <c r="E300" s="23"/>
      <c r="F300" s="25"/>
      <c r="G300" s="26"/>
      <c r="H300" s="27"/>
      <c r="I300" s="27"/>
      <c r="J300" s="54">
        <v>0</v>
      </c>
      <c r="K300" s="59"/>
    </row>
    <row r="301" spans="2:11" ht="15">
      <c r="B301" s="22"/>
      <c r="C301" s="23"/>
      <c r="D301" s="38"/>
      <c r="E301" s="23"/>
      <c r="F301" s="25"/>
      <c r="G301" s="26"/>
      <c r="H301" s="27"/>
      <c r="I301" s="27"/>
      <c r="J301" s="54">
        <v>0</v>
      </c>
      <c r="K301" s="59"/>
    </row>
    <row r="302" spans="2:11" ht="15">
      <c r="B302" s="22"/>
      <c r="C302" s="23"/>
      <c r="D302" s="38"/>
      <c r="E302" s="23"/>
      <c r="F302" s="25"/>
      <c r="G302" s="26"/>
      <c r="H302" s="27"/>
      <c r="I302" s="27"/>
      <c r="J302" s="54">
        <v>0</v>
      </c>
      <c r="K302" s="59"/>
    </row>
    <row r="303" spans="2:11" ht="15">
      <c r="B303" s="22"/>
      <c r="C303" s="23"/>
      <c r="D303" s="24"/>
      <c r="E303" s="23"/>
      <c r="F303" s="25"/>
      <c r="G303" s="26"/>
      <c r="H303" s="27"/>
      <c r="I303" s="27"/>
      <c r="J303" s="54">
        <v>0</v>
      </c>
      <c r="K303" s="59"/>
    </row>
    <row r="304" spans="2:11" ht="15">
      <c r="B304" s="22"/>
      <c r="C304" s="23"/>
      <c r="D304" s="24"/>
      <c r="E304" s="23"/>
      <c r="F304" s="25"/>
      <c r="G304" s="26"/>
      <c r="H304" s="27"/>
      <c r="I304" s="27"/>
      <c r="J304" s="54">
        <v>0</v>
      </c>
      <c r="K304" s="59"/>
    </row>
    <row r="305" spans="2:11" ht="15">
      <c r="B305" s="22"/>
      <c r="C305" s="23"/>
      <c r="D305" s="24"/>
      <c r="E305" s="23"/>
      <c r="F305" s="25"/>
      <c r="G305" s="26"/>
      <c r="H305" s="27"/>
      <c r="I305" s="27"/>
      <c r="J305" s="54">
        <v>0</v>
      </c>
      <c r="K305" s="59"/>
    </row>
    <row r="306" spans="2:11" ht="15">
      <c r="B306" s="22"/>
      <c r="C306" s="23"/>
      <c r="D306" s="24"/>
      <c r="E306" s="23"/>
      <c r="F306" s="25"/>
      <c r="G306" s="26"/>
      <c r="H306" s="27"/>
      <c r="I306" s="27"/>
      <c r="J306" s="54">
        <v>0</v>
      </c>
      <c r="K306" s="59"/>
    </row>
    <row r="307" spans="2:11" ht="15">
      <c r="B307" s="22"/>
      <c r="C307" s="23"/>
      <c r="D307" s="24"/>
      <c r="E307" s="23"/>
      <c r="F307" s="25"/>
      <c r="G307" s="26"/>
      <c r="H307" s="27"/>
      <c r="I307" s="27"/>
      <c r="J307" s="54">
        <v>0</v>
      </c>
      <c r="K307" s="59"/>
    </row>
    <row r="308" spans="2:11" ht="15">
      <c r="B308" s="22"/>
      <c r="C308" s="23"/>
      <c r="D308" s="24"/>
      <c r="E308" s="23"/>
      <c r="F308" s="25"/>
      <c r="G308" s="26"/>
      <c r="H308" s="27"/>
      <c r="I308" s="27"/>
      <c r="J308" s="54">
        <v>0</v>
      </c>
      <c r="K308" s="59"/>
    </row>
    <row r="309" spans="2:11" ht="15">
      <c r="B309" s="22"/>
      <c r="C309" s="23"/>
      <c r="D309" s="24"/>
      <c r="E309" s="23"/>
      <c r="F309" s="25"/>
      <c r="G309" s="26"/>
      <c r="H309" s="27"/>
      <c r="I309" s="27"/>
      <c r="J309" s="54">
        <v>0</v>
      </c>
      <c r="K309" s="59"/>
    </row>
    <row r="310" spans="2:11" ht="15">
      <c r="B310" s="22"/>
      <c r="C310" s="23"/>
      <c r="D310" s="24"/>
      <c r="E310" s="23"/>
      <c r="F310" s="25"/>
      <c r="G310" s="26"/>
      <c r="H310" s="27"/>
      <c r="I310" s="27"/>
      <c r="J310" s="54">
        <v>0</v>
      </c>
      <c r="K310" s="59"/>
    </row>
    <row r="311" spans="2:11" ht="15">
      <c r="B311" s="22"/>
      <c r="C311" s="23"/>
      <c r="D311" s="24"/>
      <c r="E311" s="23"/>
      <c r="F311" s="25"/>
      <c r="G311" s="26"/>
      <c r="H311" s="27"/>
      <c r="I311" s="27"/>
      <c r="J311" s="54">
        <v>0</v>
      </c>
      <c r="K311" s="59"/>
    </row>
    <row r="312" spans="2:11" ht="15">
      <c r="B312" s="22"/>
      <c r="C312" s="23"/>
      <c r="D312" s="24"/>
      <c r="E312" s="23"/>
      <c r="F312" s="25"/>
      <c r="G312" s="26"/>
      <c r="H312" s="27"/>
      <c r="I312" s="27"/>
      <c r="J312" s="54">
        <v>0</v>
      </c>
      <c r="K312" s="59"/>
    </row>
    <row r="313" spans="2:11" ht="15">
      <c r="B313" s="22"/>
      <c r="C313" s="23"/>
      <c r="D313" s="24"/>
      <c r="E313" s="23"/>
      <c r="F313" s="25"/>
      <c r="G313" s="26"/>
      <c r="H313" s="27"/>
      <c r="I313" s="27"/>
      <c r="J313" s="54">
        <v>0</v>
      </c>
      <c r="K313" s="59"/>
    </row>
    <row r="314" spans="2:11" ht="15">
      <c r="B314" s="22"/>
      <c r="C314" s="23"/>
      <c r="D314" s="24"/>
      <c r="E314" s="23"/>
      <c r="F314" s="25"/>
      <c r="G314" s="26"/>
      <c r="H314" s="27"/>
      <c r="I314" s="27"/>
      <c r="J314" s="54">
        <v>0</v>
      </c>
      <c r="K314" s="59"/>
    </row>
    <row r="315" spans="2:11" ht="15">
      <c r="B315" s="22"/>
      <c r="C315" s="23"/>
      <c r="D315" s="24"/>
      <c r="E315" s="23"/>
      <c r="F315" s="25"/>
      <c r="G315" s="26"/>
      <c r="H315" s="27"/>
      <c r="I315" s="27"/>
      <c r="J315" s="54">
        <v>0</v>
      </c>
      <c r="K315" s="59"/>
    </row>
    <row r="316" spans="2:11" ht="15">
      <c r="B316" s="22"/>
      <c r="C316" s="23"/>
      <c r="D316" s="24"/>
      <c r="E316" s="23"/>
      <c r="F316" s="25"/>
      <c r="G316" s="26"/>
      <c r="H316" s="27"/>
      <c r="I316" s="27"/>
      <c r="J316" s="54">
        <v>0</v>
      </c>
      <c r="K316" s="59"/>
    </row>
    <row r="317" spans="2:11" ht="15">
      <c r="B317" s="22"/>
      <c r="C317" s="23"/>
      <c r="D317" s="24"/>
      <c r="E317" s="23"/>
      <c r="F317" s="25"/>
      <c r="G317" s="26"/>
      <c r="H317" s="27"/>
      <c r="I317" s="27"/>
      <c r="J317" s="54">
        <v>0</v>
      </c>
      <c r="K317" s="59"/>
    </row>
    <row r="318" spans="2:11" ht="15">
      <c r="B318" s="22"/>
      <c r="C318" s="23"/>
      <c r="D318" s="24"/>
      <c r="E318" s="23"/>
      <c r="F318" s="25"/>
      <c r="G318" s="26"/>
      <c r="H318" s="27"/>
      <c r="I318" s="27"/>
      <c r="J318" s="54">
        <v>0</v>
      </c>
      <c r="K318" s="59"/>
    </row>
    <row r="319" spans="2:11" ht="15">
      <c r="B319" s="22"/>
      <c r="C319" s="23"/>
      <c r="D319" s="24"/>
      <c r="E319" s="23"/>
      <c r="F319" s="25"/>
      <c r="G319" s="26"/>
      <c r="H319" s="27"/>
      <c r="I319" s="27"/>
      <c r="J319" s="54">
        <v>0</v>
      </c>
      <c r="K319" s="59"/>
    </row>
    <row r="320" spans="2:11" ht="15">
      <c r="B320" s="22"/>
      <c r="C320" s="23"/>
      <c r="D320" s="24"/>
      <c r="E320" s="23"/>
      <c r="F320" s="25"/>
      <c r="G320" s="26"/>
      <c r="H320" s="27"/>
      <c r="I320" s="27"/>
      <c r="J320" s="54">
        <v>0</v>
      </c>
      <c r="K320" s="59"/>
    </row>
    <row r="321" spans="2:11" ht="15">
      <c r="B321" s="22"/>
      <c r="C321" s="23"/>
      <c r="D321" s="24"/>
      <c r="E321" s="23"/>
      <c r="F321" s="25"/>
      <c r="G321" s="26"/>
      <c r="H321" s="27"/>
      <c r="I321" s="27"/>
      <c r="J321" s="54">
        <v>0</v>
      </c>
      <c r="K321" s="59"/>
    </row>
    <row r="322" spans="2:11" ht="15">
      <c r="B322" s="22"/>
      <c r="C322" s="23"/>
      <c r="D322" s="24"/>
      <c r="E322" s="23"/>
      <c r="F322" s="25"/>
      <c r="G322" s="26"/>
      <c r="H322" s="27"/>
      <c r="I322" s="27"/>
      <c r="J322" s="54">
        <v>0</v>
      </c>
      <c r="K322" s="59"/>
    </row>
    <row r="323" spans="2:11" ht="15">
      <c r="B323" s="22"/>
      <c r="C323" s="23"/>
      <c r="D323" s="24"/>
      <c r="E323" s="23"/>
      <c r="F323" s="25"/>
      <c r="G323" s="26"/>
      <c r="H323" s="27"/>
      <c r="I323" s="27"/>
      <c r="J323" s="54">
        <v>0</v>
      </c>
      <c r="K323" s="59"/>
    </row>
    <row r="324" spans="2:11" ht="15">
      <c r="B324" s="22"/>
      <c r="C324" s="23"/>
      <c r="D324" s="24"/>
      <c r="E324" s="23"/>
      <c r="F324" s="25"/>
      <c r="G324" s="26"/>
      <c r="H324" s="27"/>
      <c r="I324" s="27"/>
      <c r="J324" s="54">
        <v>0</v>
      </c>
      <c r="K324" s="59"/>
    </row>
    <row r="325" spans="2:11" ht="15">
      <c r="B325" s="22"/>
      <c r="C325" s="23"/>
      <c r="D325" s="24"/>
      <c r="E325" s="23"/>
      <c r="F325" s="25"/>
      <c r="G325" s="26"/>
      <c r="H325" s="27"/>
      <c r="I325" s="27"/>
      <c r="J325" s="54">
        <v>0</v>
      </c>
      <c r="K325" s="59"/>
    </row>
    <row r="326" spans="2:11" ht="15">
      <c r="B326" s="22"/>
      <c r="C326" s="23"/>
      <c r="D326" s="24"/>
      <c r="E326" s="23"/>
      <c r="F326" s="25"/>
      <c r="G326" s="26"/>
      <c r="H326" s="27"/>
      <c r="I326" s="27"/>
      <c r="J326" s="54">
        <v>0</v>
      </c>
      <c r="K326" s="59"/>
    </row>
    <row r="327" spans="2:11" ht="15">
      <c r="B327" s="22"/>
      <c r="C327" s="23"/>
      <c r="D327" s="24"/>
      <c r="E327" s="23"/>
      <c r="F327" s="25"/>
      <c r="G327" s="26"/>
      <c r="H327" s="27"/>
      <c r="I327" s="27"/>
      <c r="J327" s="54">
        <v>0</v>
      </c>
      <c r="K327" s="59"/>
    </row>
    <row r="328" spans="2:11" ht="15">
      <c r="B328" s="22"/>
      <c r="C328" s="23"/>
      <c r="D328" s="24"/>
      <c r="E328" s="23"/>
      <c r="F328" s="25"/>
      <c r="G328" s="26"/>
      <c r="H328" s="27"/>
      <c r="I328" s="27"/>
      <c r="J328" s="54">
        <v>0</v>
      </c>
      <c r="K328" s="59"/>
    </row>
    <row r="329" spans="2:11" ht="15">
      <c r="B329" s="22"/>
      <c r="C329" s="23"/>
      <c r="D329" s="24"/>
      <c r="E329" s="23"/>
      <c r="F329" s="25"/>
      <c r="G329" s="26"/>
      <c r="H329" s="27"/>
      <c r="I329" s="27"/>
      <c r="J329" s="54">
        <v>0</v>
      </c>
      <c r="K329" s="59"/>
    </row>
    <row r="330" spans="2:11" ht="15">
      <c r="B330" s="22"/>
      <c r="C330" s="23"/>
      <c r="D330" s="24"/>
      <c r="E330" s="23"/>
      <c r="F330" s="25"/>
      <c r="G330" s="26"/>
      <c r="H330" s="27"/>
      <c r="I330" s="27"/>
      <c r="J330" s="54">
        <v>0</v>
      </c>
      <c r="K330" s="59"/>
    </row>
    <row r="331" spans="2:11" ht="15">
      <c r="B331" s="22"/>
      <c r="C331" s="23"/>
      <c r="D331" s="24"/>
      <c r="E331" s="23"/>
      <c r="F331" s="25"/>
      <c r="G331" s="26"/>
      <c r="H331" s="27"/>
      <c r="I331" s="27"/>
      <c r="J331" s="54">
        <v>0</v>
      </c>
      <c r="K331" s="59"/>
    </row>
    <row r="332" spans="2:11" ht="15">
      <c r="B332" s="22"/>
      <c r="C332" s="23"/>
      <c r="D332" s="24"/>
      <c r="E332" s="23"/>
      <c r="F332" s="25"/>
      <c r="G332" s="26"/>
      <c r="H332" s="27"/>
      <c r="I332" s="27"/>
      <c r="J332" s="54">
        <v>0</v>
      </c>
      <c r="K332" s="59"/>
    </row>
    <row r="333" spans="2:11" ht="15">
      <c r="B333" s="22"/>
      <c r="C333" s="23"/>
      <c r="D333" s="24"/>
      <c r="E333" s="23"/>
      <c r="F333" s="25"/>
      <c r="G333" s="26"/>
      <c r="H333" s="27"/>
      <c r="I333" s="27"/>
      <c r="J333" s="54">
        <v>0</v>
      </c>
      <c r="K333" s="59"/>
    </row>
    <row r="334" spans="2:11" ht="15">
      <c r="B334" s="22"/>
      <c r="C334" s="23"/>
      <c r="D334" s="24"/>
      <c r="E334" s="23"/>
      <c r="F334" s="25"/>
      <c r="G334" s="26"/>
      <c r="H334" s="27"/>
      <c r="I334" s="27"/>
      <c r="J334" s="54">
        <v>0</v>
      </c>
      <c r="K334" s="59"/>
    </row>
    <row r="335" spans="2:11" ht="15">
      <c r="B335" s="22"/>
      <c r="C335" s="23"/>
      <c r="D335" s="24"/>
      <c r="E335" s="23"/>
      <c r="F335" s="25"/>
      <c r="G335" s="26"/>
      <c r="H335" s="27"/>
      <c r="I335" s="27"/>
      <c r="J335" s="54">
        <v>0</v>
      </c>
      <c r="K335" s="59"/>
    </row>
    <row r="336" spans="2:11" ht="15">
      <c r="B336" s="22"/>
      <c r="C336" s="23"/>
      <c r="D336" s="24"/>
      <c r="E336" s="23"/>
      <c r="F336" s="25"/>
      <c r="G336" s="26"/>
      <c r="H336" s="27"/>
      <c r="I336" s="27"/>
      <c r="J336" s="54">
        <v>0</v>
      </c>
      <c r="K336" s="75"/>
    </row>
    <row r="337" spans="2:12" ht="15">
      <c r="B337" s="22"/>
      <c r="C337" s="23"/>
      <c r="D337" s="24"/>
      <c r="E337" s="23"/>
      <c r="F337" s="25"/>
      <c r="G337" s="26"/>
      <c r="H337" s="27"/>
      <c r="I337" s="27"/>
      <c r="J337" s="54">
        <v>0</v>
      </c>
      <c r="K337" s="59"/>
    </row>
    <row r="338" spans="2:12" ht="15">
      <c r="B338" s="22"/>
      <c r="C338" s="23"/>
      <c r="D338" s="24"/>
      <c r="E338" s="23"/>
      <c r="F338" s="25"/>
      <c r="G338" s="26"/>
      <c r="H338" s="27"/>
      <c r="I338" s="27"/>
      <c r="J338" s="54">
        <v>0</v>
      </c>
      <c r="K338" s="59"/>
    </row>
    <row r="339" spans="2:12" ht="15">
      <c r="B339" s="22"/>
      <c r="C339" s="23"/>
      <c r="D339" s="24"/>
      <c r="E339" s="23"/>
      <c r="F339" s="25"/>
      <c r="G339" s="26"/>
      <c r="H339" s="27"/>
      <c r="I339" s="27"/>
      <c r="J339" s="54">
        <v>0</v>
      </c>
      <c r="K339" s="59"/>
    </row>
    <row r="340" spans="2:12" ht="15">
      <c r="B340" s="22"/>
      <c r="C340" s="23"/>
      <c r="D340" s="24"/>
      <c r="E340" s="23"/>
      <c r="F340" s="25"/>
      <c r="G340" s="26"/>
      <c r="H340" s="27"/>
      <c r="I340" s="27"/>
      <c r="J340" s="54">
        <v>0</v>
      </c>
      <c r="K340" s="59"/>
    </row>
    <row r="341" spans="2:12" ht="15">
      <c r="B341" s="22"/>
      <c r="C341" s="23"/>
      <c r="D341" s="24"/>
      <c r="E341" s="23"/>
      <c r="F341" s="25"/>
      <c r="G341" s="26"/>
      <c r="H341" s="27"/>
      <c r="I341" s="27"/>
      <c r="J341" s="54">
        <v>0</v>
      </c>
      <c r="K341" s="59"/>
    </row>
    <row r="342" spans="2:12" ht="15">
      <c r="B342" s="22"/>
      <c r="C342" s="23"/>
      <c r="D342" s="24"/>
      <c r="E342" s="23"/>
      <c r="F342" s="25"/>
      <c r="G342" s="26"/>
      <c r="H342" s="27"/>
      <c r="I342" s="27"/>
      <c r="J342" s="54">
        <v>0</v>
      </c>
      <c r="K342" s="75"/>
      <c r="L342" s="76"/>
    </row>
    <row r="343" spans="2:12" ht="15">
      <c r="B343" s="22"/>
      <c r="C343" s="23"/>
      <c r="D343" s="24"/>
      <c r="E343" s="23"/>
      <c r="F343" s="25"/>
      <c r="G343" s="26"/>
      <c r="H343" s="27"/>
      <c r="I343" s="27"/>
      <c r="J343" s="54">
        <v>0</v>
      </c>
      <c r="K343" s="75"/>
      <c r="L343" s="76"/>
    </row>
    <row r="344" spans="2:12" ht="15">
      <c r="B344" s="22"/>
      <c r="C344" s="23"/>
      <c r="D344" s="24"/>
      <c r="E344" s="23"/>
      <c r="F344" s="25"/>
      <c r="G344" s="26"/>
      <c r="H344" s="27"/>
      <c r="I344" s="27"/>
      <c r="J344" s="54">
        <v>0</v>
      </c>
      <c r="K344" s="75"/>
      <c r="L344" s="76"/>
    </row>
    <row r="345" spans="2:12" ht="15">
      <c r="B345" s="22"/>
      <c r="C345" s="23"/>
      <c r="D345" s="24"/>
      <c r="E345" s="23"/>
      <c r="F345" s="25"/>
      <c r="G345" s="26"/>
      <c r="H345" s="27"/>
      <c r="I345" s="27"/>
      <c r="J345" s="54">
        <v>0</v>
      </c>
      <c r="K345" s="75"/>
      <c r="L345" s="76"/>
    </row>
    <row r="346" spans="2:12" ht="15">
      <c r="B346" s="22"/>
      <c r="C346" s="23"/>
      <c r="D346" s="24"/>
      <c r="E346" s="23"/>
      <c r="F346" s="25"/>
      <c r="G346" s="26"/>
      <c r="H346" s="27"/>
      <c r="I346" s="27"/>
      <c r="J346" s="54">
        <v>0</v>
      </c>
      <c r="K346" s="59"/>
    </row>
    <row r="347" spans="2:12" ht="15">
      <c r="B347" s="22"/>
      <c r="C347" s="23"/>
      <c r="D347" s="38"/>
      <c r="E347" s="23"/>
      <c r="F347" s="25"/>
      <c r="G347" s="26"/>
      <c r="H347" s="27"/>
      <c r="I347" s="27"/>
      <c r="J347" s="54">
        <v>0</v>
      </c>
      <c r="K347" s="59"/>
    </row>
    <row r="348" spans="2:12" ht="15">
      <c r="B348" s="22"/>
      <c r="C348" s="23"/>
      <c r="D348" s="38"/>
      <c r="E348" s="23"/>
      <c r="F348" s="25"/>
      <c r="G348" s="26"/>
      <c r="H348" s="27"/>
      <c r="I348" s="27"/>
      <c r="J348" s="54">
        <v>0</v>
      </c>
      <c r="K348" s="59"/>
    </row>
    <row r="349" spans="2:12" ht="15">
      <c r="B349" s="22"/>
      <c r="C349" s="23"/>
      <c r="D349" s="38"/>
      <c r="E349" s="23"/>
      <c r="F349" s="25"/>
      <c r="G349" s="26"/>
      <c r="H349" s="27"/>
      <c r="I349" s="27"/>
      <c r="J349" s="54">
        <v>0</v>
      </c>
      <c r="K349" s="59"/>
    </row>
    <row r="350" spans="2:12" ht="15">
      <c r="B350" s="22"/>
      <c r="C350" s="23"/>
      <c r="D350" s="38"/>
      <c r="E350" s="23"/>
      <c r="F350" s="25"/>
      <c r="G350" s="26"/>
      <c r="H350" s="27"/>
      <c r="I350" s="27"/>
      <c r="J350" s="54">
        <v>0</v>
      </c>
      <c r="K350" s="59"/>
    </row>
    <row r="351" spans="2:12" ht="15">
      <c r="B351" s="22"/>
      <c r="C351" s="23"/>
      <c r="D351" s="38"/>
      <c r="E351" s="23"/>
      <c r="F351" s="25"/>
      <c r="G351" s="26"/>
      <c r="H351" s="27"/>
      <c r="I351" s="27"/>
      <c r="J351" s="54">
        <v>0</v>
      </c>
      <c r="K351" s="59"/>
    </row>
    <row r="352" spans="2:12" ht="15">
      <c r="B352" s="22"/>
      <c r="C352" s="23"/>
      <c r="D352" s="38"/>
      <c r="E352" s="23"/>
      <c r="F352" s="25"/>
      <c r="G352" s="26"/>
      <c r="H352" s="27"/>
      <c r="I352" s="27"/>
      <c r="J352" s="54">
        <v>0</v>
      </c>
      <c r="K352" s="59"/>
    </row>
    <row r="353" spans="2:11" ht="15">
      <c r="B353" s="22"/>
      <c r="C353" s="23"/>
      <c r="D353" s="38"/>
      <c r="E353" s="23"/>
      <c r="F353" s="25"/>
      <c r="G353" s="26"/>
      <c r="H353" s="27"/>
      <c r="I353" s="27"/>
      <c r="J353" s="54">
        <v>0</v>
      </c>
      <c r="K353" s="59"/>
    </row>
    <row r="354" spans="2:11" ht="15">
      <c r="B354" s="22"/>
      <c r="C354" s="23"/>
      <c r="D354" s="38"/>
      <c r="E354" s="23"/>
      <c r="F354" s="25"/>
      <c r="G354" s="26"/>
      <c r="H354" s="27"/>
      <c r="I354" s="27"/>
      <c r="J354" s="54">
        <v>0</v>
      </c>
      <c r="K354" s="59"/>
    </row>
    <row r="355" spans="2:11" ht="15">
      <c r="B355" s="22"/>
      <c r="C355" s="23"/>
      <c r="D355" s="38"/>
      <c r="E355" s="23"/>
      <c r="F355" s="25"/>
      <c r="G355" s="26"/>
      <c r="H355" s="27"/>
      <c r="I355" s="27"/>
      <c r="J355" s="54">
        <v>0</v>
      </c>
      <c r="K355" s="59"/>
    </row>
    <row r="356" spans="2:11" ht="15">
      <c r="B356" s="22"/>
      <c r="C356" s="23"/>
      <c r="D356" s="38"/>
      <c r="E356" s="23"/>
      <c r="F356" s="25"/>
      <c r="G356" s="26"/>
      <c r="H356" s="27"/>
      <c r="I356" s="27"/>
      <c r="J356" s="54">
        <v>0</v>
      </c>
      <c r="K356" s="59"/>
    </row>
    <row r="357" spans="2:11" ht="15">
      <c r="B357" s="22"/>
      <c r="C357" s="23"/>
      <c r="D357" s="38"/>
      <c r="E357" s="23"/>
      <c r="F357" s="25"/>
      <c r="G357" s="26"/>
      <c r="H357" s="27"/>
      <c r="I357" s="27"/>
      <c r="J357" s="54">
        <v>0</v>
      </c>
      <c r="K357" s="59"/>
    </row>
    <row r="358" spans="2:11" ht="15">
      <c r="B358" s="22"/>
      <c r="C358" s="23"/>
      <c r="D358" s="38"/>
      <c r="E358" s="23"/>
      <c r="F358" s="25"/>
      <c r="G358" s="26"/>
      <c r="H358" s="27"/>
      <c r="I358" s="27"/>
      <c r="J358" s="54">
        <v>0</v>
      </c>
      <c r="K358" s="59"/>
    </row>
    <row r="359" spans="2:11" ht="15">
      <c r="B359" s="22"/>
      <c r="C359" s="23"/>
      <c r="D359" s="38"/>
      <c r="E359" s="23"/>
      <c r="F359" s="25"/>
      <c r="G359" s="26"/>
      <c r="H359" s="27"/>
      <c r="I359" s="27"/>
      <c r="J359" s="54">
        <v>0</v>
      </c>
      <c r="K359" s="59"/>
    </row>
    <row r="360" spans="2:11" ht="15">
      <c r="B360" s="22"/>
      <c r="C360" s="23"/>
      <c r="D360" s="38"/>
      <c r="E360" s="23"/>
      <c r="F360" s="25"/>
      <c r="G360" s="26"/>
      <c r="H360" s="27"/>
      <c r="I360" s="27"/>
      <c r="J360" s="54">
        <v>0</v>
      </c>
      <c r="K360" s="59"/>
    </row>
    <row r="361" spans="2:11" ht="15">
      <c r="B361" s="22"/>
      <c r="C361" s="23"/>
      <c r="D361" s="38"/>
      <c r="E361" s="23"/>
      <c r="F361" s="25"/>
      <c r="G361" s="26"/>
      <c r="H361" s="27"/>
      <c r="I361" s="27"/>
      <c r="J361" s="54">
        <v>0</v>
      </c>
      <c r="K361" s="59"/>
    </row>
    <row r="362" spans="2:11" ht="15">
      <c r="B362" s="22"/>
      <c r="C362" s="23"/>
      <c r="D362" s="38"/>
      <c r="E362" s="23"/>
      <c r="F362" s="25"/>
      <c r="G362" s="26"/>
      <c r="H362" s="27"/>
      <c r="I362" s="27"/>
      <c r="J362" s="54">
        <v>0</v>
      </c>
      <c r="K362" s="59"/>
    </row>
    <row r="363" spans="2:11" ht="15">
      <c r="B363" s="22"/>
      <c r="C363" s="23"/>
      <c r="D363" s="38"/>
      <c r="E363" s="23"/>
      <c r="F363" s="25"/>
      <c r="G363" s="26"/>
      <c r="H363" s="27"/>
      <c r="I363" s="27"/>
      <c r="J363" s="54">
        <v>0</v>
      </c>
      <c r="K363" s="59"/>
    </row>
    <row r="364" spans="2:11" ht="15">
      <c r="B364" s="22"/>
      <c r="C364" s="23"/>
      <c r="D364" s="38"/>
      <c r="E364" s="23"/>
      <c r="F364" s="25"/>
      <c r="G364" s="26"/>
      <c r="H364" s="27"/>
      <c r="I364" s="27"/>
      <c r="J364" s="54">
        <v>0</v>
      </c>
      <c r="K364" s="59"/>
    </row>
    <row r="365" spans="2:11" ht="15">
      <c r="B365" s="22"/>
      <c r="C365" s="23"/>
      <c r="D365" s="38"/>
      <c r="E365" s="23"/>
      <c r="F365" s="25"/>
      <c r="G365" s="26"/>
      <c r="H365" s="27"/>
      <c r="I365" s="27"/>
      <c r="J365" s="54">
        <v>0</v>
      </c>
      <c r="K365" s="59"/>
    </row>
    <row r="366" spans="2:11" ht="15">
      <c r="B366" s="22"/>
      <c r="C366" s="23"/>
      <c r="D366" s="38"/>
      <c r="E366" s="23"/>
      <c r="F366" s="25"/>
      <c r="G366" s="26"/>
      <c r="H366" s="27"/>
      <c r="I366" s="27"/>
      <c r="J366" s="54">
        <v>0</v>
      </c>
      <c r="K366" s="59"/>
    </row>
    <row r="367" spans="2:11" ht="15">
      <c r="B367" s="22"/>
      <c r="C367" s="23"/>
      <c r="D367" s="38"/>
      <c r="E367" s="23"/>
      <c r="F367" s="25"/>
      <c r="G367" s="26"/>
      <c r="H367" s="27"/>
      <c r="I367" s="27"/>
      <c r="J367" s="54">
        <v>0</v>
      </c>
      <c r="K367" s="59"/>
    </row>
    <row r="368" spans="2:11" ht="15">
      <c r="B368" s="22"/>
      <c r="C368" s="23"/>
      <c r="D368" s="38"/>
      <c r="E368" s="23"/>
      <c r="F368" s="25"/>
      <c r="G368" s="26"/>
      <c r="H368" s="27"/>
      <c r="I368" s="27"/>
      <c r="J368" s="54">
        <v>0</v>
      </c>
      <c r="K368" s="59"/>
    </row>
    <row r="369" spans="2:12" ht="15">
      <c r="B369" s="22"/>
      <c r="C369" s="23"/>
      <c r="D369" s="38"/>
      <c r="E369" s="23"/>
      <c r="F369" s="25"/>
      <c r="G369" s="26"/>
      <c r="H369" s="27"/>
      <c r="I369" s="27"/>
      <c r="J369" s="54">
        <v>0</v>
      </c>
      <c r="K369" s="59"/>
    </row>
    <row r="370" spans="2:12" ht="15">
      <c r="B370" s="22"/>
      <c r="C370" s="23"/>
      <c r="D370" s="38"/>
      <c r="E370" s="23"/>
      <c r="F370" s="25"/>
      <c r="G370" s="26"/>
      <c r="H370" s="27"/>
      <c r="I370" s="27"/>
      <c r="J370" s="54">
        <v>0</v>
      </c>
      <c r="K370" s="59"/>
    </row>
    <row r="371" spans="2:12" ht="15">
      <c r="B371" s="22"/>
      <c r="C371" s="23"/>
      <c r="D371" s="38"/>
      <c r="E371" s="23"/>
      <c r="F371" s="25"/>
      <c r="G371" s="26"/>
      <c r="H371" s="27"/>
      <c r="I371" s="27"/>
      <c r="J371" s="54">
        <v>0</v>
      </c>
      <c r="K371" s="59"/>
    </row>
    <row r="372" spans="2:12" ht="15">
      <c r="B372" s="22"/>
      <c r="C372" s="23"/>
      <c r="D372" s="38"/>
      <c r="E372" s="23"/>
      <c r="F372" s="25"/>
      <c r="G372" s="26"/>
      <c r="H372" s="27"/>
      <c r="I372" s="27"/>
      <c r="J372" s="54">
        <v>0</v>
      </c>
      <c r="K372" s="59"/>
    </row>
    <row r="373" spans="2:12" ht="15">
      <c r="B373" s="22"/>
      <c r="C373" s="23"/>
      <c r="D373" s="38"/>
      <c r="E373" s="23"/>
      <c r="F373" s="25"/>
      <c r="G373" s="26"/>
      <c r="H373" s="27"/>
      <c r="I373" s="27"/>
      <c r="J373" s="54">
        <v>0</v>
      </c>
      <c r="K373" s="59"/>
    </row>
    <row r="374" spans="2:12" ht="15">
      <c r="B374" s="22"/>
      <c r="C374" s="23"/>
      <c r="D374" s="38"/>
      <c r="E374" s="23"/>
      <c r="F374" s="25"/>
      <c r="G374" s="26"/>
      <c r="H374" s="27"/>
      <c r="I374" s="27"/>
      <c r="J374" s="54">
        <v>0</v>
      </c>
      <c r="K374" s="59"/>
    </row>
    <row r="375" spans="2:12" ht="15">
      <c r="B375" s="22"/>
      <c r="C375" s="23"/>
      <c r="D375" s="38"/>
      <c r="E375" s="23"/>
      <c r="F375" s="25"/>
      <c r="G375" s="26"/>
      <c r="H375" s="27"/>
      <c r="I375" s="27"/>
      <c r="J375" s="54">
        <v>0</v>
      </c>
      <c r="K375" s="59"/>
    </row>
    <row r="376" spans="2:12" ht="15">
      <c r="B376" s="22"/>
      <c r="C376" s="23"/>
      <c r="D376" s="38"/>
      <c r="E376" s="23"/>
      <c r="F376" s="25"/>
      <c r="G376" s="26"/>
      <c r="H376" s="27"/>
      <c r="I376" s="27"/>
      <c r="J376" s="54">
        <v>0</v>
      </c>
      <c r="K376" s="59"/>
    </row>
    <row r="377" spans="2:12" ht="15">
      <c r="B377" s="22"/>
      <c r="C377" s="23"/>
      <c r="D377" s="38"/>
      <c r="E377" s="23"/>
      <c r="F377" s="25"/>
      <c r="G377" s="26"/>
      <c r="H377" s="27"/>
      <c r="I377" s="27"/>
      <c r="J377" s="54">
        <v>0</v>
      </c>
      <c r="K377" s="59"/>
    </row>
    <row r="378" spans="2:12" ht="15">
      <c r="B378" s="22"/>
      <c r="C378" s="23"/>
      <c r="D378" s="38"/>
      <c r="E378" s="23"/>
      <c r="F378" s="25"/>
      <c r="G378" s="26"/>
      <c r="H378" s="27"/>
      <c r="I378" s="27"/>
      <c r="J378" s="54">
        <v>0</v>
      </c>
      <c r="K378" s="59"/>
    </row>
    <row r="379" spans="2:12" ht="15">
      <c r="B379" s="22"/>
      <c r="C379" s="23"/>
      <c r="D379" s="38"/>
      <c r="E379" s="23"/>
      <c r="F379" s="25"/>
      <c r="G379" s="26"/>
      <c r="H379" s="27"/>
      <c r="I379" s="27"/>
      <c r="J379" s="54">
        <v>0</v>
      </c>
      <c r="K379" s="59"/>
    </row>
    <row r="380" spans="2:12" ht="15">
      <c r="B380" s="22"/>
      <c r="C380" s="23"/>
      <c r="D380" s="38"/>
      <c r="E380" s="88"/>
      <c r="F380" s="25"/>
      <c r="G380" s="26"/>
      <c r="H380" s="27"/>
      <c r="I380" s="27"/>
      <c r="J380" s="54">
        <v>0</v>
      </c>
      <c r="K380" s="59"/>
    </row>
    <row r="381" spans="2:12" ht="15">
      <c r="B381" s="22"/>
      <c r="C381" s="23"/>
      <c r="D381" s="38"/>
      <c r="E381" s="23"/>
      <c r="F381" s="25"/>
      <c r="G381" s="26"/>
      <c r="H381" s="27"/>
      <c r="I381" s="27"/>
      <c r="J381" s="54">
        <v>0</v>
      </c>
      <c r="K381" s="75"/>
    </row>
    <row r="382" spans="2:12" ht="15">
      <c r="B382" s="22"/>
      <c r="C382" s="23"/>
      <c r="D382" s="38"/>
      <c r="E382" s="23"/>
      <c r="F382" s="25"/>
      <c r="G382" s="26"/>
      <c r="H382" s="27"/>
      <c r="I382" s="27"/>
      <c r="J382" s="54">
        <v>0</v>
      </c>
      <c r="K382" s="75"/>
    </row>
    <row r="383" spans="2:12" ht="15">
      <c r="B383" s="22"/>
      <c r="C383" s="23"/>
      <c r="D383" s="38"/>
      <c r="E383" s="23"/>
      <c r="F383" s="25"/>
      <c r="G383" s="26"/>
      <c r="H383" s="27"/>
      <c r="I383" s="27"/>
      <c r="J383" s="54">
        <v>0</v>
      </c>
      <c r="K383" s="75"/>
      <c r="L383" s="76"/>
    </row>
    <row r="384" spans="2:12" ht="15">
      <c r="B384" s="22"/>
      <c r="C384" s="23"/>
      <c r="D384" s="38"/>
      <c r="E384" s="23"/>
      <c r="F384" s="25"/>
      <c r="G384" s="26"/>
      <c r="H384" s="27"/>
      <c r="I384" s="27"/>
      <c r="J384" s="54">
        <v>0</v>
      </c>
      <c r="K384" s="59"/>
      <c r="L384" s="76"/>
    </row>
    <row r="385" spans="2:11" ht="15">
      <c r="B385" s="89"/>
      <c r="C385" s="90"/>
      <c r="D385" s="38"/>
      <c r="E385" s="90"/>
      <c r="F385" s="91"/>
      <c r="G385" s="92"/>
      <c r="H385" s="27"/>
      <c r="I385" s="27"/>
      <c r="J385" s="54">
        <v>0</v>
      </c>
      <c r="K385" s="59"/>
    </row>
    <row r="386" spans="2:11" ht="15">
      <c r="B386" s="22"/>
      <c r="C386" s="23"/>
      <c r="D386" s="38"/>
      <c r="E386" s="23"/>
      <c r="F386" s="25"/>
      <c r="G386" s="26"/>
      <c r="H386" s="27"/>
      <c r="I386" s="27"/>
      <c r="J386" s="54">
        <v>0</v>
      </c>
      <c r="K386" s="59"/>
    </row>
    <row r="387" spans="2:11" ht="15">
      <c r="B387" s="22"/>
      <c r="C387" s="23"/>
      <c r="D387" s="38"/>
      <c r="E387" s="23"/>
      <c r="F387" s="25"/>
      <c r="G387" s="26"/>
      <c r="H387" s="27"/>
      <c r="I387" s="27"/>
      <c r="J387" s="54">
        <v>0</v>
      </c>
      <c r="K387" s="59"/>
    </row>
    <row r="388" spans="2:11" ht="15">
      <c r="B388" s="22"/>
      <c r="C388" s="23"/>
      <c r="D388" s="38"/>
      <c r="E388" s="23"/>
      <c r="F388" s="25"/>
      <c r="G388" s="26"/>
      <c r="H388" s="27"/>
      <c r="I388" s="27"/>
      <c r="J388" s="54">
        <v>0</v>
      </c>
      <c r="K388" s="59"/>
    </row>
    <row r="389" spans="2:11" ht="15">
      <c r="B389" s="22"/>
      <c r="C389" s="23"/>
      <c r="D389" s="38"/>
      <c r="E389" s="23"/>
      <c r="F389" s="25"/>
      <c r="G389" s="26"/>
      <c r="H389" s="27"/>
      <c r="I389" s="27"/>
      <c r="J389" s="54">
        <v>0</v>
      </c>
      <c r="K389" s="59"/>
    </row>
    <row r="390" spans="2:11" ht="15">
      <c r="B390" s="22"/>
      <c r="C390" s="23"/>
      <c r="D390" s="38"/>
      <c r="E390" s="23"/>
      <c r="F390" s="25"/>
      <c r="G390" s="26"/>
      <c r="H390" s="27"/>
      <c r="I390" s="27"/>
      <c r="J390" s="54">
        <v>0</v>
      </c>
      <c r="K390" s="59"/>
    </row>
    <row r="391" spans="2:11" ht="15">
      <c r="B391" s="22"/>
      <c r="C391" s="23"/>
      <c r="D391" s="38"/>
      <c r="E391" s="23"/>
      <c r="F391" s="25"/>
      <c r="G391" s="26"/>
      <c r="H391" s="27"/>
      <c r="I391" s="27"/>
      <c r="J391" s="54">
        <v>0</v>
      </c>
      <c r="K391" s="59"/>
    </row>
    <row r="392" spans="2:11" ht="15">
      <c r="B392" s="22"/>
      <c r="C392" s="23"/>
      <c r="D392" s="38"/>
      <c r="E392" s="23"/>
      <c r="F392" s="25"/>
      <c r="G392" s="26"/>
      <c r="H392" s="27"/>
      <c r="I392" s="27"/>
      <c r="J392" s="54">
        <v>0</v>
      </c>
      <c r="K392" s="59"/>
    </row>
    <row r="393" spans="2:11" ht="15">
      <c r="B393" s="22"/>
      <c r="C393" s="23"/>
      <c r="D393" s="38"/>
      <c r="E393" s="23"/>
      <c r="F393" s="25"/>
      <c r="G393" s="26"/>
      <c r="H393" s="27"/>
      <c r="I393" s="27"/>
      <c r="J393" s="54">
        <v>0</v>
      </c>
      <c r="K393" s="59"/>
    </row>
    <row r="394" spans="2:11" ht="15">
      <c r="B394" s="22"/>
      <c r="C394" s="23"/>
      <c r="D394" s="38"/>
      <c r="E394" s="23"/>
      <c r="F394" s="25"/>
      <c r="G394" s="26"/>
      <c r="H394" s="27"/>
      <c r="I394" s="27"/>
      <c r="J394" s="54">
        <v>0</v>
      </c>
      <c r="K394" s="59"/>
    </row>
    <row r="395" spans="2:11" ht="15">
      <c r="B395" s="22"/>
      <c r="C395" s="23"/>
      <c r="D395" s="38"/>
      <c r="E395" s="23"/>
      <c r="F395" s="25"/>
      <c r="G395" s="26"/>
      <c r="H395" s="27"/>
      <c r="I395" s="27"/>
      <c r="J395" s="54">
        <v>0</v>
      </c>
      <c r="K395" s="59"/>
    </row>
    <row r="396" spans="2:11" ht="15">
      <c r="B396" s="22"/>
      <c r="C396" s="23"/>
      <c r="D396" s="38"/>
      <c r="E396" s="23"/>
      <c r="F396" s="25"/>
      <c r="G396" s="26"/>
      <c r="H396" s="27"/>
      <c r="I396" s="27"/>
      <c r="J396" s="54">
        <v>0</v>
      </c>
      <c r="K396" s="59"/>
    </row>
    <row r="397" spans="2:11" ht="15">
      <c r="B397" s="22"/>
      <c r="C397" s="23"/>
      <c r="D397" s="38"/>
      <c r="E397" s="23"/>
      <c r="F397" s="25"/>
      <c r="G397" s="26"/>
      <c r="H397" s="27"/>
      <c r="I397" s="27"/>
      <c r="J397" s="54">
        <v>0</v>
      </c>
      <c r="K397" s="59"/>
    </row>
    <row r="398" spans="2:11" ht="15">
      <c r="B398" s="22"/>
      <c r="C398" s="23"/>
      <c r="D398" s="38"/>
      <c r="E398" s="23"/>
      <c r="F398" s="25"/>
      <c r="G398" s="26"/>
      <c r="H398" s="27"/>
      <c r="I398" s="27"/>
      <c r="J398" s="54">
        <v>0</v>
      </c>
      <c r="K398" s="59"/>
    </row>
    <row r="399" spans="2:11" ht="15">
      <c r="B399" s="22"/>
      <c r="C399" s="23"/>
      <c r="D399" s="38"/>
      <c r="E399" s="23"/>
      <c r="F399" s="25"/>
      <c r="G399" s="26"/>
      <c r="H399" s="27"/>
      <c r="I399" s="27"/>
      <c r="J399" s="54">
        <v>0</v>
      </c>
      <c r="K399" s="59"/>
    </row>
    <row r="400" spans="2:11" ht="15">
      <c r="B400" s="22"/>
      <c r="C400" s="23"/>
      <c r="D400" s="38"/>
      <c r="E400" s="23"/>
      <c r="F400" s="25"/>
      <c r="G400" s="26"/>
      <c r="H400" s="27"/>
      <c r="I400" s="27"/>
      <c r="J400" s="54">
        <v>0</v>
      </c>
      <c r="K400" s="59"/>
    </row>
    <row r="401" spans="2:11" ht="15">
      <c r="B401" s="22"/>
      <c r="C401" s="23"/>
      <c r="D401" s="38"/>
      <c r="E401" s="23"/>
      <c r="F401" s="25"/>
      <c r="G401" s="26"/>
      <c r="H401" s="27"/>
      <c r="I401" s="27"/>
      <c r="J401" s="54">
        <v>0</v>
      </c>
      <c r="K401" s="59"/>
    </row>
    <row r="402" spans="2:11" ht="15">
      <c r="B402" s="22"/>
      <c r="C402" s="23"/>
      <c r="D402" s="38"/>
      <c r="E402" s="23"/>
      <c r="F402" s="25"/>
      <c r="G402" s="26"/>
      <c r="H402" s="27"/>
      <c r="I402" s="27"/>
      <c r="J402" s="54">
        <v>0</v>
      </c>
      <c r="K402" s="59"/>
    </row>
    <row r="403" spans="2:11" ht="15">
      <c r="B403" s="22"/>
      <c r="C403" s="23"/>
      <c r="D403" s="38"/>
      <c r="E403" s="23"/>
      <c r="F403" s="25"/>
      <c r="G403" s="26"/>
      <c r="H403" s="27"/>
      <c r="I403" s="27"/>
      <c r="J403" s="54">
        <v>0</v>
      </c>
      <c r="K403" s="59"/>
    </row>
    <row r="404" spans="2:11" ht="15">
      <c r="B404" s="22"/>
      <c r="C404" s="23"/>
      <c r="D404" s="38"/>
      <c r="E404" s="23"/>
      <c r="F404" s="25"/>
      <c r="G404" s="26"/>
      <c r="H404" s="27"/>
      <c r="I404" s="27"/>
      <c r="J404" s="54">
        <v>0</v>
      </c>
      <c r="K404" s="59"/>
    </row>
    <row r="405" spans="2:11" ht="15">
      <c r="B405" s="22"/>
      <c r="C405" s="23"/>
      <c r="D405" s="38"/>
      <c r="E405" s="23"/>
      <c r="F405" s="25"/>
      <c r="G405" s="26"/>
      <c r="H405" s="27"/>
      <c r="I405" s="27"/>
      <c r="J405" s="54">
        <v>0</v>
      </c>
      <c r="K405" s="59"/>
    </row>
    <row r="406" spans="2:11" ht="15">
      <c r="B406" s="22"/>
      <c r="C406" s="23"/>
      <c r="D406" s="38"/>
      <c r="E406" s="23"/>
      <c r="F406" s="25"/>
      <c r="G406" s="26"/>
      <c r="H406" s="27"/>
      <c r="I406" s="27"/>
      <c r="J406" s="54">
        <v>0</v>
      </c>
      <c r="K406" s="59"/>
    </row>
    <row r="407" spans="2:11" ht="15">
      <c r="B407" s="22"/>
      <c r="C407" s="23"/>
      <c r="D407" s="38"/>
      <c r="E407" s="23"/>
      <c r="F407" s="25"/>
      <c r="G407" s="26"/>
      <c r="H407" s="27"/>
      <c r="I407" s="27"/>
      <c r="J407" s="54">
        <v>0</v>
      </c>
      <c r="K407" s="59"/>
    </row>
    <row r="408" spans="2:11" ht="15">
      <c r="B408" s="22"/>
      <c r="C408" s="23"/>
      <c r="D408" s="38"/>
      <c r="E408" s="23"/>
      <c r="F408" s="25"/>
      <c r="G408" s="26"/>
      <c r="H408" s="27"/>
      <c r="I408" s="27"/>
      <c r="J408" s="54">
        <v>0</v>
      </c>
      <c r="K408" s="59"/>
    </row>
    <row r="409" spans="2:11" ht="15">
      <c r="B409" s="22"/>
      <c r="C409" s="23"/>
      <c r="D409" s="38"/>
      <c r="E409" s="23"/>
      <c r="F409" s="25"/>
      <c r="G409" s="26"/>
      <c r="H409" s="27"/>
      <c r="I409" s="27"/>
      <c r="J409" s="54">
        <v>0</v>
      </c>
      <c r="K409" s="59"/>
    </row>
    <row r="410" spans="2:11" ht="15">
      <c r="B410" s="22"/>
      <c r="C410" s="23"/>
      <c r="D410" s="38"/>
      <c r="E410" s="23"/>
      <c r="F410" s="25"/>
      <c r="G410" s="26"/>
      <c r="H410" s="27"/>
      <c r="I410" s="27"/>
      <c r="J410" s="54">
        <v>0</v>
      </c>
      <c r="K410" s="59"/>
    </row>
    <row r="411" spans="2:11" ht="15">
      <c r="B411" s="22"/>
      <c r="C411" s="23"/>
      <c r="D411" s="38"/>
      <c r="E411" s="23"/>
      <c r="F411" s="25"/>
      <c r="G411" s="26"/>
      <c r="H411" s="27"/>
      <c r="I411" s="27"/>
      <c r="J411" s="54">
        <v>0</v>
      </c>
      <c r="K411" s="59"/>
    </row>
    <row r="412" spans="2:11" ht="15">
      <c r="B412" s="22"/>
      <c r="C412" s="23"/>
      <c r="D412" s="38"/>
      <c r="E412" s="23"/>
      <c r="F412" s="25"/>
      <c r="G412" s="26"/>
      <c r="H412" s="27"/>
      <c r="I412" s="27"/>
      <c r="J412" s="54">
        <v>0</v>
      </c>
      <c r="K412" s="59"/>
    </row>
    <row r="413" spans="2:11" ht="15">
      <c r="B413" s="22"/>
      <c r="C413" s="23"/>
      <c r="D413" s="38"/>
      <c r="E413" s="23"/>
      <c r="F413" s="25"/>
      <c r="G413" s="26"/>
      <c r="H413" s="27"/>
      <c r="I413" s="27"/>
      <c r="J413" s="54">
        <v>0</v>
      </c>
      <c r="K413" s="59"/>
    </row>
    <row r="414" spans="2:11" ht="15">
      <c r="B414" s="22"/>
      <c r="C414" s="23"/>
      <c r="D414" s="38"/>
      <c r="E414" s="23"/>
      <c r="F414" s="25"/>
      <c r="G414" s="26"/>
      <c r="H414" s="27"/>
      <c r="I414" s="27"/>
      <c r="J414" s="54">
        <v>0</v>
      </c>
      <c r="K414" s="59"/>
    </row>
    <row r="415" spans="2:11" ht="15">
      <c r="B415" s="22"/>
      <c r="C415" s="23"/>
      <c r="D415" s="38"/>
      <c r="E415" s="23"/>
      <c r="F415" s="25"/>
      <c r="G415" s="26"/>
      <c r="H415" s="27"/>
      <c r="I415" s="27"/>
      <c r="J415" s="54">
        <v>0</v>
      </c>
      <c r="K415" s="59"/>
    </row>
    <row r="416" spans="2:11" ht="15">
      <c r="B416" s="22"/>
      <c r="C416" s="23"/>
      <c r="D416" s="38"/>
      <c r="E416" s="23"/>
      <c r="F416" s="25"/>
      <c r="G416" s="26"/>
      <c r="H416" s="27"/>
      <c r="I416" s="27"/>
      <c r="J416" s="54">
        <v>0</v>
      </c>
      <c r="K416" s="59"/>
    </row>
    <row r="417" spans="2:11" ht="15">
      <c r="B417" s="22"/>
      <c r="C417" s="23"/>
      <c r="D417" s="38"/>
      <c r="E417" s="23"/>
      <c r="F417" s="25"/>
      <c r="G417" s="26"/>
      <c r="H417" s="27"/>
      <c r="I417" s="27"/>
      <c r="J417" s="54">
        <v>0</v>
      </c>
      <c r="K417" s="59"/>
    </row>
    <row r="418" spans="2:11" ht="15">
      <c r="B418" s="22"/>
      <c r="C418" s="23"/>
      <c r="D418" s="38"/>
      <c r="E418" s="23"/>
      <c r="F418" s="25"/>
      <c r="G418" s="26"/>
      <c r="H418" s="27"/>
      <c r="I418" s="27"/>
      <c r="J418" s="54">
        <v>0</v>
      </c>
      <c r="K418" s="59"/>
    </row>
    <row r="419" spans="2:11" ht="15">
      <c r="B419" s="22"/>
      <c r="C419" s="23"/>
      <c r="D419" s="38"/>
      <c r="E419" s="23"/>
      <c r="F419" s="25"/>
      <c r="G419" s="26"/>
      <c r="H419" s="27"/>
      <c r="I419" s="27"/>
      <c r="J419" s="54">
        <v>0</v>
      </c>
      <c r="K419" s="59"/>
    </row>
    <row r="420" spans="2:11" ht="15">
      <c r="B420" s="22"/>
      <c r="C420" s="23"/>
      <c r="D420" s="38"/>
      <c r="E420" s="23"/>
      <c r="F420" s="25"/>
      <c r="G420" s="26"/>
      <c r="H420" s="27"/>
      <c r="I420" s="27"/>
      <c r="J420" s="54">
        <v>0</v>
      </c>
      <c r="K420" s="59"/>
    </row>
    <row r="421" spans="2:11" ht="15">
      <c r="B421" s="22"/>
      <c r="C421" s="23"/>
      <c r="D421" s="38"/>
      <c r="E421" s="23"/>
      <c r="F421" s="25"/>
      <c r="G421" s="26"/>
      <c r="H421" s="27"/>
      <c r="I421" s="27"/>
      <c r="J421" s="54">
        <v>0</v>
      </c>
      <c r="K421" s="59"/>
    </row>
    <row r="422" spans="2:11" ht="15">
      <c r="B422" s="22"/>
      <c r="C422" s="23"/>
      <c r="D422" s="38"/>
      <c r="E422" s="25"/>
      <c r="F422" s="25"/>
      <c r="G422" s="26"/>
      <c r="H422" s="27"/>
      <c r="I422" s="27"/>
      <c r="J422" s="54">
        <v>0</v>
      </c>
      <c r="K422" s="59"/>
    </row>
    <row r="423" spans="2:11" ht="15">
      <c r="B423" s="22"/>
      <c r="C423" s="23"/>
      <c r="D423" s="38"/>
      <c r="E423" s="25"/>
      <c r="F423" s="25"/>
      <c r="G423" s="26"/>
      <c r="H423" s="27"/>
      <c r="I423" s="27"/>
      <c r="J423" s="54">
        <v>0</v>
      </c>
      <c r="K423" s="59"/>
    </row>
    <row r="424" spans="2:11" ht="15">
      <c r="B424" s="22"/>
      <c r="C424" s="23"/>
      <c r="D424" s="38"/>
      <c r="E424" s="25"/>
      <c r="F424" s="25"/>
      <c r="G424" s="26"/>
      <c r="H424" s="27"/>
      <c r="I424" s="27"/>
      <c r="J424" s="54">
        <v>0</v>
      </c>
      <c r="K424" s="59"/>
    </row>
    <row r="425" spans="2:11" ht="15">
      <c r="B425" s="22"/>
      <c r="C425" s="23"/>
      <c r="D425" s="38"/>
      <c r="E425" s="25"/>
      <c r="F425" s="25"/>
      <c r="G425" s="26"/>
      <c r="H425" s="27"/>
      <c r="I425" s="27"/>
      <c r="J425" s="54">
        <v>0</v>
      </c>
      <c r="K425" s="59"/>
    </row>
    <row r="426" spans="2:11" ht="15">
      <c r="B426" s="22"/>
      <c r="C426" s="23"/>
      <c r="D426" s="38"/>
      <c r="E426" s="23"/>
      <c r="F426" s="25"/>
      <c r="G426" s="26"/>
      <c r="H426" s="27"/>
      <c r="I426" s="27"/>
      <c r="J426" s="54">
        <v>0</v>
      </c>
      <c r="K426" s="59"/>
    </row>
    <row r="427" spans="2:11" ht="15">
      <c r="B427" s="22"/>
      <c r="C427" s="23"/>
      <c r="D427" s="38"/>
      <c r="E427" s="23"/>
      <c r="F427" s="25"/>
      <c r="G427" s="26"/>
      <c r="H427" s="27"/>
      <c r="I427" s="27"/>
      <c r="J427" s="54">
        <v>0</v>
      </c>
      <c r="K427" s="59"/>
    </row>
    <row r="428" spans="2:11" ht="15">
      <c r="B428" s="22"/>
      <c r="C428" s="23"/>
      <c r="D428" s="38"/>
      <c r="E428" s="23"/>
      <c r="F428" s="25"/>
      <c r="G428" s="26"/>
      <c r="H428" s="27"/>
      <c r="I428" s="27"/>
      <c r="J428" s="54">
        <v>0</v>
      </c>
      <c r="K428" s="59"/>
    </row>
    <row r="429" spans="2:11" ht="15">
      <c r="B429" s="22"/>
      <c r="C429" s="23"/>
      <c r="D429" s="38"/>
      <c r="E429" s="25"/>
      <c r="F429" s="25"/>
      <c r="G429" s="26"/>
      <c r="H429" s="27"/>
      <c r="I429" s="27"/>
      <c r="J429" s="54">
        <v>0</v>
      </c>
      <c r="K429" s="59"/>
    </row>
    <row r="430" spans="2:11" ht="15">
      <c r="B430" s="22"/>
      <c r="C430" s="23"/>
      <c r="D430" s="38"/>
      <c r="E430" s="23"/>
      <c r="F430" s="25"/>
      <c r="G430" s="26"/>
      <c r="H430" s="27"/>
      <c r="I430" s="27"/>
      <c r="J430" s="54">
        <v>0</v>
      </c>
    </row>
    <row r="431" spans="2:11" ht="15">
      <c r="B431" s="22"/>
      <c r="C431" s="23"/>
      <c r="D431" s="38"/>
      <c r="E431" s="23"/>
      <c r="F431" s="25"/>
      <c r="G431" s="26"/>
      <c r="H431" s="27"/>
      <c r="I431" s="27"/>
      <c r="J431" s="54">
        <v>0</v>
      </c>
      <c r="K431" s="59"/>
    </row>
    <row r="432" spans="2:11" ht="15">
      <c r="B432" s="22"/>
      <c r="C432" s="23"/>
      <c r="D432" s="38"/>
      <c r="E432" s="23"/>
      <c r="F432" s="25"/>
      <c r="G432" s="26"/>
      <c r="H432" s="27"/>
      <c r="I432" s="27"/>
      <c r="J432" s="54">
        <v>0</v>
      </c>
      <c r="K432" s="59"/>
    </row>
    <row r="433" spans="2:11" ht="15">
      <c r="B433" s="22"/>
      <c r="C433" s="23"/>
      <c r="D433" s="38"/>
      <c r="E433" s="23"/>
      <c r="F433" s="25"/>
      <c r="G433" s="26"/>
      <c r="H433" s="27"/>
      <c r="I433" s="27"/>
      <c r="J433" s="54">
        <v>0</v>
      </c>
      <c r="K433" s="59"/>
    </row>
    <row r="434" spans="2:11" ht="15">
      <c r="B434" s="93"/>
      <c r="C434" s="23"/>
      <c r="D434" s="38"/>
      <c r="E434" s="23"/>
      <c r="F434" s="25"/>
      <c r="G434" s="26"/>
      <c r="H434" s="27"/>
      <c r="I434" s="27"/>
      <c r="J434" s="54">
        <v>0</v>
      </c>
      <c r="K434" s="59"/>
    </row>
    <row r="435" spans="2:11" ht="15">
      <c r="B435" s="93"/>
      <c r="C435" s="23"/>
      <c r="D435" s="38"/>
      <c r="E435" s="23"/>
      <c r="F435" s="25"/>
      <c r="G435" s="26"/>
      <c r="H435" s="27"/>
      <c r="I435" s="27"/>
      <c r="J435" s="54">
        <v>0</v>
      </c>
      <c r="K435" s="59"/>
    </row>
    <row r="436" spans="2:11" ht="15">
      <c r="B436" s="93"/>
      <c r="C436" s="23"/>
      <c r="D436" s="38"/>
      <c r="E436" s="23"/>
      <c r="F436" s="25"/>
      <c r="G436" s="26"/>
      <c r="H436" s="27"/>
      <c r="I436" s="27"/>
      <c r="J436" s="54">
        <v>0</v>
      </c>
    </row>
    <row r="437" spans="2:11" ht="15">
      <c r="B437" s="93"/>
      <c r="C437" s="23"/>
      <c r="D437" s="38"/>
      <c r="E437" s="23"/>
      <c r="F437" s="25"/>
      <c r="G437" s="26"/>
      <c r="H437" s="27"/>
      <c r="I437" s="27"/>
      <c r="J437" s="54">
        <v>0</v>
      </c>
    </row>
    <row r="438" spans="2:11" ht="15">
      <c r="B438" s="93"/>
      <c r="C438" s="23"/>
      <c r="D438" s="38"/>
      <c r="E438" s="25"/>
      <c r="F438" s="25"/>
      <c r="G438" s="26"/>
      <c r="H438" s="27"/>
      <c r="I438" s="27"/>
      <c r="J438" s="54">
        <v>0</v>
      </c>
    </row>
    <row r="439" spans="2:11" ht="15">
      <c r="B439" s="93"/>
      <c r="C439" s="23"/>
      <c r="D439" s="38"/>
      <c r="E439" s="25"/>
      <c r="F439" s="25"/>
      <c r="G439" s="26"/>
      <c r="H439" s="27"/>
      <c r="I439" s="27"/>
      <c r="J439" s="54">
        <v>0</v>
      </c>
    </row>
    <row r="440" spans="2:11" ht="15">
      <c r="B440" s="93"/>
      <c r="C440" s="23"/>
      <c r="D440" s="38"/>
      <c r="E440" s="25"/>
      <c r="F440" s="25"/>
      <c r="G440" s="26"/>
      <c r="H440" s="27"/>
      <c r="I440" s="27"/>
      <c r="J440" s="54">
        <v>0</v>
      </c>
    </row>
    <row r="441" spans="2:11" ht="15">
      <c r="B441" s="93"/>
      <c r="C441" s="23"/>
      <c r="D441" s="38"/>
      <c r="E441" s="23"/>
      <c r="F441" s="25"/>
      <c r="G441" s="26"/>
      <c r="H441" s="27"/>
      <c r="I441" s="27"/>
      <c r="J441" s="54">
        <v>0</v>
      </c>
      <c r="K441" s="59"/>
    </row>
    <row r="442" spans="2:11" ht="15">
      <c r="B442" s="93"/>
      <c r="C442" s="23"/>
      <c r="D442" s="23"/>
      <c r="E442" s="25"/>
      <c r="F442" s="25"/>
      <c r="G442" s="26"/>
      <c r="H442" s="27"/>
      <c r="I442" s="27"/>
      <c r="J442" s="54">
        <v>0</v>
      </c>
    </row>
    <row r="443" spans="2:11" ht="15">
      <c r="B443" s="93"/>
      <c r="C443" s="23"/>
      <c r="D443" s="38"/>
      <c r="E443" s="88"/>
      <c r="F443" s="25"/>
      <c r="G443" s="26"/>
      <c r="H443" s="27"/>
      <c r="I443" s="27"/>
      <c r="J443" s="54">
        <v>0</v>
      </c>
      <c r="K443" s="59"/>
    </row>
    <row r="444" spans="2:11" ht="15">
      <c r="B444" s="93"/>
      <c r="C444" s="23"/>
      <c r="D444" s="38"/>
      <c r="E444" s="25"/>
      <c r="F444" s="25"/>
      <c r="G444" s="26"/>
      <c r="H444" s="27"/>
      <c r="I444" s="27"/>
      <c r="J444" s="54">
        <v>0</v>
      </c>
    </row>
    <row r="445" spans="2:11" ht="15">
      <c r="B445" s="93"/>
      <c r="C445" s="23"/>
      <c r="D445" s="38"/>
      <c r="E445" s="25"/>
      <c r="F445" s="25"/>
      <c r="G445" s="26"/>
      <c r="H445" s="27"/>
      <c r="I445" s="27"/>
      <c r="J445" s="54">
        <v>0</v>
      </c>
    </row>
    <row r="446" spans="2:11" ht="15">
      <c r="B446" s="93"/>
      <c r="C446" s="23"/>
      <c r="D446" s="38"/>
      <c r="E446" s="25"/>
      <c r="F446" s="25"/>
      <c r="G446" s="26"/>
      <c r="H446" s="27"/>
      <c r="I446" s="27"/>
      <c r="J446" s="54">
        <v>0</v>
      </c>
    </row>
    <row r="447" spans="2:11" ht="15">
      <c r="B447" s="93"/>
      <c r="C447" s="23"/>
      <c r="D447" s="38"/>
      <c r="E447" s="25"/>
      <c r="F447" s="25"/>
      <c r="G447" s="26"/>
      <c r="H447" s="27"/>
      <c r="I447" s="27"/>
      <c r="J447" s="54">
        <v>0</v>
      </c>
    </row>
    <row r="448" spans="2:11" ht="15">
      <c r="B448" s="93"/>
      <c r="C448" s="25"/>
      <c r="D448" s="23"/>
      <c r="E448" s="25"/>
      <c r="F448" s="25"/>
      <c r="G448" s="26"/>
      <c r="H448" s="27"/>
      <c r="I448" s="27"/>
      <c r="J448" s="54">
        <v>0</v>
      </c>
    </row>
    <row r="449" spans="2:10" ht="15">
      <c r="B449" s="93"/>
      <c r="C449" s="25"/>
      <c r="D449" s="23"/>
      <c r="E449" s="25"/>
      <c r="F449" s="25"/>
      <c r="G449" s="26"/>
      <c r="H449" s="27"/>
      <c r="I449" s="27"/>
      <c r="J449" s="54">
        <v>0</v>
      </c>
    </row>
    <row r="450" spans="2:10" ht="15">
      <c r="B450" s="93"/>
      <c r="C450" s="25"/>
      <c r="D450" s="23"/>
      <c r="E450" s="25"/>
      <c r="F450" s="25"/>
      <c r="G450" s="26"/>
      <c r="H450" s="27"/>
      <c r="I450" s="27"/>
      <c r="J450" s="54">
        <f>+H450+I450</f>
        <v>0</v>
      </c>
    </row>
    <row r="451" spans="2:10" ht="15">
      <c r="B451" s="94"/>
      <c r="C451"/>
      <c r="D451" s="95"/>
      <c r="E451"/>
      <c r="F451"/>
      <c r="G451" s="96"/>
      <c r="H451" s="97">
        <f>SUM(H86:H450)</f>
        <v>0</v>
      </c>
      <c r="I451" s="97">
        <f>SUM(I86:I450)</f>
        <v>0</v>
      </c>
      <c r="J451" s="103">
        <f>SUM(J86:J450)</f>
        <v>0</v>
      </c>
    </row>
    <row r="452" spans="2:10">
      <c r="B452" s="98"/>
      <c r="C452" s="99"/>
      <c r="D452" s="100"/>
      <c r="E452" s="99"/>
      <c r="F452" s="99"/>
      <c r="G452" s="101"/>
      <c r="H452" s="102"/>
      <c r="I452" s="102"/>
      <c r="J452" s="104"/>
    </row>
  </sheetData>
  <mergeCells count="3">
    <mergeCell ref="B1:J1"/>
    <mergeCell ref="B3:J3"/>
    <mergeCell ref="C5:E5"/>
  </mergeCells>
  <pageMargins left="0.7" right="0.7" top="0.75" bottom="0.75" header="0.3" footer="0.3"/>
  <pageSetup paperSize="9" scale="74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2ca35cb-5cc1-4c11-a4ee-a5229e2b521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CB1B81BBB4414488F498AE11AC92D7" ma:contentTypeVersion="5" ma:contentTypeDescription="Create a new document." ma:contentTypeScope="" ma:versionID="6d17eb43f20250122677b619fce24fb8">
  <xsd:schema xmlns:xsd="http://www.w3.org/2001/XMLSchema" xmlns:xs="http://www.w3.org/2001/XMLSchema" xmlns:p="http://schemas.microsoft.com/office/2006/metadata/properties" xmlns:ns3="12ca35cb-5cc1-4c11-a4ee-a5229e2b5214" targetNamespace="http://schemas.microsoft.com/office/2006/metadata/properties" ma:root="true" ma:fieldsID="f296aa1e316fb7224f9d473af7bd080c" ns3:_="">
    <xsd:import namespace="12ca35cb-5cc1-4c11-a4ee-a5229e2b521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ca35cb-5cc1-4c11-a4ee-a5229e2b521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3FEA15-AE89-42DC-9FB2-AA5C4339B239}">
  <ds:schemaRefs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12ca35cb-5cc1-4c11-a4ee-a5229e2b5214"/>
    <ds:schemaRef ds:uri="http://schemas.microsoft.com/office/2006/documentManagement/type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E3615F1-7E8E-4E59-9B81-D821507370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ca35cb-5cc1-4c11-a4ee-a5229e2b52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3D7650-5BAF-4C1B-A8E6-1A8E5B7F11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3</vt:i4>
      </vt:variant>
    </vt:vector>
  </HeadingPairs>
  <TitlesOfParts>
    <vt:vector size="22" baseType="lpstr">
      <vt:lpstr>January</vt:lpstr>
      <vt:lpstr>Sheet3</vt:lpstr>
      <vt:lpstr>Jan Expenses</vt:lpstr>
      <vt:lpstr>February</vt:lpstr>
      <vt:lpstr>Feb Expenses</vt:lpstr>
      <vt:lpstr>March</vt:lpstr>
      <vt:lpstr>Mar Expenses</vt:lpstr>
      <vt:lpstr>April</vt:lpstr>
      <vt:lpstr>Apr Expenses</vt:lpstr>
      <vt:lpstr>MAY</vt:lpstr>
      <vt:lpstr>MAY EXP</vt:lpstr>
      <vt:lpstr>Supplier Banking Details </vt:lpstr>
      <vt:lpstr>Supplier Details </vt:lpstr>
      <vt:lpstr>Engen deliverys</vt:lpstr>
      <vt:lpstr>Sheet4</vt:lpstr>
      <vt:lpstr>Sheet1</vt:lpstr>
      <vt:lpstr>MAY 25 OTHER</vt:lpstr>
      <vt:lpstr>SHOP MASTER</vt:lpstr>
      <vt:lpstr>OTHER MASTER</vt:lpstr>
      <vt:lpstr>'Apr Expenses'!Print_Area</vt:lpstr>
      <vt:lpstr>April!Print_Area</vt:lpstr>
      <vt:lpstr>MAY!Print_Area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2026-05-14T15:01:49Z</cp:lastPrinted>
  <dcterms:created xsi:type="dcterms:W3CDTF">2024-12-01T17:44:00Z</dcterms:created>
  <dcterms:modified xsi:type="dcterms:W3CDTF">2026-05-22T08:23:40Z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5FC78E1678EC45D1AEB8051DFB2E427D_12</vt:lpwstr>
  </property>
  <property fmtid="{D5CDD505-2E9C-101B-9397-08002B2CF9AE}" pid="3" name="KSOProductBuildVer">
    <vt:lpwstr>1033-12.2.0.23155</vt:lpwstr>
  </property>
  <property fmtid="{D5CDD505-2E9C-101B-9397-08002B2CF9AE}" pid="4" name="ContentTypeId">
    <vt:lpwstr>0x01010008CB1B81BBB4414488F498AE11AC92D7</vt:lpwstr>
  </property>
</Properties>
</file>